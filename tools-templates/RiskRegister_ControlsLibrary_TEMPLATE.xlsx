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autoCompressPictures="0"/>
  <mc:AlternateContent xmlns:mc="http://schemas.openxmlformats.org/markup-compatibility/2006">
    <mc:Choice Requires="x15">
      <x15ac:absPath xmlns:x15ac="http://schemas.microsoft.com/office/spreadsheetml/2010/11/ac" url="C:\Users\Keith\Documents\Work\Security\Advisory\RiskMgmt\"/>
    </mc:Choice>
  </mc:AlternateContent>
  <xr:revisionPtr revIDLastSave="0" documentId="13_ncr:1_{A11ACAC5-1958-4C34-847B-DFDDCBF3840A}" xr6:coauthVersionLast="46" xr6:coauthVersionMax="47" xr10:uidLastSave="{00000000-0000-0000-0000-000000000000}"/>
  <bookViews>
    <workbookView xWindow="-120" yWindow="-120" windowWidth="29040" windowHeight="15840" tabRatio="500" firstSheet="1" activeTab="1" xr2:uid="{00000000-000D-0000-FFFF-FFFF00000000}"/>
  </bookViews>
  <sheets>
    <sheet name="Index" sheetId="6" state="hidden" r:id="rId1"/>
    <sheet name="Risk Register" sheetId="3" r:id="rId2"/>
    <sheet name="Controls Lib." sheetId="11" r:id="rId3"/>
    <sheet name="SOC Obj." sheetId="9" r:id="rId4"/>
    <sheet name="AICPA TSC" sheetId="12" r:id="rId5"/>
    <sheet name="NIST CSF" sheetId="13" r:id="rId6"/>
    <sheet name="NIST 800-53" sheetId="8" r:id="rId7"/>
    <sheet name="KPI" sheetId="7" r:id="rId8"/>
    <sheet name="KEY" sheetId="5" r:id="rId9"/>
  </sheets>
  <definedNames>
    <definedName name="_xlnm._FilterDatabase" localSheetId="2" hidden="1">'Controls Lib.'!$B$5:$M$55</definedName>
    <definedName name="_xlnm._FilterDatabase" localSheetId="0" hidden="1">Index!$B$2:$I$77</definedName>
    <definedName name="_xlnm._FilterDatabase" localSheetId="1" hidden="1">'Risk Register'!$B$5:$T$55</definedName>
    <definedName name="KEY_Control_Frequency">KEY!$E$17:$E$24</definedName>
    <definedName name="KEY_Control_Function">KEY!$C$17:$C$22</definedName>
    <definedName name="KEY_Control_Owner">KEY!$H$17:$H$21</definedName>
    <definedName name="KEY_Control_Status">KEY!$G$17:$G$20</definedName>
    <definedName name="KEY_Control_Type">KEY!$A$17:$A$19</definedName>
    <definedName name="Key_Risk_Irating">KEY!$J$3:$J$7</definedName>
    <definedName name="KEY_Risk_Lrating">KEY!$G$3:$G$7</definedName>
    <definedName name="KEY_Risk_Rating">KEY!$C$3:$C$7</definedName>
    <definedName name="KEY_Risk_Source">KEY!$A$3:$A$7</definedName>
    <definedName name="KEY_Risk_Status">KEY!$E$3:$E$8</definedName>
    <definedName name="_xlnm.Print_Area" localSheetId="2">'Controls Lib.'!$B$1:$M$58</definedName>
    <definedName name="_xlnm.Print_Area" localSheetId="1">'Risk Register'!$B$1:$T$58</definedName>
    <definedName name="_xlnm.Print_Titles" localSheetId="2">'Controls Lib.'!$B:$B,'Controls Lib.'!$5:$5</definedName>
    <definedName name="_xlnm.Print_Titles" localSheetId="1">'Risk Register'!$B:$B,'Risk Register'!$5:$5</definedName>
    <definedName name="Slicer_SOURCE">#N/A</definedName>
    <definedName name="Slicer_Status">#N/A</definedName>
  </definedNames>
  <calcPr calcId="191029"/>
  <pivotCaches>
    <pivotCache cacheId="0"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M9" i="3" l="1"/>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T5" i="5"/>
  <c r="T6" i="5"/>
  <c r="T7" i="5"/>
  <c r="T8" i="5"/>
  <c r="S5" i="5"/>
  <c r="S6" i="5"/>
  <c r="S7" i="5"/>
  <c r="S8" i="5"/>
  <c r="R5" i="5"/>
  <c r="R6" i="5"/>
  <c r="R7" i="5"/>
  <c r="R8" i="5"/>
  <c r="T4" i="5"/>
  <c r="S4" i="5"/>
  <c r="R4" i="5"/>
  <c r="Q5" i="5"/>
  <c r="Q6" i="5"/>
  <c r="Q7" i="5"/>
  <c r="Q8" i="5"/>
  <c r="Q4" i="5"/>
  <c r="P5" i="5"/>
  <c r="P6" i="5"/>
  <c r="P7" i="5"/>
  <c r="P8" i="5"/>
  <c r="P4" i="5"/>
  <c r="K6" i="3"/>
  <c r="K7" i="3"/>
  <c r="K8" i="3"/>
  <c r="L8" i="3" s="1"/>
  <c r="M8" i="3" s="1"/>
  <c r="K9" i="3"/>
  <c r="K10" i="3"/>
  <c r="K11" i="3"/>
  <c r="K12" i="3"/>
  <c r="L12" i="3" s="1"/>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I6" i="3"/>
  <c r="I7" i="3"/>
  <c r="I8" i="3"/>
  <c r="I9" i="3"/>
  <c r="L9" i="3" s="1"/>
  <c r="I10" i="3"/>
  <c r="I11" i="3"/>
  <c r="L11" i="3" s="1"/>
  <c r="I12" i="3"/>
  <c r="I13" i="3"/>
  <c r="L13" i="3" s="1"/>
  <c r="I14" i="3"/>
  <c r="L14" i="3" s="1"/>
  <c r="I15" i="3"/>
  <c r="I16" i="3"/>
  <c r="L16" i="3" s="1"/>
  <c r="I17" i="3"/>
  <c r="L17" i="3" s="1"/>
  <c r="I18" i="3"/>
  <c r="L18" i="3" s="1"/>
  <c r="I19" i="3"/>
  <c r="L19" i="3" s="1"/>
  <c r="I20" i="3"/>
  <c r="I21" i="3"/>
  <c r="L21" i="3" s="1"/>
  <c r="I22" i="3"/>
  <c r="L22" i="3" s="1"/>
  <c r="I23" i="3"/>
  <c r="L23" i="3" s="1"/>
  <c r="I24" i="3"/>
  <c r="I25" i="3"/>
  <c r="L25" i="3" s="1"/>
  <c r="I26" i="3"/>
  <c r="L26" i="3" s="1"/>
  <c r="I27" i="3"/>
  <c r="L27" i="3" s="1"/>
  <c r="I28" i="3"/>
  <c r="I29" i="3"/>
  <c r="L29" i="3" s="1"/>
  <c r="I30" i="3"/>
  <c r="L30" i="3" s="1"/>
  <c r="I31" i="3"/>
  <c r="L31" i="3" s="1"/>
  <c r="I32" i="3"/>
  <c r="I33" i="3"/>
  <c r="L33" i="3" s="1"/>
  <c r="I34" i="3"/>
  <c r="L34" i="3" s="1"/>
  <c r="I35" i="3"/>
  <c r="L35" i="3" s="1"/>
  <c r="I36" i="3"/>
  <c r="I37" i="3"/>
  <c r="L37" i="3" s="1"/>
  <c r="I38" i="3"/>
  <c r="L38" i="3" s="1"/>
  <c r="I39" i="3"/>
  <c r="L39" i="3" s="1"/>
  <c r="I40" i="3"/>
  <c r="I41" i="3"/>
  <c r="L41" i="3" s="1"/>
  <c r="I42" i="3"/>
  <c r="L42" i="3" s="1"/>
  <c r="I43" i="3"/>
  <c r="L43" i="3" s="1"/>
  <c r="I44" i="3"/>
  <c r="I45" i="3"/>
  <c r="L45" i="3" s="1"/>
  <c r="I46" i="3"/>
  <c r="L46" i="3" s="1"/>
  <c r="I47" i="3"/>
  <c r="L47" i="3" s="1"/>
  <c r="I48" i="3"/>
  <c r="I49" i="3"/>
  <c r="L49" i="3" s="1"/>
  <c r="I50" i="3"/>
  <c r="L50" i="3" s="1"/>
  <c r="I51" i="3"/>
  <c r="L51" i="3" s="1"/>
  <c r="I52" i="3"/>
  <c r="I53" i="3"/>
  <c r="L53" i="3" s="1"/>
  <c r="I54" i="3"/>
  <c r="L54" i="3" s="1"/>
  <c r="I55" i="3"/>
  <c r="L55" i="3" s="1"/>
  <c r="M55" i="3" s="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L10" i="3" l="1"/>
  <c r="M10" i="3" s="1"/>
  <c r="L7" i="3"/>
  <c r="M7" i="3" s="1"/>
  <c r="L24" i="3"/>
  <c r="L48" i="3"/>
  <c r="L40" i="3"/>
  <c r="L32" i="3"/>
  <c r="L52" i="3"/>
  <c r="L44" i="3"/>
  <c r="L36" i="3"/>
  <c r="L28" i="3"/>
  <c r="L20" i="3"/>
  <c r="L15" i="3"/>
  <c r="L6" i="3"/>
  <c r="M6" i="3" s="1"/>
  <c r="B58" i="11"/>
  <c r="U6" i="3" l="1"/>
  <c r="B58" i="3" l="1"/>
  <c r="E61" i="6" l="1"/>
  <c r="E3" i="6" l="1"/>
  <c r="E5" i="6"/>
  <c r="E76" i="6"/>
  <c r="E74" i="6"/>
  <c r="E71" i="6"/>
  <c r="E67" i="6"/>
  <c r="E63" i="6"/>
  <c r="E70" i="6"/>
  <c r="E66" i="6"/>
  <c r="E62" i="6"/>
  <c r="E77" i="6"/>
  <c r="E75" i="6"/>
  <c r="E73" i="6"/>
  <c r="E69" i="6"/>
  <c r="E65" i="6"/>
  <c r="I3"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9" i="6"/>
  <c r="E41" i="6"/>
  <c r="E43" i="6"/>
  <c r="E45" i="6"/>
  <c r="E47" i="6"/>
  <c r="E49" i="6"/>
  <c r="E51" i="6"/>
  <c r="E53" i="6"/>
  <c r="E55" i="6"/>
  <c r="E57" i="6"/>
  <c r="E59" i="6"/>
  <c r="E38" i="6"/>
  <c r="E40" i="6"/>
  <c r="E42" i="6"/>
  <c r="E44" i="6"/>
  <c r="E46" i="6"/>
  <c r="E48" i="6"/>
  <c r="E50" i="6"/>
  <c r="E52" i="6"/>
  <c r="E54" i="6"/>
  <c r="E56" i="6"/>
  <c r="E58" i="6"/>
  <c r="E4" i="6"/>
  <c r="E72" i="6"/>
  <c r="E68" i="6"/>
  <c r="E64" i="6"/>
  <c r="E60" i="6"/>
  <c r="H71" i="6" l="1"/>
  <c r="F71" i="6"/>
  <c r="G71" i="6"/>
  <c r="H59" i="6"/>
  <c r="F59" i="6"/>
  <c r="G59" i="6"/>
  <c r="H51" i="6"/>
  <c r="G51" i="6"/>
  <c r="F51" i="6"/>
  <c r="H43" i="6"/>
  <c r="F43" i="6"/>
  <c r="G43" i="6"/>
  <c r="H35" i="6"/>
  <c r="G35" i="6"/>
  <c r="F35" i="6"/>
  <c r="H27" i="6"/>
  <c r="F27" i="6"/>
  <c r="G27" i="6"/>
  <c r="H23" i="6"/>
  <c r="G23" i="6"/>
  <c r="F23" i="6"/>
  <c r="H15" i="6"/>
  <c r="F15" i="6"/>
  <c r="G15" i="6"/>
  <c r="H11" i="6"/>
  <c r="G11" i="6"/>
  <c r="F11" i="6"/>
  <c r="H7" i="6"/>
  <c r="F7" i="6"/>
  <c r="G7" i="6"/>
  <c r="H74" i="6"/>
  <c r="F74" i="6"/>
  <c r="G74" i="6"/>
  <c r="H66" i="6"/>
  <c r="G66" i="6"/>
  <c r="F66" i="6"/>
  <c r="H58" i="6"/>
  <c r="G58" i="6"/>
  <c r="F58" i="6"/>
  <c r="H50" i="6"/>
  <c r="G50" i="6"/>
  <c r="F50" i="6"/>
  <c r="H46" i="6"/>
  <c r="G46" i="6"/>
  <c r="F46" i="6"/>
  <c r="H38" i="6"/>
  <c r="G38" i="6"/>
  <c r="F38" i="6"/>
  <c r="H30" i="6"/>
  <c r="G30" i="6"/>
  <c r="F30" i="6"/>
  <c r="H22" i="6"/>
  <c r="G22" i="6"/>
  <c r="F22" i="6"/>
  <c r="H14" i="6"/>
  <c r="G14" i="6"/>
  <c r="F14" i="6"/>
  <c r="H6" i="6"/>
  <c r="G6" i="6"/>
  <c r="F6" i="6"/>
  <c r="F73" i="6"/>
  <c r="G73" i="6"/>
  <c r="H73" i="6"/>
  <c r="G65" i="6"/>
  <c r="F65" i="6"/>
  <c r="H65" i="6"/>
  <c r="G57" i="6"/>
  <c r="F57" i="6"/>
  <c r="H57" i="6"/>
  <c r="G53" i="6"/>
  <c r="F53" i="6"/>
  <c r="H53" i="6"/>
  <c r="G49" i="6"/>
  <c r="F49" i="6"/>
  <c r="H49" i="6"/>
  <c r="G45" i="6"/>
  <c r="F45" i="6"/>
  <c r="H45" i="6"/>
  <c r="G41" i="6"/>
  <c r="F41" i="6"/>
  <c r="H41" i="6"/>
  <c r="G37" i="6"/>
  <c r="F37" i="6"/>
  <c r="H37" i="6"/>
  <c r="G33" i="6"/>
  <c r="F33" i="6"/>
  <c r="H33" i="6"/>
  <c r="G29" i="6"/>
  <c r="F29" i="6"/>
  <c r="H29" i="6"/>
  <c r="G25" i="6"/>
  <c r="F25" i="6"/>
  <c r="H25" i="6"/>
  <c r="G21" i="6"/>
  <c r="F21" i="6"/>
  <c r="H21" i="6"/>
  <c r="G17" i="6"/>
  <c r="F17" i="6"/>
  <c r="H17" i="6"/>
  <c r="G13" i="6"/>
  <c r="F13" i="6"/>
  <c r="H13" i="6"/>
  <c r="G9" i="6"/>
  <c r="F9" i="6"/>
  <c r="H9" i="6"/>
  <c r="F5" i="6"/>
  <c r="H5" i="6"/>
  <c r="G5" i="6"/>
  <c r="H75" i="6"/>
  <c r="G75" i="6"/>
  <c r="F75" i="6"/>
  <c r="H67" i="6"/>
  <c r="G67" i="6"/>
  <c r="F67" i="6"/>
  <c r="H63" i="6"/>
  <c r="F63" i="6"/>
  <c r="G63" i="6"/>
  <c r="H55" i="6"/>
  <c r="F55" i="6"/>
  <c r="G55" i="6"/>
  <c r="H47" i="6"/>
  <c r="F47" i="6"/>
  <c r="G47" i="6"/>
  <c r="H39" i="6"/>
  <c r="F39" i="6"/>
  <c r="G39" i="6"/>
  <c r="H31" i="6"/>
  <c r="F31" i="6"/>
  <c r="G31" i="6"/>
  <c r="H19" i="6"/>
  <c r="F19" i="6"/>
  <c r="G19" i="6"/>
  <c r="H70" i="6"/>
  <c r="G70" i="6"/>
  <c r="F70" i="6"/>
  <c r="H62" i="6"/>
  <c r="G62" i="6"/>
  <c r="F62" i="6"/>
  <c r="H54" i="6"/>
  <c r="G54" i="6"/>
  <c r="F54" i="6"/>
  <c r="H42" i="6"/>
  <c r="G42" i="6"/>
  <c r="F42" i="6"/>
  <c r="H34" i="6"/>
  <c r="G34" i="6"/>
  <c r="F34" i="6"/>
  <c r="H26" i="6"/>
  <c r="F26" i="6"/>
  <c r="G26" i="6"/>
  <c r="H18" i="6"/>
  <c r="F18" i="6"/>
  <c r="G18" i="6"/>
  <c r="H10" i="6"/>
  <c r="F10" i="6"/>
  <c r="G10" i="6"/>
  <c r="G77" i="6"/>
  <c r="F77" i="6"/>
  <c r="H77" i="6"/>
  <c r="G69" i="6"/>
  <c r="F69" i="6"/>
  <c r="H69" i="6"/>
  <c r="G61" i="6"/>
  <c r="F61" i="6"/>
  <c r="H61" i="6"/>
  <c r="F76" i="6"/>
  <c r="H76" i="6"/>
  <c r="G76" i="6"/>
  <c r="F72" i="6"/>
  <c r="G72" i="6"/>
  <c r="H72" i="6"/>
  <c r="F68" i="6"/>
  <c r="G68" i="6"/>
  <c r="H68" i="6"/>
  <c r="F64" i="6"/>
  <c r="G64" i="6"/>
  <c r="H64" i="6"/>
  <c r="F60" i="6"/>
  <c r="G60" i="6"/>
  <c r="H60" i="6"/>
  <c r="F56" i="6"/>
  <c r="G56" i="6"/>
  <c r="H56" i="6"/>
  <c r="F52" i="6"/>
  <c r="G52" i="6"/>
  <c r="H52" i="6"/>
  <c r="F48" i="6"/>
  <c r="G48" i="6"/>
  <c r="H48" i="6"/>
  <c r="F44" i="6"/>
  <c r="G44" i="6"/>
  <c r="H44" i="6"/>
  <c r="F40" i="6"/>
  <c r="G40" i="6"/>
  <c r="H40" i="6"/>
  <c r="F36" i="6"/>
  <c r="H36" i="6"/>
  <c r="G36" i="6"/>
  <c r="F32" i="6"/>
  <c r="G32" i="6"/>
  <c r="H32" i="6"/>
  <c r="F28" i="6"/>
  <c r="G28" i="6"/>
  <c r="H28" i="6"/>
  <c r="F24" i="6"/>
  <c r="G24" i="6"/>
  <c r="H24" i="6"/>
  <c r="F20" i="6"/>
  <c r="H20" i="6"/>
  <c r="G20" i="6"/>
  <c r="F16" i="6"/>
  <c r="G16" i="6"/>
  <c r="H16" i="6"/>
  <c r="F12" i="6"/>
  <c r="H12" i="6"/>
  <c r="G12" i="6"/>
  <c r="F8" i="6"/>
  <c r="G8" i="6"/>
  <c r="H8" i="6"/>
  <c r="G4" i="6"/>
  <c r="F4" i="6"/>
  <c r="H4" i="6"/>
  <c r="F3" i="6"/>
  <c r="G3" i="6"/>
  <c r="H3" i="6"/>
</calcChain>
</file>

<file path=xl/sharedStrings.xml><?xml version="1.0" encoding="utf-8"?>
<sst xmlns="http://schemas.openxmlformats.org/spreadsheetml/2006/main" count="8292" uniqueCount="7024">
  <si>
    <t>RISK INDEX</t>
  </si>
  <si>
    <t>Category</t>
  </si>
  <si>
    <t>Threat ID</t>
  </si>
  <si>
    <t>Threat Action</t>
  </si>
  <si>
    <t>TOTAL Risks</t>
  </si>
  <si>
    <t>HIGH Risks</t>
  </si>
  <si>
    <t>MED Risks</t>
  </si>
  <si>
    <t>LOW Risks</t>
  </si>
  <si>
    <t>Unaddressed Risks</t>
  </si>
  <si>
    <t>Physical</t>
  </si>
  <si>
    <t>PHY-001</t>
  </si>
  <si>
    <t>Loss of Property</t>
  </si>
  <si>
    <t>PHY-002</t>
  </si>
  <si>
    <t>Theft of Property</t>
  </si>
  <si>
    <t>PHY-003</t>
  </si>
  <si>
    <t>Accidental Destruction of Property</t>
  </si>
  <si>
    <t>PHY-004</t>
  </si>
  <si>
    <t>Natural Destruction of Property</t>
  </si>
  <si>
    <t>PHY-005</t>
  </si>
  <si>
    <t>Intentional Destruction of Property</t>
  </si>
  <si>
    <t>PHY-006</t>
  </si>
  <si>
    <t>Intentional Sabotage of Property</t>
  </si>
  <si>
    <t>PHY-007</t>
  </si>
  <si>
    <t>Intentional Vandalism of Property</t>
  </si>
  <si>
    <t>PHY-008</t>
  </si>
  <si>
    <t>Electrical System Failure</t>
  </si>
  <si>
    <t>PHY-009</t>
  </si>
  <si>
    <t>HVAC Failure</t>
  </si>
  <si>
    <t>PHY-010</t>
  </si>
  <si>
    <t>Structural Facility Failure</t>
  </si>
  <si>
    <t>PHY-011</t>
  </si>
  <si>
    <t>Water Distribution System Failure</t>
  </si>
  <si>
    <t>PHY-012</t>
  </si>
  <si>
    <t>Sanitation System Failure</t>
  </si>
  <si>
    <t>PHY-013</t>
  </si>
  <si>
    <t>Natural Gas Distribution of Failure</t>
  </si>
  <si>
    <t>PHY-014</t>
  </si>
  <si>
    <t>Electronic Media Failure</t>
  </si>
  <si>
    <t>Resource</t>
  </si>
  <si>
    <t>RES-001</t>
  </si>
  <si>
    <t>Disruption of Water Resources</t>
  </si>
  <si>
    <t>RES-002</t>
  </si>
  <si>
    <t>Disruption of Fuel Resources</t>
  </si>
  <si>
    <t>RES-003</t>
  </si>
  <si>
    <t>Disruption of Materials Resources</t>
  </si>
  <si>
    <t>RES-004</t>
  </si>
  <si>
    <t>Disruption of Electrical Resources</t>
  </si>
  <si>
    <t>RES-005</t>
  </si>
  <si>
    <t>Disruption of Transportation Services</t>
  </si>
  <si>
    <t>RES-006</t>
  </si>
  <si>
    <t>Disruption of Communications Services</t>
  </si>
  <si>
    <t>RES-007</t>
  </si>
  <si>
    <t>Disruption of Emergency Services</t>
  </si>
  <si>
    <t>RES-008</t>
  </si>
  <si>
    <t>Disruption of Governmental Services</t>
  </si>
  <si>
    <t>RES-009</t>
  </si>
  <si>
    <t>Supplier Viability</t>
  </si>
  <si>
    <t>RES-010</t>
  </si>
  <si>
    <t>Supplier Supply Chain Failures</t>
  </si>
  <si>
    <t>RES-011</t>
  </si>
  <si>
    <t>Logisitics Provider Failures</t>
  </si>
  <si>
    <t>RES-012</t>
  </si>
  <si>
    <t>Logistics Route Disruptions</t>
  </si>
  <si>
    <t>RES-013</t>
  </si>
  <si>
    <t>Technology Services Manipulation</t>
  </si>
  <si>
    <t>Personnel</t>
  </si>
  <si>
    <t>PER-001</t>
  </si>
  <si>
    <t>Personnel Labor / Skills Shortage</t>
  </si>
  <si>
    <t>PER-002</t>
  </si>
  <si>
    <t>Loss of Personnel Resources</t>
  </si>
  <si>
    <t>PER-003</t>
  </si>
  <si>
    <t>Disruption of Personnnel Resources</t>
  </si>
  <si>
    <t>PER-004</t>
  </si>
  <si>
    <t>Social Engieneering of Personnel Resources</t>
  </si>
  <si>
    <t>PER-005</t>
  </si>
  <si>
    <t>Negligent Personnel Resources</t>
  </si>
  <si>
    <t>PER-006</t>
  </si>
  <si>
    <t>Personnel Mistakes / Errors</t>
  </si>
  <si>
    <t>PER-007</t>
  </si>
  <si>
    <t>Personnel Inaction</t>
  </si>
  <si>
    <t>Technical</t>
  </si>
  <si>
    <t>TEC-001</t>
  </si>
  <si>
    <t>Organization Fingerprinting via Open Sources</t>
  </si>
  <si>
    <t>TEC-002</t>
  </si>
  <si>
    <t>System Fingerprinting via Open Sources</t>
  </si>
  <si>
    <t>TEC-003</t>
  </si>
  <si>
    <t>System Fingerprinting via Scanning</t>
  </si>
  <si>
    <t>TEC-004</t>
  </si>
  <si>
    <t>System Fingerprinting via Sniffing</t>
  </si>
  <si>
    <t>TEC-005</t>
  </si>
  <si>
    <t>Credential Discovery via Open Sources</t>
  </si>
  <si>
    <t>TEC-006</t>
  </si>
  <si>
    <t>Credential Discovery via Scanning</t>
  </si>
  <si>
    <t>TEC-007</t>
  </si>
  <si>
    <t>Credential Discovery via Sniffing</t>
  </si>
  <si>
    <t>TEC-008</t>
  </si>
  <si>
    <t>Credential Discovery via Brute Force</t>
  </si>
  <si>
    <t>TEC-009</t>
  </si>
  <si>
    <t>Credential Discovery via Cracking</t>
  </si>
  <si>
    <t>TEC-010</t>
  </si>
  <si>
    <t>Credential Discovery via Guessing</t>
  </si>
  <si>
    <t>TEC-011</t>
  </si>
  <si>
    <t>Credential Discovery vis Pre-Computational Attacks</t>
  </si>
  <si>
    <t>TEC-012</t>
  </si>
  <si>
    <t>Misuse of System Credentials</t>
  </si>
  <si>
    <t>TEC-013</t>
  </si>
  <si>
    <t>Escalation of Privelege</t>
  </si>
  <si>
    <t>TEC-014</t>
  </si>
  <si>
    <t>Abuse of System Priveleges</t>
  </si>
  <si>
    <t>TEC-015</t>
  </si>
  <si>
    <t>Memory Manipulation</t>
  </si>
  <si>
    <t>TEC-016</t>
  </si>
  <si>
    <t>Cache Poisoning</t>
  </si>
  <si>
    <t>TEC-017</t>
  </si>
  <si>
    <t>Physical Manipulation of Technical Device</t>
  </si>
  <si>
    <t>TEC-018</t>
  </si>
  <si>
    <t>Manipulation of Trusted System</t>
  </si>
  <si>
    <t>TEC-019</t>
  </si>
  <si>
    <t>Cyrptanalysis</t>
  </si>
  <si>
    <t>TEC-020</t>
  </si>
  <si>
    <t>Data Leakage / Theft</t>
  </si>
  <si>
    <t>TEC-021</t>
  </si>
  <si>
    <t>Denial of Service</t>
  </si>
  <si>
    <t>TEC-022</t>
  </si>
  <si>
    <t>Maintaining System Persistence</t>
  </si>
  <si>
    <t>TEC-023</t>
  </si>
  <si>
    <t>Manipulation of Data in Transit / Use</t>
  </si>
  <si>
    <t>TEC-024</t>
  </si>
  <si>
    <t>Capture of Data in Transit / Use via Sniffing</t>
  </si>
  <si>
    <t>TEC-025</t>
  </si>
  <si>
    <t>Capture of Data in Transit / Use via Debugging</t>
  </si>
  <si>
    <t>TEC-026</t>
  </si>
  <si>
    <t>Capture of Data in Transit / Use via Keystroke Logging</t>
  </si>
  <si>
    <t>TEC-027</t>
  </si>
  <si>
    <t>Replay of Data in Transit / Use</t>
  </si>
  <si>
    <t>TEC-028</t>
  </si>
  <si>
    <t>Misdelivery of Data</t>
  </si>
  <si>
    <t>TEC-029</t>
  </si>
  <si>
    <t>Capture of Stored Data</t>
  </si>
  <si>
    <t>TEC-030</t>
  </si>
  <si>
    <t>Manipulation of Stored Data</t>
  </si>
  <si>
    <t>TEC-031</t>
  </si>
  <si>
    <t>Application Exploitation via Input Manipulation</t>
  </si>
  <si>
    <t>TEC-032</t>
  </si>
  <si>
    <t>Application Exploitation via Parameter Injection</t>
  </si>
  <si>
    <t>TEC-033</t>
  </si>
  <si>
    <t>Application Exploitation via Code Injection</t>
  </si>
  <si>
    <t>TEC-034</t>
  </si>
  <si>
    <t>Application Exploitation via Command Injection</t>
  </si>
  <si>
    <t>TEC-035</t>
  </si>
  <si>
    <t>Application Exploitation via Path Traversal</t>
  </si>
  <si>
    <t>TEC-036</t>
  </si>
  <si>
    <t>Application Exploitation via API Abuse</t>
  </si>
  <si>
    <t>TEC-037</t>
  </si>
  <si>
    <t>Application Exploitation via Fuzzing</t>
  </si>
  <si>
    <t>TEC-038</t>
  </si>
  <si>
    <t>Application Exploitation via Reverse Engineering</t>
  </si>
  <si>
    <t>TEC-039</t>
  </si>
  <si>
    <t>Application Exploitation via Resource Location Guessing</t>
  </si>
  <si>
    <t>TEC-040</t>
  </si>
  <si>
    <t>Application Exploitation via Source Code Manipulation</t>
  </si>
  <si>
    <t>TEC-041</t>
  </si>
  <si>
    <t>Application Exploitation via Authentication Bypass</t>
  </si>
  <si>
    <t>RISK REGISTER</t>
  </si>
  <si>
    <t>RISK
ID</t>
  </si>
  <si>
    <t>SOURCE</t>
  </si>
  <si>
    <t>Likelihood</t>
  </si>
  <si>
    <t>Impact</t>
  </si>
  <si>
    <t>Status</t>
  </si>
  <si>
    <t>Other</t>
  </si>
  <si>
    <t>Deficient Controls</t>
  </si>
  <si>
    <t>Sufficient Controls</t>
  </si>
  <si>
    <t>Auditor</t>
  </si>
  <si>
    <t>Last Revised</t>
  </si>
  <si>
    <t>Source</t>
  </si>
  <si>
    <t>Rating Key</t>
  </si>
  <si>
    <t>STATUS</t>
  </si>
  <si>
    <t>Not Considered</t>
  </si>
  <si>
    <t>Vendor R.A.</t>
  </si>
  <si>
    <t>Acceptable Risk</t>
  </si>
  <si>
    <t>Transferred</t>
  </si>
  <si>
    <t>Not Applicable</t>
  </si>
  <si>
    <t>Internal</t>
  </si>
  <si>
    <t>Review Needed?</t>
  </si>
  <si>
    <t>Risk Score</t>
  </si>
  <si>
    <t>Risk Name</t>
  </si>
  <si>
    <t>Point of Contact</t>
  </si>
  <si>
    <t>Risk Description</t>
  </si>
  <si>
    <t>DATE 
Identified</t>
  </si>
  <si>
    <t>DATE
Status</t>
  </si>
  <si>
    <t>Framework Reference</t>
  </si>
  <si>
    <t>Framework</t>
  </si>
  <si>
    <t>Mitigation
Plan</t>
  </si>
  <si>
    <t>Mitigation
Milestones &amp;  Changes</t>
  </si>
  <si>
    <t>Control(s)
or
Mitigation Action</t>
  </si>
  <si>
    <t>Grand Total</t>
  </si>
  <si>
    <t>Count of RISK
ID</t>
  </si>
  <si>
    <t># of Risks</t>
  </si>
  <si>
    <t>Risks by Status</t>
  </si>
  <si>
    <t>Risks by Score</t>
  </si>
  <si>
    <t>Column Labels</t>
  </si>
  <si>
    <t>RR001</t>
  </si>
  <si>
    <t>RR002</t>
  </si>
  <si>
    <t>RR003</t>
  </si>
  <si>
    <t>RR004</t>
  </si>
  <si>
    <t>RR005</t>
  </si>
  <si>
    <t>RR006</t>
  </si>
  <si>
    <t>RR007</t>
  </si>
  <si>
    <t>RR008</t>
  </si>
  <si>
    <t>RR009</t>
  </si>
  <si>
    <t>RR010</t>
  </si>
  <si>
    <t>RR011</t>
  </si>
  <si>
    <t>RR012</t>
  </si>
  <si>
    <t>RR013</t>
  </si>
  <si>
    <t>RR014</t>
  </si>
  <si>
    <t>RR015</t>
  </si>
  <si>
    <t>RR016</t>
  </si>
  <si>
    <t>RR017</t>
  </si>
  <si>
    <t>RR018</t>
  </si>
  <si>
    <t>RR019</t>
  </si>
  <si>
    <t>RR020</t>
  </si>
  <si>
    <t>RR021</t>
  </si>
  <si>
    <t>RR022</t>
  </si>
  <si>
    <t>RR023</t>
  </si>
  <si>
    <t>RR024</t>
  </si>
  <si>
    <t>RR025</t>
  </si>
  <si>
    <t>RR026</t>
  </si>
  <si>
    <t>RR027</t>
  </si>
  <si>
    <t>RR028</t>
  </si>
  <si>
    <t>RR029</t>
  </si>
  <si>
    <t>RR030</t>
  </si>
  <si>
    <t>RR031</t>
  </si>
  <si>
    <t>RR032</t>
  </si>
  <si>
    <t>RR033</t>
  </si>
  <si>
    <t>RR034</t>
  </si>
  <si>
    <t>RR035</t>
  </si>
  <si>
    <t>RR036</t>
  </si>
  <si>
    <t>RR037</t>
  </si>
  <si>
    <t>RR038</t>
  </si>
  <si>
    <t>RR039</t>
  </si>
  <si>
    <t>RR040</t>
  </si>
  <si>
    <t>RR041</t>
  </si>
  <si>
    <t>RR042</t>
  </si>
  <si>
    <t>RR043</t>
  </si>
  <si>
    <t>RR044</t>
  </si>
  <si>
    <t>RR045</t>
  </si>
  <si>
    <t>RR046</t>
  </si>
  <si>
    <t>RR047</t>
  </si>
  <si>
    <t>RR048</t>
  </si>
  <si>
    <t>RR049</t>
  </si>
  <si>
    <t>RR050</t>
  </si>
  <si>
    <t>Control Identifier</t>
  </si>
  <si>
    <t>Control (or Control Enhancement) Name</t>
  </si>
  <si>
    <t xml:space="preserve">Control (or Control Enhancement) </t>
  </si>
  <si>
    <t>Discussion</t>
  </si>
  <si>
    <t>Related Controls</t>
  </si>
  <si>
    <t>AC-1</t>
  </si>
  <si>
    <t>Policy and Procedures</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</si>
  <si>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</si>
  <si>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or privacy incidents, or changes in laws, executive orders, directives, regulations, policies, standards, and guidelines. Simply restating controls does not constitute an organizational policy or procedure.</t>
  </si>
  <si>
    <t>IA-1, PM-9, PM-24, PS-8, SI-12</t>
  </si>
  <si>
    <t>AC-2</t>
  </si>
  <si>
    <t>Account Management</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</si>
  <si>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</si>
  <si>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</si>
  <si>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AC-3, AC-5, AC-6, AC-17, AC-18, AC-20, AC-24, AU-2, AU-12, CM-5, IA-2, IA-4, IA-5, IA-8, MA-3, MA-5, PE-2, PL-4, PS-2, PS-4, PS-5, PS-7, PT-2, PT-3, SC-7, SC-12, SC-13, SC-37</t>
  </si>
  <si>
    <t>AC-2(1)</t>
  </si>
  <si>
    <t>Account Management | Automated System Account Management</t>
  </si>
  <si>
    <t>Support the management of system accounts using [Assignment: organization-defined automated mechanisms].</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</si>
  <si>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</si>
  <si>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AC-2(2)</t>
  </si>
  <si>
    <t>Account Management | Automated Temporary and Emergency Account Management</t>
  </si>
  <si>
    <t>Automatically [Selection: remove; disable] temporary and emergency accounts after [Assignment: organization-defined time period for each type of account].</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</si>
  <si>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</si>
  <si>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AC-2(3)</t>
  </si>
  <si>
    <t>Account Management | Disable Accounts</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</si>
  <si>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</si>
  <si>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Disabling expired, inactive, or otherwise anomalous accounts supports the concepts of least privilege and least functionality which reduce the attack surface of the system.</t>
  </si>
  <si>
    <t>AC-2(4)</t>
  </si>
  <si>
    <t>Account Management | Automated Audit Actions</t>
  </si>
  <si>
    <t>Automatically audit account creation, modification, enabling, disabling, and removal actions.</t>
  </si>
  <si>
    <t>Account management audit records are defined in accordance with AU-2 and reviewed, analyzed, and reported in accordance with AU-6.</t>
  </si>
  <si>
    <t>AU-2, AU-6</t>
  </si>
  <si>
    <t>AC-2(5)</t>
  </si>
  <si>
    <t>Account Management | Inactivity Logout</t>
  </si>
  <si>
    <t>Require that users log out when [Assignment: organization-defined time period of expected inactivity or description of when to log out].</t>
  </si>
  <si>
    <t>Inactivity logout is behavior- or policy-based and requires users to take physical action to log out when they are expecting inactivity longer than the defined period. Automatic enforcement of inactivity logout is addressed by AC-11.</t>
  </si>
  <si>
    <t>AC-11</t>
  </si>
  <si>
    <t>AC-2(6)</t>
  </si>
  <si>
    <t>Account Management | Dynamic Privilege Management</t>
  </si>
  <si>
    <t>Implement [Assignment: organization-defined dynamic privilege management capabilities].</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</si>
  <si>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</si>
  <si>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AC-16</t>
  </si>
  <si>
    <t>AC-2(7)</t>
  </si>
  <si>
    <t>Account Management | Privileged User Accounts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</si>
  <si>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</si>
  <si>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</si>
  <si>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AC-2(8)</t>
  </si>
  <si>
    <t>Account Management | Dynamic Account Management</t>
  </si>
  <si>
    <t>Create, activate, manage, and deactivate [Assignment: organization-defined system accounts] dynamically.</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</si>
  <si>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</si>
  <si>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AC-2(9)</t>
  </si>
  <si>
    <t>Account Management | Restrictions on Use of Shared and Group Accounts</t>
  </si>
  <si>
    <t>Only permit the use of shared and group accounts that meet [Assignment: organization-defined conditions for establishing shared and group accounts].</t>
  </si>
  <si>
    <t>Before permitting the use of shared or group accounts, organizations consider the increased risk due to the lack of accountability with such accounts.</t>
  </si>
  <si>
    <t>AC-2(10)</t>
  </si>
  <si>
    <t>Account Management | Shared and Group Account Credential Change</t>
  </si>
  <si>
    <t>AC-2(11)</t>
  </si>
  <si>
    <t>Account Management | Usage Conditions</t>
  </si>
  <si>
    <t>Enforce [Assignment: organization-defined circumstances and/or usage conditions] for  [Assignment: organization-defined system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</si>
  <si>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</si>
  <si>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AC-2(12)</t>
  </si>
  <si>
    <t>Account Management | Account Monitoring for Atypical Usage</t>
  </si>
  <si>
    <t>(a) Monitor system accounts for [Assignment: organization-defined atypical usage]; and
(b) Report atypical usage of system accounts to [Assignment: organization-defined personnel or roles].</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</si>
  <si>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</si>
  <si>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AU-6, AU-7, CA-7, IR-8, SI-4</t>
  </si>
  <si>
    <t>AC-2(13)</t>
  </si>
  <si>
    <t>Account Management | Disable Accounts for High-risk Individuals</t>
  </si>
  <si>
    <t>Disable accounts of individuals within [Assignment: organization-defined time period] of discovery of [Assignment: organization-defined significant risks].</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</si>
  <si>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</si>
  <si>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AU-6, SI-4</t>
  </si>
  <si>
    <t>AC-3</t>
  </si>
  <si>
    <t>Access Enforcement</t>
  </si>
  <si>
    <t>Enforce approved authorizations for logical access to information and system resources in accordance with applicable access control policies.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</si>
  <si>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</si>
  <si>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AC-2, AC-4, AC-5, AC-6, AC-16, AC-17, AC-18, AC-19, AC-20, AC-21, AC-22, AC-24, AC-25, AT-2, AT-3, AU-9, CA-9, CM-5, CM-11, IA-2, IA-5, IA-6, IA-7, IA-11, MA-3, MA-4, MA-5, MP-4, PM-2, PS-3, PT-2, PT-3, SA-17, SC-2, SC-3, SC-4, SC-12, SC-13, SC-28, SC-31, SC-34, SI-4, SI-8</t>
  </si>
  <si>
    <t>AC-3(1)</t>
  </si>
  <si>
    <t>Access Enforcement | Restricted Access to Privileged Functions</t>
  </si>
  <si>
    <t>AC-3(2)</t>
  </si>
  <si>
    <t>Access Enforcement | Dual Authorization</t>
  </si>
  <si>
    <t>Enforce dual authorization for [Assignment: organization-defined privileged commands and/or other organization-defined actions].</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</si>
  <si>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to other individuals. Organizations consider the risk associated with implementing dual authorization mechanisms when immediate responses are necessary to ensure public and environmental safety.</t>
  </si>
  <si>
    <t>CP-9, MP-6</t>
  </si>
  <si>
    <t>AC-3(3)</t>
  </si>
  <si>
    <t>Access Enforcement | Mandatory Access Control</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</si>
  <si>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</si>
  <si>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</si>
  <si>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SC-7</t>
  </si>
  <si>
    <t>AC-3(4)</t>
  </si>
  <si>
    <t>Access Enforcement | Discretionary Access Control</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</si>
  <si>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</si>
  <si>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</si>
  <si>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AC-3(5)</t>
  </si>
  <si>
    <t>Access Enforcement | Security-relevant Information</t>
  </si>
  <si>
    <t>Prevent access to [Assignment: organization-defined security-relevant information] except during secure, non-operable system states.</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</si>
  <si>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</si>
  <si>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CM-6, SC-39</t>
  </si>
  <si>
    <t>AC-3(6)</t>
  </si>
  <si>
    <t>Access Enforcement | Protection of User and System Information</t>
  </si>
  <si>
    <t>AC-3(7)</t>
  </si>
  <si>
    <t>Access Enforcement | Role-based Access Control</t>
  </si>
  <si>
    <t>Enforce a role-based access control policy over defined subjects and objects and control access based upon [Assignment: organization-defined roles and users authorized to assume such roles].</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</si>
  <si>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</si>
  <si>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AC-3(8)</t>
  </si>
  <si>
    <t>Access Enforcement | Revocation of Access Authorizations</t>
  </si>
  <si>
    <t>Enforce the revocation of access authorizations resulting from changes to the security attributes of subjects and objects based on [Assignment: organization-defined rules governing the timing of revocations of access authorizations].</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</si>
  <si>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</si>
  <si>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AC-3(9)</t>
  </si>
  <si>
    <t>Access Enforcement | Controlled Release</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</si>
  <si>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</si>
  <si>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mitigating control,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</si>
  <si>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CA-3, PT-7, PT-8, SA-9, SC-16</t>
  </si>
  <si>
    <t>AC-3(10)</t>
  </si>
  <si>
    <t>Access Enforcement | Audited Override of Access Control Mechanisms</t>
  </si>
  <si>
    <t>Employ an audited override of automated access control mechanisms under [Assignment: organization-defined conditions] by [Assignment: organization-defined roles].</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</si>
  <si>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</si>
  <si>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AU-2, AU-6, AU-10, AU-12, AU-14</t>
  </si>
  <si>
    <t>AC-3(11)</t>
  </si>
  <si>
    <t>Access Enforcement | Restrict Access to Specific Information Types</t>
  </si>
  <si>
    <t>Restrict access to data repositories containing [Assignment: organization-defined information types].</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</si>
  <si>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</si>
  <si>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CM-8, CM-12, CM-13, PM-5</t>
  </si>
  <si>
    <t>AC-3(12)</t>
  </si>
  <si>
    <t>Access Enforcement | Assert and Enforce Application Access</t>
  </si>
  <si>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</si>
  <si>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Asserting and enforcing application access is intended to address applications that need to access existing system applications and functions, including user contacts, global positioning systems, cameras, keyboards, microphones, networks, phones, or other files.</t>
  </si>
  <si>
    <t>CM-7</t>
  </si>
  <si>
    <t>AC-3(13)</t>
  </si>
  <si>
    <t>Access Enforcement | Attribute-based Access Control</t>
  </si>
  <si>
    <t>Enforce attribute-based access control policy over defined subjects and objects and control access based upon [Assignment: organization-defined attributes to assume access permissions].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</si>
  <si>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</si>
  <si>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AC-3(14)</t>
  </si>
  <si>
    <t>Access Enforcement | Individual Access</t>
  </si>
  <si>
    <t>Provide [Assignment: organization-defined mechanisms] to enable individuals to have access to the following elements of their personally identifiable information: [Assignment: organization-defined elements].</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</si>
  <si>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</si>
  <si>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IA-8, PM-22, PM-20, PM-21</t>
  </si>
  <si>
    <t>AC-3(15)</t>
  </si>
  <si>
    <t>Access Enforcement | Discretionary and Mandatory Access Control</t>
  </si>
  <si>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</si>
  <si>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</si>
  <si>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SC-2, SC-3, AC-4</t>
  </si>
  <si>
    <t>AC-4</t>
  </si>
  <si>
    <t>Information Flow Enforcement</t>
  </si>
  <si>
    <t>Enforce approved authorizations for controlling the flow of information within the system and between connected systems based on [Assignment: organization-defined information flow control policies].</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</si>
  <si>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</si>
  <si>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AC-3, AC-6, AC-16, AC-17, AC-19, AC-21, AU-10, CA-3, CA-9, CM-7, PL-9, PM-24, SA-17, SC-4, SC-7, SC-16, SC-31</t>
  </si>
  <si>
    <t>AC-4(1)</t>
  </si>
  <si>
    <t>Information Flow Enforcement | Object Security and Privacy Attributes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</si>
  <si>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</si>
  <si>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</si>
  <si>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AC-4(2)</t>
  </si>
  <si>
    <t>Information Flow Enforcement | Processing Domains</t>
  </si>
  <si>
    <t>Use protected processing domains to enforce [Assignment: organization-defined information flow control policies] as a basis for flow control decisions.</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</si>
  <si>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</si>
  <si>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SC-39</t>
  </si>
  <si>
    <t>AC-4(3)</t>
  </si>
  <si>
    <t>Information Flow Enforcement | Dynamic Information Flow Control</t>
  </si>
  <si>
    <t>Enforce [Assignment: organization-defined information flow control policies].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</si>
  <si>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</si>
  <si>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SI-4</t>
  </si>
  <si>
    <t>AC-4(4)</t>
  </si>
  <si>
    <t>Information Flow Enforcement | Flow Control of Encrypted Information</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</si>
  <si>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</si>
  <si>
    <t>Flow control mechanisms include content checking, security policy filters, and data type identifiers. The term encryption is extended to cover encoded data not recognized by filtering mechanisms.</t>
  </si>
  <si>
    <t>AC-4(5)</t>
  </si>
  <si>
    <t>Information Flow Enforcement | Embedded Data Types</t>
  </si>
  <si>
    <t>Enforce [Assignment: organization-defined limitations] on embedding data types within other data types.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</si>
  <si>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</si>
  <si>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AC-4(6)</t>
  </si>
  <si>
    <t>Information Flow Enforcement | Metadata</t>
  </si>
  <si>
    <t>Enforce information flow control based on [Assignment: organization-defined metadata].</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</si>
  <si>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</si>
  <si>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AC-16, SI-7</t>
  </si>
  <si>
    <t>AC-4(7)</t>
  </si>
  <si>
    <t>Information Flow Enforcement | One-way Flow Mechanisms</t>
  </si>
  <si>
    <t>Enforce one-way information flows through hardware-based flow control mechanisms.</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</si>
  <si>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</si>
  <si>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AC-4(8)</t>
  </si>
  <si>
    <t>Information Flow Enforcement | Security and Privacy Policy Filters</t>
  </si>
  <si>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</si>
  <si>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</si>
  <si>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AC-4(9)</t>
  </si>
  <si>
    <t>Information Flow Enforcement | Human Reviews</t>
  </si>
  <si>
    <t>Enforce the use of human reviews for [Assignment: organization-defined information flows] under the following conditions: [Assignment: organization-defined conditions].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</si>
  <si>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</si>
  <si>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AC-4(10)</t>
  </si>
  <si>
    <t>Information Flow Enforcement | Enable and Disable Security or Privacy Policy Filters</t>
  </si>
  <si>
    <t>Provide the capability for privileged administrators to enable and disable [Assignment: organization-defined security or privacy policy filters] under the following conditions: [Assignment: organization-defined conditions].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</si>
  <si>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</si>
  <si>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AC-4(11)</t>
  </si>
  <si>
    <t>Information Flow Enforcement | Configuration of Security or Privacy Policy Filters</t>
  </si>
  <si>
    <t>Provide the capability for privileged administrators to configure [Assignment: organization-defined security or privacy policy filters] to support different security or privacy policies.</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</si>
  <si>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</si>
  <si>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AC-4(12)</t>
  </si>
  <si>
    <t>Information Flow Enforcement | Data Type Identifiers</t>
  </si>
  <si>
    <t>When transferring information between different security domains, use [Assignment: organization-defined data type identifiers] to validate data essential for information flow decisions.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</si>
  <si>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</si>
  <si>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AC-4(13)</t>
  </si>
  <si>
    <t>Information Flow Enforcement | Decomposition into Policy-relevant Subcomponents</t>
  </si>
  <si>
    <t>When transferring information between different security domains, decompose information into [Assignment: organization-defined policy-relevant subcomponents] for submission to policy enforcement mechanisms.</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</si>
  <si>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</si>
  <si>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AC-4(14)</t>
  </si>
  <si>
    <t>Information Flow Enforcement | Security or Privacy Policy Filter Constraints</t>
  </si>
  <si>
    <t>When transferring information between different security domains, implement [Assignment: organization-defined security or privacy policy filters] requiring fully enumerated formats that restrict data structure and content.</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</si>
  <si>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</si>
  <si>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AC-4(15)</t>
  </si>
  <si>
    <t>Information Flow Enforcement | Detection of Unsanctioned Information</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</si>
  <si>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</si>
  <si>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Unsanctioned information includes malicious code, information that is inappropriate for release from the source network, or executable code that could disrupt or harm the services or systems on the destination network.</t>
  </si>
  <si>
    <t>SI-3</t>
  </si>
  <si>
    <t>AC-4(16)</t>
  </si>
  <si>
    <t>Information Flow Enforcement | Information Transfers on Interconnected Systems</t>
  </si>
  <si>
    <t>AC-4(17)</t>
  </si>
  <si>
    <t>Information Flow Enforcement | Domain Authentication</t>
  </si>
  <si>
    <t>Uniquely identify and authenticate source and destination points by [Selection (one or more): organization; system; application; service; individual] for information transfer.</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</si>
  <si>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</si>
  <si>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IA-2, IA-3, IA-9</t>
  </si>
  <si>
    <t>AC-4(18)</t>
  </si>
  <si>
    <t>Information Flow Enforcement | Security Attribute Binding</t>
  </si>
  <si>
    <t>AC-4(19)</t>
  </si>
  <si>
    <t>Information Flow Enforcement | Validation of Metadata</t>
  </si>
  <si>
    <t>When transferring information between different security domains, implement [Assignment: organization-defined security or privacy policy filters] on metadata.</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</si>
  <si>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</si>
  <si>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AC-4(20)</t>
  </si>
  <si>
    <t>Information Flow Enforcement | Approved Solutions</t>
  </si>
  <si>
    <t>Employ [Assignment: organization-defined solutions in approved configurations] to control the flow of [Assignment: organization-defined information] across security domains.</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</si>
  <si>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</si>
  <si>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AC-4(21)</t>
  </si>
  <si>
    <t>Information Flow Enforcement | Physical or Logical Separation of Information Flows</t>
  </si>
  <si>
    <t>Separate information flows logically or physically using [Assignment: organization-defined mechanisms and/or techniques] to accomplish [Assignment: organization-defined required separations by types of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</si>
  <si>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</si>
  <si>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SC-32</t>
  </si>
  <si>
    <t>AC-4(22)</t>
  </si>
  <si>
    <t>Information Flow Enforcement | Access Only</t>
  </si>
  <si>
    <t>Provide access from a single device to computing platforms, applications, or data residing in multiple different security domains, while preventing information flow between the different security domains.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</si>
  <si>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</si>
  <si>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AC-4(23)</t>
  </si>
  <si>
    <t>Information Flow Enforcement | Modify Non-releasable Information</t>
  </si>
  <si>
    <t>When transferring information between different security domains, modify non-releasable information by implementing [Assignment: organization-defined modification action].</t>
  </si>
  <si>
    <t>Modifying non-releasable information can help prevent a data spill or attack when information is transferred across security domains. Modification actions include masking, permutation, alteration, removal, or redaction.</t>
  </si>
  <si>
    <t>AC-4(24)</t>
  </si>
  <si>
    <t>Information Flow Enforcement | Internal Normalized Format</t>
  </si>
  <si>
    <t>When transferring information between different security domains, parse incoming data into an internal normalized format and regenerate the data to be consistent with its intended specification.</t>
  </si>
  <si>
    <t>Converting data into normalized forms is one of most of effective mechanisms to stop malicious attacks and large classes of data exfiltration.</t>
  </si>
  <si>
    <t>AC-4(25)</t>
  </si>
  <si>
    <t>Information Flow Enforcement | Data Sanitization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</si>
  <si>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</si>
  <si>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Data sanitization is the process of irreversibly removing or destroying data stored on a memory device (e.g., hard drives, flash memory/solid state drives, mobile devices, CDs, and DVDs) or in hard copy form.</t>
  </si>
  <si>
    <t>MP-6</t>
  </si>
  <si>
    <t>AC-4(26)</t>
  </si>
  <si>
    <t>Information Flow Enforcement | Audit Filtering Actions</t>
  </si>
  <si>
    <t>When transferring information between different security domains, record and audit content filtering actions and results for the information being filtered.</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</si>
  <si>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</si>
  <si>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AU-2, AU-3, AU-12</t>
  </si>
  <si>
    <t>AC-4(27)</t>
  </si>
  <si>
    <t>Information Flow Enforcement | Redundant/independent Filtering Mechanisms</t>
  </si>
  <si>
    <t>When transferring information between different security domains, implement content filtering solutions that provide redundant and independent filtering mechanisms for each data type.</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</si>
  <si>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</si>
  <si>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AC-4(28)</t>
  </si>
  <si>
    <t>Information Flow Enforcement | Linear Filter Pipelines</t>
  </si>
  <si>
    <t>When transferring information between different security domains, implement a linear content filter pipeline that is enforced with discretionary and mandatory access controls.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</si>
  <si>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</si>
  <si>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AC-4(29)</t>
  </si>
  <si>
    <t>Information Flow Enforcement | Filter Orchestration Engines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</si>
  <si>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</si>
  <si>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</si>
  <si>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AC-4(30)</t>
  </si>
  <si>
    <t>Information Flow Enforcement | Filter Mechanisms Using Multiple Processes</t>
  </si>
  <si>
    <t>When transferring information between different security domains, implement content filtering mechanisms using multiple processes.</t>
  </si>
  <si>
    <t>The use of multiple processes to implement content filtering mechanisms reduces the likelihood of a single point of failure.</t>
  </si>
  <si>
    <t>AC-4(31)</t>
  </si>
  <si>
    <t>Information Flow Enforcement | Failed Content Transfer Prevention</t>
  </si>
  <si>
    <t>When transferring information between different security domains, prevent the transfer of failed content to the receiving domain.</t>
  </si>
  <si>
    <t>Content that failed filtering checks can corrupt the system if transferred to the receiving domain.</t>
  </si>
  <si>
    <t>AC-4(32)</t>
  </si>
  <si>
    <t>Information Flow Enforcement | Process Requirements for Information Transfer</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</si>
  <si>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</si>
  <si>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The processes transferring information between filter pipelines have minimum complexity and functionality to provide assurance that the processes operate correctly.</t>
  </si>
  <si>
    <t>AC-5</t>
  </si>
  <si>
    <t>Separation of Duties</t>
  </si>
  <si>
    <t>a. Identify and document [Assignment: organization-defined duties of individuals requiring separation]; and
b. Define system access authorizations to support separation of duties.</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</si>
  <si>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</si>
  <si>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AC-2, AC-3, AC-6, AU-9, CM-5, CM-11, CP-9, IA-2, IA-4, IA-5, IA-12, MA-3, MA-5, PS-2, SA-8, SA-17</t>
  </si>
  <si>
    <t>AC-6</t>
  </si>
  <si>
    <t>Least Privilege</t>
  </si>
  <si>
    <t>Employ the principle of least privilege, allowing only authorized accesses for users (or processes acting on behalf of users) that are necessary to accomplish assigned organizational tasks.</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</si>
  <si>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</si>
  <si>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AC-2, AC-3, AC-5, AC-16, CM-5, CM-11, PL-2, PM-12, SA-8, SA-15, SA-17, SC-38</t>
  </si>
  <si>
    <t>AC-6(1)</t>
  </si>
  <si>
    <t>Least Privilege | Authorize Access to Security Functions</t>
  </si>
  <si>
    <t>Authorize access for [Assignment: organization-defined individuals or roles] to:
(a) [Assignment: organization-defined security functions (deployed in hardware, software, and firmware)]; and
(b) [Assignment: organization-defined security-relevant information].</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</si>
  <si>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</si>
  <si>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AC-17, AC-18, AC-19, AU-9, PE-2</t>
  </si>
  <si>
    <t>AC-6(2)</t>
  </si>
  <si>
    <t>Least Privilege | Non-privileged Access for Nonsecurity Functions</t>
  </si>
  <si>
    <t>Require that users of system accounts (or roles) with access to [Assignment: organization-defined security functions or security-relevant information] use non-privileged accounts or roles, when accessing nonsecurity functions.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</si>
  <si>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</si>
  <si>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AC-17, AC-18, AC-19, PL-4</t>
  </si>
  <si>
    <t>AC-6(3)</t>
  </si>
  <si>
    <t>Least Privilege | Network Access to Privileged Commands</t>
  </si>
  <si>
    <t>Authorize network access to [Assignment: organization-defined privileged commands] only for [Assignment: organization-defined compelling operational needs] and document the rationale for such access in the security plan for the system.</t>
  </si>
  <si>
    <t>Network access is any access across a network connection in lieu of local access (i.e., user being physically present at the device).</t>
  </si>
  <si>
    <t>AC-17, AC-18, AC-19</t>
  </si>
  <si>
    <t>AC-6(4)</t>
  </si>
  <si>
    <t>Least Privilege | Separate Processing Domains</t>
  </si>
  <si>
    <t>Provide separate processing domains to enable finer-grained allocation of user privileges.</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</si>
  <si>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</si>
  <si>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AC-4, SC-2, SC-3, SC-30, SC-32, SC-39</t>
  </si>
  <si>
    <t>AC-6(5)</t>
  </si>
  <si>
    <t>Least Privilege | Privileged Accounts</t>
  </si>
  <si>
    <t>Restrict privileged accounts on the system to [Assignment: organization-defined personnel or roles].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</si>
  <si>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</si>
  <si>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IA-2, MA-3, MA-4</t>
  </si>
  <si>
    <t>AC-6(6)</t>
  </si>
  <si>
    <t>Least Privilege | Privileged Access by Non-organizational Users</t>
  </si>
  <si>
    <t>Prohibit privileged access to the system by non-organizational users.</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</si>
  <si>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</si>
  <si>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AC-18, AC-19, IA-2, IA-8</t>
  </si>
  <si>
    <t>AC-6(7)</t>
  </si>
  <si>
    <t>Least Privilege | Review of User Privileges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</si>
  <si>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</si>
  <si>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</si>
  <si>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CA-7</t>
  </si>
  <si>
    <t>AC-6(8)</t>
  </si>
  <si>
    <t>Least Privilege | Privilege Levels for Code Execution</t>
  </si>
  <si>
    <t>Prevent the following software from executing at higher privilege levels than users executing the software: [Assignment: organization-defined software].</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</si>
  <si>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</si>
  <si>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AC-6(9)</t>
  </si>
  <si>
    <t>Least Privilege | Log Use of Privileged Functions</t>
  </si>
  <si>
    <t>Log the execution of privileged functions.</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</si>
  <si>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</si>
  <si>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AC-6(10)</t>
  </si>
  <si>
    <t>Least Privilege | Prohibit Non-privileged Users from Executing Privileged Functions</t>
  </si>
  <si>
    <t>Prevent non-privileged users from executing privileged functions.</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</si>
  <si>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</si>
  <si>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AC-7</t>
  </si>
  <si>
    <t>Unsuccessful Logon Attempts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</si>
  <si>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 lock the account or node until released by an administrator; delay next logon prompt per [Assignment: organization-defined delay algorithm]
               ; notify system administrator; take other [Assignment: organization-defined action]
               ] when the maximum number of unsuccessful attempts is exceeded.</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</si>
  <si>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</si>
  <si>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AC-2, AC-9, AU-2, AU-6, IA-5</t>
  </si>
  <si>
    <t>AC-7(1)</t>
  </si>
  <si>
    <t>Unsuccessful Logon Attempts | Automatic Account Lock</t>
  </si>
  <si>
    <t>AC-7(2)</t>
  </si>
  <si>
    <t>Unsuccessful Logon Attempts | Purge or Wipe Mobile Device</t>
  </si>
  <si>
    <t>Purge or wipe information from [Assignment: organization-defined mobile devices] based on [Assignment: organization-defined purging or wiping requirements and techniques] after [Assignment: organization-defined number] consecutive, unsuccessful device logon attempts.</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</si>
  <si>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</si>
  <si>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AC-19, MP-5, MP-6</t>
  </si>
  <si>
    <t>AC-7(3)</t>
  </si>
  <si>
    <t>Unsuccessful Logon Attempts | Biometric Attempt Limiting</t>
  </si>
  <si>
    <t>Limit the number of unsuccessful biometric logon attempts to [Assignment: organization-defined number].</t>
  </si>
  <si>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</si>
  <si>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IA-3</t>
  </si>
  <si>
    <t>AC-7(4)</t>
  </si>
  <si>
    <t>Unsuccessful Logon Attempts | Use of Alternate Authentication Factor</t>
  </si>
  <si>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</si>
  <si>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The use of alternate authentication factors supports the objective of availability and allows a user who has inadvertently been locked out to use additional authentication factors to bypass the lockout.</t>
  </si>
  <si>
    <t>AC-8</t>
  </si>
  <si>
    <t>System Use Notification</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</si>
  <si>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</si>
  <si>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</si>
  <si>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AC-14, PL-4, SI-4</t>
  </si>
  <si>
    <t>AC-9</t>
  </si>
  <si>
    <t>Previous Logon Notification</t>
  </si>
  <si>
    <t>Notify the user, upon successful logon to the system, of the date and time of the last logon.</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</si>
  <si>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</si>
  <si>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AC-7, PL-4</t>
  </si>
  <si>
    <t>AC-9(1)</t>
  </si>
  <si>
    <t>Previous Logon Notification | Unsuccessful Logons</t>
  </si>
  <si>
    <t>Notify the user, upon successful logon, of the number of unsuccessful logon attempts since the last successful logon.</t>
  </si>
  <si>
    <t>Information about the number of unsuccessful logon attempts since the last successful logon allows the user to recognize if the number of unsuccessful logon attempts is consistent with the user’s actual logon attempts.</t>
  </si>
  <si>
    <t>AC-9(2)</t>
  </si>
  <si>
    <t>Previous Logon Notification | Successful and Unsuccessful Logons</t>
  </si>
  <si>
    <t>Notify the user, upon successful logon, of the number of [Selection: successful logons; unsuccessful logon attempts; both] during [Assignment: organization-defined time period].</t>
  </si>
  <si>
    <t>Information about the number of successful and unsuccessful logon attempts within a specified time period allows the user to recognize if the number and type of logon attempts are consistent with the user’s actual logon attempts.</t>
  </si>
  <si>
    <t>AC-9(3)</t>
  </si>
  <si>
    <t>Previous Logon Notification | Notification of Account Changes</t>
  </si>
  <si>
    <t>Notify the user, upon successful logon, of changes to [Assignment: organization-defined security-related characteristics or parameters of the user’s account] during [Assignment: organization-defined time period].</t>
  </si>
  <si>
    <t>Information about changes to security-related account characteristics within a specified time period allows users to recognize if changes were made without their knowledge.</t>
  </si>
  <si>
    <t>AC-9(4)</t>
  </si>
  <si>
    <t>Previous Logon Notification | Additional Logon Information</t>
  </si>
  <si>
    <t>Notify the user, upon successful logon, of the following additional information: [Assignment: organization-defined additional information].</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</si>
  <si>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</si>
  <si>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AC-10</t>
  </si>
  <si>
    <t>Concurrent Session Control</t>
  </si>
  <si>
    <t>Limit the number of concurrent sessions for each [Assignment: organization-defined account and/or account type] to [Assignment: organization-defined number].</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</si>
  <si>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</si>
  <si>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SC-23</t>
  </si>
  <si>
    <t>Device Lock</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</si>
  <si>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</si>
  <si>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</si>
  <si>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AC-2, AC-7, IA-11, PL-4</t>
  </si>
  <si>
    <t>AC-11(1)</t>
  </si>
  <si>
    <t>Device Lock | Pattern-hiding Displays</t>
  </si>
  <si>
    <t>Conceal, via the device lock, information previously visible on the display with a publicly viewable image.</t>
  </si>
  <si>
    <t>The pattern-hiding display can include static or dynamic images, such as patterns used with screen savers, photographic images, solid colors, clock, battery life indicator, or a blank screen with the caveat that controlled unclassified information is not displayed.</t>
  </si>
  <si>
    <t>AC-12</t>
  </si>
  <si>
    <t>Session Termination</t>
  </si>
  <si>
    <t>Automatically terminate a user session after [Assignment: organization-defined conditions, or trigger events requiring session disconnect].</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</si>
  <si>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</si>
  <si>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MA-4, SC-10, SC-23</t>
  </si>
  <si>
    <t>AC-12(1)</t>
  </si>
  <si>
    <t>Session Termination | User-initiated Logouts</t>
  </si>
  <si>
    <t>Provide a logout capability for user-initiated communications sessions whenever authentication is used to gain access to [Assignment: organization-defined information resources].</t>
  </si>
  <si>
    <t>Information resources to which users gain access via authentication include local workstations, databases, and password-protected websites or web-based services.</t>
  </si>
  <si>
    <t>AC-12(2)</t>
  </si>
  <si>
    <t>Session Termination | Termination Message</t>
  </si>
  <si>
    <t>Display an explicit logout message to users indicating the termination of authenticated communications sessions.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</si>
  <si>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</si>
  <si>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AC-12(3)</t>
  </si>
  <si>
    <t>Session Termination | Timeout Warning Message</t>
  </si>
  <si>
    <t>Display an explicit message to users indicating that the session will end in [Assignment: organization-defined time until end of session].</t>
  </si>
  <si>
    <t>To increase usability, notify users of pending session termination and prompt users to continue the session. The pending session termination time period is based on the parameters defined in the AC-12 base control.</t>
  </si>
  <si>
    <t>AC-13</t>
  </si>
  <si>
    <t>Supervision and Review — Access Control</t>
  </si>
  <si>
    <t>AC-14</t>
  </si>
  <si>
    <t>Permitted Actions Without Identification or Authentication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</si>
  <si>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</si>
  <si>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can be “none.”</t>
  </si>
  <si>
    <t>AC-8, IA-2, PL-2</t>
  </si>
  <si>
    <t>AC-14(1)</t>
  </si>
  <si>
    <t>Permitted Actions Without Identification or Authentication | Necessary Uses</t>
  </si>
  <si>
    <t>AC-15</t>
  </si>
  <si>
    <t>Automated Marking</t>
  </si>
  <si>
    <t>Security and Privacy Attributes</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</si>
  <si>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</si>
  <si>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</si>
  <si>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AC-3, AC-4, AC-6, AC-21, AC-25, AU-2, AU-10, MP-3, PE-22, PT-2, PT-3, PT-4, SC-11, SC-16, SI-12, SI-18</t>
  </si>
  <si>
    <t>AC-16(1)</t>
  </si>
  <si>
    <t>Security and Privacy Attributes | Dynamic Attribute Association</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</si>
  <si>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</si>
  <si>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</si>
  <si>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AC-16(2)</t>
  </si>
  <si>
    <t>Security and Privacy Attributes | Attribute Value Changes by Authorized Individuals</t>
  </si>
  <si>
    <t>Provide authorized individuals (or processes acting on behalf of individuals) the capability to define or change the value of associated security and privacy attributes.</t>
  </si>
  <si>
    <t>The content or assigned values of attributes can directly affect the ability of individuals to access organizational information. Therefore, it is important for systems to be able to limit the ability to create or modify attributes to authorized individuals.</t>
  </si>
  <si>
    <t>AC-16(3)</t>
  </si>
  <si>
    <t>Security and Privacy Attributes | Maintenance of Attribute Associations by System</t>
  </si>
  <si>
    <t>Maintain the association and integrity of [Assignment: organization-defined security and privacy attributes] to [Assignment: organization-defined subjects and objects].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</si>
  <si>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</si>
  <si>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AC-16(4)</t>
  </si>
  <si>
    <t>Security and Privacy Attributes | Association of Attributes by Authorized Individuals</t>
  </si>
  <si>
    <t>Provide the capability to associate [Assignment: organization-defined security and privacy attributes] with [Assignment: organization-defined subjects and objects] by authorized individuals (or processes acting on behalf of individuals).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</si>
  <si>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</si>
  <si>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AC-16(5)</t>
  </si>
  <si>
    <t>Security and Privacy Attributes | Attribute Displays on Objects to Be Output</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</si>
  <si>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</si>
  <si>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</si>
  <si>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AC-16(6)</t>
  </si>
  <si>
    <t>Security and Privacy Attributes | Maintenance of Attribute Association</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</si>
  <si>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</si>
  <si>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Maintaining attribute association requires individual users (as opposed to the system) to maintain associations of defined security and privacy attributes with subjects and objects.</t>
  </si>
  <si>
    <t>AC-16(7)</t>
  </si>
  <si>
    <t>Security and Privacy Attributes | Consistent Attribute Interpretation</t>
  </si>
  <si>
    <t>Provide a consistent interpretation of security and privacy attributes transmitted between distributed system components.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</si>
  <si>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</si>
  <si>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AC-16(8)</t>
  </si>
  <si>
    <t>Security and Privacy Attributes | Association Techniques and Technologies</t>
  </si>
  <si>
    <t>Implement [Assignment: organization-defined techniques and technologies] in associating security and privacy attributes to information.</t>
  </si>
  <si>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</si>
  <si>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SC-12, SC-13</t>
  </si>
  <si>
    <t>AC-16(9)</t>
  </si>
  <si>
    <t>Security and Privacy Attributes | Attribute Reassignment — Regrading Mechanisms</t>
  </si>
  <si>
    <t>Change security and privacy attributes associated with information only via regrading mechanisms validated using [Assignment: organization-defined techniques or procedures].</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</si>
  <si>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</si>
  <si>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AC-16(10)</t>
  </si>
  <si>
    <t>Security and Privacy Attributes | Attribute Configuration by Authorized Individuals</t>
  </si>
  <si>
    <t>Provide authorized individuals the capability to define or change the type and value of security and privacy attributes available for association with subjects and objects.</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</si>
  <si>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</si>
  <si>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AC-17</t>
  </si>
  <si>
    <t>Remote Access</t>
  </si>
  <si>
    <t>a. Establish and document usage restrictions, configuration/connection requirements, and implementation guidance for each type of remote access allowed; and
b. Authorize each type of remote access to the system prior to allowing such connections.</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</si>
  <si>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</si>
  <si>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AC-2, AC-3, AC-4, AC-18, AC-19, AC-20, CA-3, CM-10, IA-2, IA-3, IA-8, MA-4, PE-17, PL-2, PL-4, SC-10, SC-12, SC-13, SI-4</t>
  </si>
  <si>
    <t>AC-17(1)</t>
  </si>
  <si>
    <t>Remote Access | Monitoring and Control</t>
  </si>
  <si>
    <t>Employ automated mechanisms to monitor and control remote access methods.</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</si>
  <si>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</si>
  <si>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AU-2, AU-6, AU-12, AU-14</t>
  </si>
  <si>
    <t>AC-17(2)</t>
  </si>
  <si>
    <t>Remote Access | Protection of Confidentiality and Integrity Using Encryption</t>
  </si>
  <si>
    <t>Implement cryptographic mechanisms to protect the confidentiality and integrity of remote access sessions.</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</si>
  <si>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</si>
  <si>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SC-8, SC-12, SC-13</t>
  </si>
  <si>
    <t>AC-17(3)</t>
  </si>
  <si>
    <t>Remote Access | Managed Access Control Points</t>
  </si>
  <si>
    <t>Route remote accesses through authorized and managed network access control points.</t>
  </si>
  <si>
    <t>Organizations consider the Trusted Internet Connections (TIC) initiative [DHS TIC] requirements for external network connections since limiting the number of access control points for remote access reduces attack surfaces.</t>
  </si>
  <si>
    <t>AC-17(4)</t>
  </si>
  <si>
    <t>Remote Access | Privileged Commands and Access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</si>
  <si>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</si>
  <si>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</si>
  <si>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AC-6, SC-12, SC-13</t>
  </si>
  <si>
    <t>AC-17(5)</t>
  </si>
  <si>
    <t>Remote Access | Monitoring for Unauthorized Connections</t>
  </si>
  <si>
    <t>AC-17(6)</t>
  </si>
  <si>
    <t>Remote Access | Protection of Mechanism Information</t>
  </si>
  <si>
    <t>Protect information about remote access mechanisms from unauthorized use and disclosure.</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</si>
  <si>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</si>
  <si>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AT-2, AT-3, PS-6</t>
  </si>
  <si>
    <t>AC-17(7)</t>
  </si>
  <si>
    <t>Remote Access | Additional Protection for Security Function Access</t>
  </si>
  <si>
    <t>AC-17(8)</t>
  </si>
  <si>
    <t>Remote Access | Disable Nonsecure Network Protocols</t>
  </si>
  <si>
    <t>AC-17(9)</t>
  </si>
  <si>
    <t>Remote Access | Disconnect or Disable Access</t>
  </si>
  <si>
    <t>Provide the capability to disconnect or disable remote access to the system within [Assignment: organization-defined time period].</t>
  </si>
  <si>
    <t>The speed of system disconnect or disablement varies based on the criticality of missions or business functions and the need to eliminate immediate or future remote access to systems.</t>
  </si>
  <si>
    <t>AC-17(10)</t>
  </si>
  <si>
    <t>Remote Access | Authenticate Remote Commands</t>
  </si>
  <si>
    <t>Implement [Assignment: organization-defined mechanisms] to authenticate [Assignment: organization-defined remote commands].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</si>
  <si>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</si>
  <si>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SC-12, SC-13, SC-23</t>
  </si>
  <si>
    <t>AC-18</t>
  </si>
  <si>
    <t>Wireless Access</t>
  </si>
  <si>
    <t>a. Establish configuration requirements, connection requirements, and implementation guidance for each type of wireless access; and
b. Authorize each type of wireless access to the system prior to allowing such connections.</t>
  </si>
  <si>
    <t>Wireless technologies include microwave, packet radio (ultra-high frequency or very high frequency), 802.11x, and Bluetooth. Wireless networks use authentication protocols that provide authenticator protection and mutual authentication.</t>
  </si>
  <si>
    <t>AC-2, AC-3, AC-17, AC-19, CA-9, CM-7, IA-2, IA-3, IA-8, PL-4, SC-40, SC-43, SI-4</t>
  </si>
  <si>
    <t>AC-18(1)</t>
  </si>
  <si>
    <t>Wireless Access | Authentication and Encryption</t>
  </si>
  <si>
    <t>Protect wireless access to the system using authentication of [Selection (one or more): users; devices] and encryption.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</si>
  <si>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</si>
  <si>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AC-18(2)</t>
  </si>
  <si>
    <t>Wireless Access | Monitoring Unauthorized Connections</t>
  </si>
  <si>
    <t>AC-18(3)</t>
  </si>
  <si>
    <t>Wireless Access | Disable Wireless Networking</t>
  </si>
  <si>
    <t>Disable, when not intended for use, wireless networking capabilities embedded within system components prior to issuance and deployment.</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</si>
  <si>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</si>
  <si>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AC-18(4)</t>
  </si>
  <si>
    <t>Wireless Access | Restrict Configurations by Users</t>
  </si>
  <si>
    <t>Identify and explicitly authorize users allowed to independently configure wireless networking capabilities.</t>
  </si>
  <si>
    <t>Organizational authorizations to allow selected users to configure wireless networking capabilities are enforced, in part, by the access enforcement mechanisms employed within organizational systems.</t>
  </si>
  <si>
    <t>SC-7, SC-15</t>
  </si>
  <si>
    <t>AC-18(5)</t>
  </si>
  <si>
    <t>Wireless Access | Antennas and Transmission Power Levels</t>
  </si>
  <si>
    <t>Select radio antennas and calibrate transmission power levels to reduce the probability that signals from wireless access points can be received outside of organization-controlled boundaries.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</si>
  <si>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</si>
  <si>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PE-19</t>
  </si>
  <si>
    <t>AC-19</t>
  </si>
  <si>
    <t>Access Control for Mobile Devices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</si>
  <si>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</si>
  <si>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the organizational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controls for mobile devices are reflected in other controls allocated to the initial control baselines as starting points for the development of security plans and overlays using the tailoring process. There may also be some overlap by the security controls within the different families of controls. AC-20 addresses mobile devices that are not organization-controlled.</t>
  </si>
  <si>
    <t>AC-3, AC-4, AC-7, AC-11, AC-17, AC-18, AC-20, CA-9, CM-2, CM-6, IA-2, IA-3, MP-2, MP-4, MP-5, MP-7, PL-4, SC-7, SC-34, SC-43, SI-3, SI-4</t>
  </si>
  <si>
    <t>AC-19(1)</t>
  </si>
  <si>
    <t>Access Control for Mobile Devices | Use of Writable and Portable Storage Devices</t>
  </si>
  <si>
    <t>AC-19(2)</t>
  </si>
  <si>
    <t>Access Control for Mobile Devices | Use of Personally Owned Portable Storage Devices</t>
  </si>
  <si>
    <t>AC-19(3)</t>
  </si>
  <si>
    <t>Access Control for Mobile Devices | Use of Portable Storage Devices with No Identifiable Owner</t>
  </si>
  <si>
    <t>AC-19(4)</t>
  </si>
  <si>
    <t>Access Control for Mobile Devices | Restrictions for Classified Information</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</si>
  <si>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</si>
  <si>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None.</t>
  </si>
  <si>
    <t>CM-8, IR-4</t>
  </si>
  <si>
    <t>AC-19(5)</t>
  </si>
  <si>
    <t>Access Control for Mobile Devices | Full Device or Container-based Encryption</t>
  </si>
  <si>
    <t>Employ [Selection: full-device encryption; container-based encryption] to protect the confidentiality and integrity of information on [Assignment: organization-defined mobile devices].</t>
  </si>
  <si>
    <t>Container-based encryption provides a more fine-grained approach to data and information encryption on mobile devices, including encrypting selected data structures such as files, records, or fields.</t>
  </si>
  <si>
    <t>SC-12, SC-13, SC-28</t>
  </si>
  <si>
    <t>AC-20</t>
  </si>
  <si>
    <t>Use of External Systems</t>
  </si>
  <si>
    <t>a. [Selection (one or more): Establish [Assignment: organization-defined terms and conditions]
               ; Identify [Assignment: organization-defined controls asserted to be implemented on external systems]
               ],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</si>
  <si>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</si>
  <si>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AC-2, AC-3, AC-17, AC-19, CA-3, PL-2, PL-4, SA-9, SC-7</t>
  </si>
  <si>
    <t>AC-20(1)</t>
  </si>
  <si>
    <t>Use of External Systems | Limits on Authorized Use</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</si>
  <si>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</si>
  <si>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</si>
  <si>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CA-2</t>
  </si>
  <si>
    <t>AC-20(2)</t>
  </si>
  <si>
    <t>Use of External Systems | Portable Storage Devices — Restricted Use</t>
  </si>
  <si>
    <t>Restrict the use of organization-controlled portable storage devices by authorized individuals on external systems using [Assignment: organization-defined restrictions].</t>
  </si>
  <si>
    <t>Limits on the use of organization-controlled portable storage devices in external systems include restrictions on how the devices may be used and under what conditions the devices may be used.</t>
  </si>
  <si>
    <t>MP-7, SC-41</t>
  </si>
  <si>
    <t>AC-20(3)</t>
  </si>
  <si>
    <t>Use of External Systems | Non-organizationally Owned Systems  — Restricted Use</t>
  </si>
  <si>
    <t>Restrict the use of non-organizationally owned systems or system components to process, store, or transmit organizational information using [Assignment: organization-defined restrictions].</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</si>
  <si>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AC-20(6)).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</si>
  <si>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AC-20(4)</t>
  </si>
  <si>
    <t>Use of External Systems | Network Accessible Storage Devices — Prohibited Use</t>
  </si>
  <si>
    <t>Prohibit the use of [Assignment: organization-defined network accessible storage devices] in external systems.</t>
  </si>
  <si>
    <t>Network-accessible storage devices in external systems include online storage devices in public, hybrid, or community cloud-based systems.</t>
  </si>
  <si>
    <t>AC-20(5)</t>
  </si>
  <si>
    <t>Use of External Systems | Portable Storage Devices — Prohibited Use</t>
  </si>
  <si>
    <t>Prohibit the use of organization-controlled portable storage devices by authorized individuals on external systems.</t>
  </si>
  <si>
    <t>Limits on the use of organization-controlled portable storage devices in external systems include a complete prohibition of the use of such devices. Prohibiting such use is enforced using technical methods and/or nontechnical (i.e., process-based) methods.</t>
  </si>
  <si>
    <t>MP-7, PL-4, PS-6, SC-41</t>
  </si>
  <si>
    <t>AC-21</t>
  </si>
  <si>
    <t>Information Sharing</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</si>
  <si>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</si>
  <si>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</si>
  <si>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AC-3, AC-4, AC-16, PT-2, PT-7, RA-3, SC-15</t>
  </si>
  <si>
    <t>AC-21(1)</t>
  </si>
  <si>
    <t>Information Sharing | Automated Decision Support</t>
  </si>
  <si>
    <t>Employ [Assignment: organization-defined automated mechanisms] to enforce information-sharing decisions by authorized users based on access authorizations of sharing partners and access restrictions on information to be shared.</t>
  </si>
  <si>
    <t>Automated mechanisms are used to enforce information sharing decisions.</t>
  </si>
  <si>
    <t>AC-21(2)</t>
  </si>
  <si>
    <t>Information Sharing | Information Search and Retrieval</t>
  </si>
  <si>
    <t>Implement information search and retrieval services that enforce [Assignment: organization-defined information sharing restrictions].</t>
  </si>
  <si>
    <t>Information search and retrieval services identify information system resources relevant to an information need.</t>
  </si>
  <si>
    <t>AC-22</t>
  </si>
  <si>
    <t>Publicly Accessible Content</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</si>
  <si>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</si>
  <si>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</si>
  <si>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AC-3, AT-2, AT-3, AU-13</t>
  </si>
  <si>
    <t>AC-23</t>
  </si>
  <si>
    <t>Data Mining Protection</t>
  </si>
  <si>
    <t>Employ [Assignment: organization-defined data mining prevention and detection techniques] for [Assignment: organization-defined data storage objects] to detect and protect against unauthorized data mining.</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</si>
  <si>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</si>
  <si>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PM-12, PT-2</t>
  </si>
  <si>
    <t>AC-24</t>
  </si>
  <si>
    <t>Access Control Decisions</t>
  </si>
  <si>
    <t>[Selection: Establish procedures; Implement mechanisms] to ensure [Assignment: organization-defined access control decisions] are applied to each access request prior to access enforcement.</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</si>
  <si>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</si>
  <si>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AC-2, AC-3</t>
  </si>
  <si>
    <t>AC-24(1)</t>
  </si>
  <si>
    <t>Access Control Decisions | Transmit Access Authorization Information</t>
  </si>
  <si>
    <t>Transmit [Assignment: organization-defined access authorization information] using [Assignment: organization-defined controls] to [Assignment: organization-defined systems] that enforce access control decisions.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</si>
  <si>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</si>
  <si>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AU-10</t>
  </si>
  <si>
    <t>AC-24(2)</t>
  </si>
  <si>
    <t>Access Control Decisions | No User or Process Identity</t>
  </si>
  <si>
    <t>Enforce access control decisions based on [Assignment: organization-defined security or privacy attributes] that do not include the identity of the user or process acting on behalf of the user.</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</si>
  <si>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</si>
  <si>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AC-25</t>
  </si>
  <si>
    <t>Reference Monitor</t>
  </si>
  <si>
    <t>Implement a reference monitor for [Assignment: organization-defined access control policies] that is tamperproof, always invoked, and small enough to be subject to analysis and testing, the completeness of which can be assured.</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</si>
  <si>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</si>
  <si>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AC-3, AC-16, SA-8, SA-17, SC-3, SC-11, SC-39, SI-13</t>
  </si>
  <si>
    <t>AT-1</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</si>
  <si>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</si>
  <si>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</si>
  <si>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PM-9, PS-8, SI-12</t>
  </si>
  <si>
    <t>AT-2</t>
  </si>
  <si>
    <t>Literacy Training and Awareness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</si>
  <si>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or privacy incidents into literacy training and awareness techniques.</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</si>
  <si>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or privacy incidents, or changes in applicable laws, executive orders, directives, regulations, policies, standards, and guidelines.</t>
  </si>
  <si>
    <t>AC-3, AC-17, AC-22, AT-3, AT-4, CP-3, IA-4, IR-2, IR-7, IR-9, PL-4, PM-13, PM-21, PS-7, PT-2, SA-8, SA-16</t>
  </si>
  <si>
    <t>AT-2(1)</t>
  </si>
  <si>
    <t>Literacy Training and Awareness | Practical Exercises</t>
  </si>
  <si>
    <t>Provide practical exercises in literacy training that simulate events and incidents.</t>
  </si>
  <si>
    <t>Practical exercises include no-notice social engineering attempts to collect information, gain unauthorized access, or simulate the adverse impact of opening malicious email attachments or invoking, via spear phishing attacks, malicious web links.</t>
  </si>
  <si>
    <t>CA-2, CA-7, CP-4, IR-3</t>
  </si>
  <si>
    <t>AT-2(2)</t>
  </si>
  <si>
    <t>Literacy Training and Awareness | Insider Threat</t>
  </si>
  <si>
    <t>Provide literacy training on recognizing and reporting potential indicators of insider threat.</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</si>
  <si>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</si>
  <si>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PM-12</t>
  </si>
  <si>
    <t>AT-2(3)</t>
  </si>
  <si>
    <t>Literacy Training and Awareness | Social Engineering and Mining</t>
  </si>
  <si>
    <t>Provide literacy training on recognizing and reporting potential and actual instances of social engineering and social mining.</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</si>
  <si>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</si>
  <si>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AT-2(4)</t>
  </si>
  <si>
    <t>Literacy Training and Awareness | Suspicious Communications and Anomalous System Behavior</t>
  </si>
  <si>
    <t>Provide literacy training on recognizing suspicious communications and anomalous behavior in organizational systems using [Assignment: organization-defined indicators of malicious code].</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</si>
  <si>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</si>
  <si>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AT-2(5)</t>
  </si>
  <si>
    <t>Literacy Training and Awareness | Advanced Persistent Threat</t>
  </si>
  <si>
    <t>Provide literacy training on the advanced persistent threat.</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</si>
  <si>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</si>
  <si>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AT-2(6)</t>
  </si>
  <si>
    <t>Literacy Training and Awareness | Cyber Threat Environment</t>
  </si>
  <si>
    <t>(a) Provide literacy training on the cyber threat environment; and
(b) Reflect current cyber threat information in system operations.</t>
  </si>
  <si>
    <t>Since threats continue to change over time, threat literacy training by the organization is dynamic. Moreover, threat literacy training is not performed in isolation from the system operations that support organizational mission and business functions.</t>
  </si>
  <si>
    <t>RA-3</t>
  </si>
  <si>
    <t>AT-3</t>
  </si>
  <si>
    <t>Role-based Training</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</si>
  <si>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or privacy incidents into role-based training.</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</si>
  <si>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or privacy incidents, or changes in applicable laws, executive orders, directives, regulations, policies, standards, and guidelines.</t>
  </si>
  <si>
    <t>AC-3, AC-17, AC-22, AT-2, AT-4, CP-3, IR-2, IR-7, IR-9, IR-10, PL-4, PM-13, PM-23, PS-7, PS-9, SA-3, SA-8, SA-11, SA-16, SR-5, SR-6, SR-11</t>
  </si>
  <si>
    <t>AT-3(1)</t>
  </si>
  <si>
    <t>Role-based Training | Environmental Controls</t>
  </si>
  <si>
    <t>Provide [Assignment: organization-defined personnel or roles] with initial and [Assignment: organization-defined frequency] training in the employment and operation of environmental controls.</t>
  </si>
  <si>
    <t>Environmental controls include fire suppression and detection devices or systems, sprinkler systems, handheld fire extinguishers, fixed fire hoses, smoke detectors, temperature or humidity, heating, ventilation, air conditioning, and power within the facility.</t>
  </si>
  <si>
    <t>PE-1, PE-11, PE-13, PE-14, PE-15</t>
  </si>
  <si>
    <t>AT-3(2)</t>
  </si>
  <si>
    <t>Role-based Training | Physical Security Controls</t>
  </si>
  <si>
    <t>Provide [Assignment: organization-defined personnel or roles] with initial and [Assignment: organization-defined frequency] training in the employment and operation of physical security controls.</t>
  </si>
  <si>
    <t>Physical security controls include physical access control devices, physical intrusion and detection alarms, operating procedures for facility security guards, and monitoring or surveillance equipment.</t>
  </si>
  <si>
    <t>PE-2, PE-3, PE-4</t>
  </si>
  <si>
    <t>AT-3(3)</t>
  </si>
  <si>
    <t>Role-based Training | Practical Exercises</t>
  </si>
  <si>
    <t>Provide practical exercises in security and privacy training that reinforce training objectives.</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</si>
  <si>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</si>
  <si>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AT-3(4)</t>
  </si>
  <si>
    <t>Role-based Training | Suspicious Communications and Anomalous System Behavior</t>
  </si>
  <si>
    <t>AT-3(5)</t>
  </si>
  <si>
    <t>Role-based Training | Processing Personally Identifiable Information</t>
  </si>
  <si>
    <t>Provide [Assignment: organization-defined personnel or roles] with initial and [Assignment: organization-defined frequency] training in the employment and operation of personally identifiable information processing and transparency controls.</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</si>
  <si>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</si>
  <si>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PT-2, PT-3, PT-5, PT-6</t>
  </si>
  <si>
    <t>AT-4</t>
  </si>
  <si>
    <t>Training Records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</si>
  <si>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</si>
  <si>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Documentation for specialized training may be maintained by individual supervisors at the discretion of the organization. The National Archives and Records Administration provides guidance on records retention for federal agencies.</t>
  </si>
  <si>
    <t>AT-2, AT-3, CP-3, IR-2, PM-14, SI-12</t>
  </si>
  <si>
    <t>AT-5</t>
  </si>
  <si>
    <t>Contacts with Security Groups and Associations</t>
  </si>
  <si>
    <t>AT-6</t>
  </si>
  <si>
    <t>Training Feedback</t>
  </si>
  <si>
    <t>Provide feedback on organizational training results to the following personnel [Assignment: organization-defined frequency]: [Assignment: organization-defined personnel].</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</si>
  <si>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assessment and update of organization training described in AT-2b and AT-3b.</t>
  </si>
  <si>
    <t>AU-1</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</si>
  <si>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</si>
  <si>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</si>
  <si>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AU-2</t>
  </si>
  <si>
    <t>Event Logging</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</si>
  <si>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</si>
  <si>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</si>
  <si>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AC-2, AC-3, AC-6, AC-7, AC-8, AC-16, AC-17, AU-3, AU-4, AU-5, AU-6, AU-7, AU-11, AU-12, CM-3, CM-5, CM-6, CM-13, IA-3, MA-4, MP-4, PE-3, PM-21, PT-2, PT-7, RA-8, SA-8, SC-7, SC-18, SI-3, SI-4, SI-7, SI-10, SI-11</t>
  </si>
  <si>
    <t>AU-2(1)</t>
  </si>
  <si>
    <t>Event Logging | Compilation of Audit Records from Multiple Sources</t>
  </si>
  <si>
    <t>AU-2(2)</t>
  </si>
  <si>
    <t>Event Logging | Selection of Audit Events by Component</t>
  </si>
  <si>
    <t>AU-2(3)</t>
  </si>
  <si>
    <t>Event Logging | Reviews and Updates</t>
  </si>
  <si>
    <t>AU-2(4)</t>
  </si>
  <si>
    <t>Event Logging | Privileged Functions</t>
  </si>
  <si>
    <t>AU-3</t>
  </si>
  <si>
    <t>Content of Audit Records</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</si>
  <si>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</si>
  <si>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</si>
  <si>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AU-2, AU-8, AU-12, AU-14, MA-4, PL-9, SA-8, SI-7, SI-11</t>
  </si>
  <si>
    <t>AU-3(1)</t>
  </si>
  <si>
    <t>Content of Audit Records | Additional Audit Information</t>
  </si>
  <si>
    <t>Generate audit records containing the following additional information: [Assignment: organization-defined additional information].</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</si>
  <si>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</si>
  <si>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AU-3(2)</t>
  </si>
  <si>
    <t>Content of Audit Records | Centralized Management of Planned Audit Record Content</t>
  </si>
  <si>
    <t>AU-3(3)</t>
  </si>
  <si>
    <t>Content of Audit Records | Limit Personally Identifiable Information Elements</t>
  </si>
  <si>
    <t>Limit personally identifiable information contained in audit records to the following elements identified in the privacy risk assessment: [Assignment: organization-defined elements].</t>
  </si>
  <si>
    <t>Limiting personally identifiable information in audit records when such information is not needed for operational purposes helps reduce the level of privacy risk created by a system.</t>
  </si>
  <si>
    <t>AU-4</t>
  </si>
  <si>
    <t>Audit Log Storage Capacity</t>
  </si>
  <si>
    <t>Allocate audit log storage capacity to accommodate [Assignment: organization-defined audit log retention requirements].</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</si>
  <si>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</si>
  <si>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AU-2, AU-5, AU-6, AU-7, AU-9, AU-11, AU-12, AU-14, SI-4</t>
  </si>
  <si>
    <t>AU-4(1)</t>
  </si>
  <si>
    <t>Audit Log Storage Capacity | Transfer to Alternate Storage</t>
  </si>
  <si>
    <t>Transfer audit logs [Assignment: organization-defined frequency] to a different system, system component, or media other than the system or system component conducting the logging.</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</si>
  <si>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</si>
  <si>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AU-5</t>
  </si>
  <si>
    <t>Response to Audit Logging Process Failures</t>
  </si>
  <si>
    <t>a. Alert [Assignment: organization-defined personnel or roles] within [Assignment: organization-defined time period] in the event of an audit logging process failure; and
b. Take the following additional actions: [Assignment: organization-defined additional actions].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</si>
  <si>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</si>
  <si>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AU-2, AU-4, AU-7, AU-9, AU-11, AU-12, AU-14, SI-4, SI-12</t>
  </si>
  <si>
    <t>AU-5(1)</t>
  </si>
  <si>
    <t>Response to Audit Logging Process Failures | Storage Capacity Warning</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</si>
  <si>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</si>
  <si>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Organizations may have multiple audit log storage repositories distributed across multiple system components with each repository having different storage volume capacities.</t>
  </si>
  <si>
    <t>AU-5(2)</t>
  </si>
  <si>
    <t>Response to Audit Logging Process Failures | Real-time Alerts</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</si>
  <si>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</si>
  <si>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Alerts provide organizations with urgent messages. Real-time alerts provide these messages at information technology speed (i.e., the time from event detection to alert occurs in seconds or less).</t>
  </si>
  <si>
    <t>AU-5(3)</t>
  </si>
  <si>
    <t>Response to Audit Logging Process Failures | Configurable Traffic Volume Thresholds</t>
  </si>
  <si>
    <t>Enforce configurable network communications traffic volume thresholds reflecting limits on audit log storage capacity and [Selection: reject; delay] network traffic above those thresholds.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</si>
  <si>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</si>
  <si>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AU-5(4)</t>
  </si>
  <si>
    <t>Response to Audit Logging Process Failures | Shutdown on Failure</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</si>
  <si>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</si>
  <si>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</si>
  <si>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AU-15</t>
  </si>
  <si>
    <t>AU-5(5)</t>
  </si>
  <si>
    <t>Response to Audit Logging Process Failures | Alternate Audit Logging Capability</t>
  </si>
  <si>
    <t>Provide an alternate audit logging capability in the event of a failure in primary audit logging capability that implements [Assignment: organization-defined alternate audit logging functionality].</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</si>
  <si>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</si>
  <si>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AU-9</t>
  </si>
  <si>
    <t>AU-6</t>
  </si>
  <si>
    <t>Audit Record Review, Analysis, and Reporting</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</si>
  <si>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</si>
  <si>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</si>
  <si>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AC-2, AC-3, AC-5, AC-6, AC-7, AC-17, AU-7, AU-16, CA-2, CA-7, CM-2, CM-5, CM-6, CM-10, CM-11, IA-2, IA-3, IA-5, IA-8, IR-5, MA-4, MP-4, PE-3, PE-6, RA-5, SA-8, SC-7, SI-3, SI-4, SI-7</t>
  </si>
  <si>
    <t>AU-6(1)</t>
  </si>
  <si>
    <t>Audit Record Review, Analysis, and Reporting | Automated Process Integration</t>
  </si>
  <si>
    <t>Integrate audit record review, analysis, and reporting processes using [Assignment: organization-defined automated mechanisms].</t>
  </si>
  <si>
    <t>Organizational processes that benefit from integrated audit record review, analysis, and reporting include incident response, continuous monitoring, contingency planning, investigation and response to suspicious activities, and Inspector General audits.</t>
  </si>
  <si>
    <t>PM-7</t>
  </si>
  <si>
    <t>AU-6(2)</t>
  </si>
  <si>
    <t>Audit Record Review, Analysis, and Reporting | Automated Security Alerts</t>
  </si>
  <si>
    <t>AU-6(3)</t>
  </si>
  <si>
    <t>Audit Record Review, Analysis, and Reporting | Correlate Audit Record Repositories</t>
  </si>
  <si>
    <t>Analyze and correlate audit records across different repositories to gain organization-wide situational awareness.</t>
  </si>
  <si>
    <t>Organization-wide situational awareness includes awareness across all three levels of risk management (i.e., organizational level, mission/business process level, and information system level) and supports cross-organization awareness.</t>
  </si>
  <si>
    <t>AU-12, IR-4</t>
  </si>
  <si>
    <t>AU-6(4)</t>
  </si>
  <si>
    <t>Audit Record Review, Analysis, and Reporting | Central Review and Analysis</t>
  </si>
  <si>
    <t>Provide and implement the capability to centrally review and analyze audit records from multiple components within the system.</t>
  </si>
  <si>
    <t>Automated mechanisms for centralized reviews and analyses include Security Information and Event Management products.</t>
  </si>
  <si>
    <t>AU-2, AU-12</t>
  </si>
  <si>
    <t>AU-6(5)</t>
  </si>
  <si>
    <t>Audit Record Review, Analysis, and Reporting | Integrated Analysis of Audit Records</t>
  </si>
  <si>
    <t>Integrate analysis of audit records with analysis of [Selection (one or more): vulnerability scanning information; performance data; system monitoring information; 
                     [Assignment: organization-defined data/information collected from other sources]
                  ] to further enhance the ability to identify inappropriate or unusual activity.</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</si>
  <si>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</si>
  <si>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AU-6(6)</t>
  </si>
  <si>
    <t>Audit Record Review, Analysis, and Reporting | Correlation with Physical Monitoring</t>
  </si>
  <si>
    <t>Correlate information from audit records with information obtained from monitoring physical access to further enhance the ability to identify suspicious, inappropriate, unusual, or malevolent activity.</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</si>
  <si>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</si>
  <si>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AU-6(7)</t>
  </si>
  <si>
    <t>Audit Record Review, Analysis, and Reporting | Permitted Actions</t>
  </si>
  <si>
    <t>Specify the permitted actions for each [Selection (one or more): system process; role; user] associated with the review, analysis, and reporting of audit record information.</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</si>
  <si>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</si>
  <si>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AU-6(8)</t>
  </si>
  <si>
    <t>Audit Record Review, Analysis, and Reporting | Full Text Analysis of Privileged Commands</t>
  </si>
  <si>
    <t>Perform a full text analysis of logged privileged commands in a physically distinct component or subsystem of the system, or other system that is dedicated to that analysis.</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</si>
  <si>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</si>
  <si>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AU-3, AU-9, AU-11, AU-12</t>
  </si>
  <si>
    <t>AU-6(9)</t>
  </si>
  <si>
    <t>Audit Record Review, Analysis, and Reporting | Correlation with Information from Nontechnical Sources</t>
  </si>
  <si>
    <t>Correlate information from nontechnical sources with audit record information to enhance organization-wide situational awareness.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</si>
  <si>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</si>
  <si>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AU-6(10)</t>
  </si>
  <si>
    <t>Audit Record Review, Analysis, and Reporting | Audit Level Adjustment</t>
  </si>
  <si>
    <t>AU-7</t>
  </si>
  <si>
    <t>Audit Record Reduction and Report Generation</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</si>
  <si>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</si>
  <si>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</si>
  <si>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AC-2, AU-2, AU-3, AU-4, AU-5, AU-6, AU-12, AU-16, CM-5, IA-5, IR-4, PM-12, SI-4</t>
  </si>
  <si>
    <t>AU-7(1)</t>
  </si>
  <si>
    <t>Audit Record Reduction and Report Generation | Automatic Processing</t>
  </si>
  <si>
    <t>Provide and implement the capability to process, sort, and search audit records for events of interest based on the following content: [Assignment: organization-defined fields within audit records].</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</si>
  <si>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</si>
  <si>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AU-7(2)</t>
  </si>
  <si>
    <t>Audit Record Reduction and Report Generation | Automatic Sort and Search</t>
  </si>
  <si>
    <t>AU-8</t>
  </si>
  <si>
    <t>Time Stamps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</si>
  <si>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</si>
  <si>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</si>
  <si>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AU-3, AU-12, AU-14, SC-45</t>
  </si>
  <si>
    <t>AU-8(1)</t>
  </si>
  <si>
    <t>Time Stamps | Synchronization with Authoritative Time Source</t>
  </si>
  <si>
    <t>AU-8(2)</t>
  </si>
  <si>
    <t>Time Stamps | Secondary Authoritative Time Source</t>
  </si>
  <si>
    <t>Protection of Audit Information</t>
  </si>
  <si>
    <t>a. Protect audit information and audit logging tools from unauthorized access, modification, and deletion; and
b. Alert [Assignment: organization-defined personnel or roles] upon detection of unauthorized access, modification, or deletion of audit information.</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</si>
  <si>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</si>
  <si>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AC-3, AC-6, AU-6, AU-11, AU-14, AU-15, MP-2, MP-4, PE-2, PE-3, PE-6, SA-8, SC-8, SI-4</t>
  </si>
  <si>
    <t>AU-9(1)</t>
  </si>
  <si>
    <t>Protection of Audit Information | Hardware Write-once Media</t>
  </si>
  <si>
    <t>Write audit trails to hardware-enforced, write-once media.</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</si>
  <si>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</si>
  <si>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AU-4, AU-5</t>
  </si>
  <si>
    <t>AU-9(2)</t>
  </si>
  <si>
    <t>Protection of Audit Information | Store on Separate Physical Systems or Components</t>
  </si>
  <si>
    <t>Store audit records [Assignment: organization-defined frequency] in a repository that is part of a physically different system or system component than the system or component being audited.</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</si>
  <si>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</si>
  <si>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AU-9(3)</t>
  </si>
  <si>
    <t>Protection of Audit Information | Cryptographic Protection</t>
  </si>
  <si>
    <t>Implement cryptographic mechanisms to protect the integrity of audit information and audit tools.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</si>
  <si>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</si>
  <si>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AU-10, SC-12, SC-13</t>
  </si>
  <si>
    <t>AU-9(4)</t>
  </si>
  <si>
    <t>Protection of Audit Information | Access by Subset of Privileged Users</t>
  </si>
  <si>
    <t>Authorize access to management of audit logging functionality to only [Assignment: organization-defined subset of privileged users or roles].</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</si>
  <si>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</si>
  <si>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AU-9(5)</t>
  </si>
  <si>
    <t>Protection of Audit Information | Dual Authorization</t>
  </si>
  <si>
    <t>Enforce dual authorization for [Selection (one or more): movement; deletion] of [Assignment: organization-defined audit information].</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</si>
  <si>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</si>
  <si>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AU-9(6)</t>
  </si>
  <si>
    <t>Protection of Audit Information | Read-only Access</t>
  </si>
  <si>
    <t>Authorize read-only access to audit information to [Assignment: organization-defined subset of privileged users or roles].</t>
  </si>
  <si>
    <t>Restricting privileged user or role authorizations to read-only helps to limit the potential damage to organizations that could be initiated by such users or roles, such as deleting audit records to cover up malicious activity.</t>
  </si>
  <si>
    <t>AU-9(7)</t>
  </si>
  <si>
    <t>Protection of Audit Information | Store on Component with Different Operating System</t>
  </si>
  <si>
    <t>Store audit information on a component running a different operating system than the system or component being audited.</t>
  </si>
  <si>
    <t>Storing auditing information on a system component running a different operating system reduces the risk of a vulnerability specific to the system, resulting in a compromise of the audit records.</t>
  </si>
  <si>
    <t>AU-4, AU-5, AU-11, SC-29</t>
  </si>
  <si>
    <t>Non-repudiation</t>
  </si>
  <si>
    <t>Provide irrefutable evidence that an individual (or process acting on behalf of an individual) has performed [Assignment: organization-defined actions to be covered by non-repudiation].</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</si>
  <si>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</si>
  <si>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AU-9, PM-12, SA-8, SC-8, SC-12, SC-13, SC-16, SC-17, SC-23</t>
  </si>
  <si>
    <t>AU-10(1)</t>
  </si>
  <si>
    <t>Non-repudiation | Association of Identities</t>
  </si>
  <si>
    <t>(a) Bind the identity of the information producer with the information to [Assignment: organization-defined strength of binding]; and
(b) Provide the means for authorized individuals to determine the identity of the producer of the information.</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</si>
  <si>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</si>
  <si>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AC-4, AC-16</t>
  </si>
  <si>
    <t>AU-10(2)</t>
  </si>
  <si>
    <t>Non-repudiation | Validate Binding of Information Producer Identity</t>
  </si>
  <si>
    <t>(a) Validate the binding of the information producer identity to the information at [Assignment: organization-defined frequency]; and
(b) Perform [Assignment: organization-defined actions] in the event of a validation error.</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</si>
  <si>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</si>
  <si>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AC-3, AC-4, AC-16</t>
  </si>
  <si>
    <t>AU-10(3)</t>
  </si>
  <si>
    <t>Non-repudiation | Chain of Custody</t>
  </si>
  <si>
    <t>Maintain reviewer or releaser credentials within the established chain of custody for information reviewed or released.</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</si>
  <si>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</si>
  <si>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AU-10(4)</t>
  </si>
  <si>
    <t>Non-repudiation | Validate Binding of Information Reviewer Identity</t>
  </si>
  <si>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</si>
  <si>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</si>
  <si>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AU-10(5)</t>
  </si>
  <si>
    <t>Non-repudiation | Digital Signatures</t>
  </si>
  <si>
    <t>AU-11</t>
  </si>
  <si>
    <t>Audit Record Retention</t>
  </si>
  <si>
    <t>Retain audit records for [Assignment: organization-defined time period consistent with records retention policy] to provide support for after-the-fact investigations of incidents and to meet regulatory and organizational information retention requirements.</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</si>
  <si>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</si>
  <si>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AU-2, AU-4, AU-5, AU-6, AU-9, AU-14, MP-6, RA-5, SI-12</t>
  </si>
  <si>
    <t>AU-11(1)</t>
  </si>
  <si>
    <t>Audit Record Retention | Long-term Retrieval Capability</t>
  </si>
  <si>
    <t>Employ [Assignment: organization-defined measures] to ensure that long-term audit records generated by the system can be retrieved.</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</si>
  <si>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</si>
  <si>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AU-12</t>
  </si>
  <si>
    <t>Audit Record Generation</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</si>
  <si>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</si>
  <si>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Audit records can be generated from many different system components. The event types specified in AU-2d are the event types for which audit logs are to be generated and are a subset of all event types for which the system can generate audit records.</t>
  </si>
  <si>
    <t>AC-6, AC-17, AU-2, AU-3, AU-4, AU-5, AU-6, AU-7, AU-14, CM-5, MA-4, MP-4, PM-12, SA-8, SC-18, SI-3, SI-4, SI-7, SI-10</t>
  </si>
  <si>
    <t>AU-12(1)</t>
  </si>
  <si>
    <t>Audit Record Generation | System-wide and Time-correlated Audit Trail</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</si>
  <si>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</si>
  <si>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Audit trails are time-correlated if the time stamps in the individual audit records can be reliably related to the time stamps in other audit records to achieve a time ordering of the records within organizational tolerances.</t>
  </si>
  <si>
    <t>AU-8, SC-45</t>
  </si>
  <si>
    <t>AU-12(2)</t>
  </si>
  <si>
    <t>Audit Record Generation | Standardized Formats</t>
  </si>
  <si>
    <t>Produce a system-wide (logical or physical) audit trail composed of audit records in a standardized format.</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</si>
  <si>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</si>
  <si>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AU-12(3)</t>
  </si>
  <si>
    <t>Audit Record Generation | Changes by Authorized Individuals</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</si>
  <si>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</si>
  <si>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</si>
  <si>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AU-12(4)</t>
  </si>
  <si>
    <t>Audit Record Generation | Query Parameter Audits of Personally Identifiable Information</t>
  </si>
  <si>
    <t>Provide and implement the capability for auditing the parameters of user query events for data sets containing personally identifiable information.</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</si>
  <si>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</si>
  <si>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AU-13</t>
  </si>
  <si>
    <t>Monitoring for Information Disclosure</t>
  </si>
  <si>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</si>
  <si>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</si>
  <si>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AC-22, PE-3, PM-12, RA-5, SC-7, SI-20</t>
  </si>
  <si>
    <t>AU-13(1)</t>
  </si>
  <si>
    <t>Monitoring for Information Disclosure | Use of Automated Tools</t>
  </si>
  <si>
    <t>Monitor open-source information and information sites using [Assignment: organization-defined automated mechanisms].</t>
  </si>
  <si>
    <t>Automated mechanisms include commercial services that provide notifications and alerts to organizations and automated scripts to monitor new posts on websites.</t>
  </si>
  <si>
    <t>AU-13(2)</t>
  </si>
  <si>
    <t>Monitoring for Information Disclosure | Review of Monitored Sites</t>
  </si>
  <si>
    <t>Review the list of open-source information sites being monitored [Assignment: organization-defined frequency].</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</si>
  <si>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</si>
  <si>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AU-13(3)</t>
  </si>
  <si>
    <t>Monitoring for Information Disclosure | Unauthorized Replication of Information</t>
  </si>
  <si>
    <t>Employ discovery techniques, processes, and tools to determine if external entities are replicating organizational information in an unauthorized manner.</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</si>
  <si>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</si>
  <si>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AU-14</t>
  </si>
  <si>
    <t>Session Audit</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</si>
  <si>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</si>
  <si>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</si>
  <si>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AC-3, AC-8, AU-2, AU-3, AU-4, AU-5, AU-8, AU-9, AU-11, AU-12</t>
  </si>
  <si>
    <t>AU-14(1)</t>
  </si>
  <si>
    <t>Session Audit | System Start-up</t>
  </si>
  <si>
    <t>Initiate session audits automatically at system start-up.</t>
  </si>
  <si>
    <t>The automatic initiation of session audits at startup helps to ensure that the information being captured on selected individuals is complete and not subject to compromise through tampering by malicious threat actors.</t>
  </si>
  <si>
    <t>AU-14(2)</t>
  </si>
  <si>
    <t>Session Audit | Capture and Record Content</t>
  </si>
  <si>
    <t>AU-14(3)</t>
  </si>
  <si>
    <t>Session Audit | Remote Viewing and Listening</t>
  </si>
  <si>
    <t>Provide and implement the capability for authorized users to remotely view and hear content related to an established user session in real time.</t>
  </si>
  <si>
    <t>Alternate Audit Logging Capability</t>
  </si>
  <si>
    <t>AU-16</t>
  </si>
  <si>
    <t>Cross-organizational Audit Logging</t>
  </si>
  <si>
    <t>Employ [Assignment: organization-defined methods] for coordinating [Assignment: organization-defined audit information] among external organizations when audit information is transmitted across organizational boundaries.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</si>
  <si>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</si>
  <si>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AU-3, AU-6, AU-7, CA-3, PT-7</t>
  </si>
  <si>
    <t>AU-16(1)</t>
  </si>
  <si>
    <t>Cross-organizational Audit Logging | Identity Preservation</t>
  </si>
  <si>
    <t>Preserve the identity of individuals in cross-organizational audit trails.</t>
  </si>
  <si>
    <t>Identity preservation is applied when there is a need to be able to trace actions that are performed across organizational boundaries to a specific individual.</t>
  </si>
  <si>
    <t>IA-2, IA-4, IA-5, IA-8</t>
  </si>
  <si>
    <t>AU-16(2)</t>
  </si>
  <si>
    <t>Cross-organizational Audit Logging | Sharing of Audit Information</t>
  </si>
  <si>
    <t>Provide cross-organizational audit information to [Assignment: organization-defined organizations] based on [Assignment: organization-defined cross-organizational sharing agreements].</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</si>
  <si>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</si>
  <si>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IR-4, SI-4</t>
  </si>
  <si>
    <t>AU-16(3)</t>
  </si>
  <si>
    <t>Cross-organizational Audit Logging | Disassociability</t>
  </si>
  <si>
    <t>Implement [Assignment: organization-defined measures] to disassociate individuals from audit information transmitted across organizational boundaries.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</si>
  <si>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</si>
  <si>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CA-1</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</si>
  <si>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</si>
  <si>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</si>
  <si>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Control Assessments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</si>
  <si>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</si>
  <si>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</si>
  <si>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AC-20, CA-5, CA-6, CA-7, PM-9, RA-5, RA-10, SA-11, SC-38, SI-3, SI-12, SR-2, SR-3</t>
  </si>
  <si>
    <t>CA-2(1)</t>
  </si>
  <si>
    <t>Control Assessments | Independent Assessors</t>
  </si>
  <si>
    <t>Employ independent assessors or assessment teams to conduct control assessments.</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</si>
  <si>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</si>
  <si>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CA-2(2)</t>
  </si>
  <si>
    <t>Control Assessments | Specialized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</si>
  <si>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</si>
  <si>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</si>
  <si>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PE-3, SI-2</t>
  </si>
  <si>
    <t>CA-2(3)</t>
  </si>
  <si>
    <t>Control Assessments | Leveraging Results from External Organizations</t>
  </si>
  <si>
    <t>Leverage the results of control assessments performed by [Assignment: organization-defined external organization] on [Assignment: organization-defined system] when the assessment meets [Assignment: organization-defined requirements].</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</si>
  <si>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</si>
  <si>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SA-4</t>
  </si>
  <si>
    <t>CA-3</t>
  </si>
  <si>
    <t>Information Exchange</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</si>
  <si>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</si>
  <si>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</si>
  <si>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AC-4, AC-20, AU-16, CA-6, IA-3, IR-4, PL-2, PT-7, RA-3, SA-9, SC-7, SI-12</t>
  </si>
  <si>
    <t>CA-3(1)</t>
  </si>
  <si>
    <t>Information Exchange | Unclassified National Security System Connections</t>
  </si>
  <si>
    <t>CA-3(2)</t>
  </si>
  <si>
    <t>Information Exchange | Classified National Security System Connections</t>
  </si>
  <si>
    <t>CA-3(3)</t>
  </si>
  <si>
    <t>Information Exchange | Unclassified Non-national Security System Connections</t>
  </si>
  <si>
    <t>CA-3(4)</t>
  </si>
  <si>
    <t>Information Exchange | Connections to Public Networks</t>
  </si>
  <si>
    <t>CA-3(5)</t>
  </si>
  <si>
    <t>Information Exchange | Restrictions on External System Connections</t>
  </si>
  <si>
    <t>CA-3(6)</t>
  </si>
  <si>
    <t>Information Exchange | Transfer Authorizations</t>
  </si>
  <si>
    <t>Verify that individuals or systems transferring data between interconnecting systems have the requisite authorizations (i.e., write permissions or privileges) prior to accepting such data.</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</si>
  <si>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</si>
  <si>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AC-2, AC-3, AC-4</t>
  </si>
  <si>
    <t>CA-3(7)</t>
  </si>
  <si>
    <t>Information Exchange | Transitive Information Exchanges</t>
  </si>
  <si>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</si>
  <si>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</si>
  <si>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CA-4</t>
  </si>
  <si>
    <t>Security Certification</t>
  </si>
  <si>
    <t>CA-5</t>
  </si>
  <si>
    <t>Plan of Action and Milestones</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</si>
  <si>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</si>
  <si>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Plans of action and milestones are useful for any type of organization to track planned remedial actions. Plans of action and milestones are required in authorization packages and subject to federal reporting requirements established by OMB.</t>
  </si>
  <si>
    <t>CA-2, CA-7, PM-4, PM-9, RA-7, SI-2, SI-12</t>
  </si>
  <si>
    <t>CA-5(1)</t>
  </si>
  <si>
    <t>Plan of Action and Milestones | Automation Support for Accuracy and Currency</t>
  </si>
  <si>
    <t>Ensure the accuracy, currency, and availability of the plan of action and milestones for the system using [Assignment: organization-defined automated mechanisms].</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</si>
  <si>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</si>
  <si>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CA-6</t>
  </si>
  <si>
    <t>Authorization</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</si>
  <si>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</si>
  <si>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</si>
  <si>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CA-2, CA-3, CA-7, PM-9, PM-10, RA-3, SA-10, SI-12</t>
  </si>
  <si>
    <t>CA-6(1)</t>
  </si>
  <si>
    <t>Authorization | Joint Authorization — Intra-organization</t>
  </si>
  <si>
    <t>Employ a joint authorization process for the system that includes multiple authorizing officials from the same organization conducting the authorization.</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</si>
  <si>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</si>
  <si>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CA-6(2)</t>
  </si>
  <si>
    <t>Authorization | Joint Authorization — Inter-organization</t>
  </si>
  <si>
    <t>Employ a joint authorization process for the system that includes multiple authorizing officials with at least one authorizing official from an organization external to the organization conducting the authorization.</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</si>
  <si>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</si>
  <si>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Continuous Monitoring</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</si>
  <si>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</si>
  <si>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SC-18c, SC-43b, and SI-4.</t>
  </si>
  <si>
    <t>AC-2, AC-6, AC-17, AT-4, AU-6, AU-13, CA-2, CA-5, CA-6, CM-3, CM-4, CM-6, CM-11, IA-5, IR-5, MA-2, MA-3, MA-4, PE-3, PE-6, PE-14, PE-16, PE-20, PL-2, PM-4, PM-6, PM-9, PM-10, PM-12, PM-14, PM-23, PM-28, PM-31, PS-7, PT-7, RA-3, RA-5, RA-7, RA-10, SA-8, SA-9, SA-11, SC-5, SC-7, SC-18, SC-38, SC-43, SI-3, SI-4, SI-12, SR-6</t>
  </si>
  <si>
    <t>CA-7(1)</t>
  </si>
  <si>
    <t>Continuous Monitoring | Independent Assessment</t>
  </si>
  <si>
    <t>Employ independent assessors or assessment teams to monitor the controls in the system on an ongoing basis.</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</si>
  <si>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</si>
  <si>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CA-7(2)</t>
  </si>
  <si>
    <t>Continuous Monitoring | Types of Assessments</t>
  </si>
  <si>
    <t>CA-7(3)</t>
  </si>
  <si>
    <t>Continuous Monitoring | Trend Analyses</t>
  </si>
  <si>
    <t>Employ trend analyses to determine if control implementations, the frequency of continuous monitoring activities, and the types of activities used in the continuous monitoring process need to be modified based on empirical data.</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</si>
  <si>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</si>
  <si>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CA-7(4)</t>
  </si>
  <si>
    <t>Continuous Monitoring | Risk Monitoring</t>
  </si>
  <si>
    <t>Ensure risk monitoring is an integral part of the continuous monitoring strategy that includes the following:
(a) Effectiveness monitoring;
(b) Compliance monitoring; and
(c) Change monitoring.</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</si>
  <si>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</si>
  <si>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CA-7(5)</t>
  </si>
  <si>
    <t>Continuous Monitoring | Consistency Analysis</t>
  </si>
  <si>
    <t>Employ the following actions to validate that policies are established and implemented controls are operating in a consistent manner: [Assignment: organization-defined actions].</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</si>
  <si>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</si>
  <si>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CA-7(6)</t>
  </si>
  <si>
    <t>Continuous Monitoring | Automation Support for Monitoring</t>
  </si>
  <si>
    <t>Ensure the accuracy, currency, and availability of monitoring results for the system using [Assignment: organization-defined automated mechanisms].</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</si>
  <si>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</si>
  <si>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CA-8</t>
  </si>
  <si>
    <t>Penetration Testing</t>
  </si>
  <si>
    <t>Conduct penetration testing [Assignment: organization-defined frequency] on [Assignment: organization-defined systems or system components].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</si>
  <si>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</si>
  <si>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RA-5, RA-10, SA-11, SR-5, SR-6</t>
  </si>
  <si>
    <t>CA-8(1)</t>
  </si>
  <si>
    <t>Penetration Testing | Independent Penetration Testing Agent or Team</t>
  </si>
  <si>
    <t>Employ an independent penetration testing agent or team to perform penetration testing on the system or system components.</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</si>
  <si>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</si>
  <si>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CA-8(2)</t>
  </si>
  <si>
    <t>Penetration Testing | Red Team Exercises</t>
  </si>
  <si>
    <t>Employ the following red-team exercises to simulate attempts by adversaries to compromise organizational systems in accordance with applicable rules of engagement: [Assignment: organization-defined red team exercises].</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</si>
  <si>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</si>
  <si>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CA-8(3)</t>
  </si>
  <si>
    <t>Penetration Testing | Facility Penetration Testing</t>
  </si>
  <si>
    <t>Employ a penetration testing process that includes [Assignment: organization-defined frequency]
                  [Selection: announced; unannounced] attempts to bypass or circumvent controls associated with physical access points to the facility.</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</si>
  <si>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</si>
  <si>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CA-2, PE-3</t>
  </si>
  <si>
    <t>CA-9</t>
  </si>
  <si>
    <t>Internal System Connections</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</si>
  <si>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</si>
  <si>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</si>
  <si>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AC-3, AC-4, AC-18, AC-19, CM-2, IA-3, SC-7, SI-12</t>
  </si>
  <si>
    <t>CA-9(1)</t>
  </si>
  <si>
    <t>Internal System Connections | Compliance Checks</t>
  </si>
  <si>
    <t>Perform security and privacy compliance checks on constituent system components prior to the establishment of the internal connection.</t>
  </si>
  <si>
    <t>Compliance checks include verification of the relevant baseline configuration.</t>
  </si>
  <si>
    <t>CM-6</t>
  </si>
  <si>
    <t>CM-1</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</si>
  <si>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</si>
  <si>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t>
  </si>
  <si>
    <t>PM-9, PS-8, SA-8, SI-12</t>
  </si>
  <si>
    <t>CM-2</t>
  </si>
  <si>
    <t>Baseline Configuration</t>
  </si>
  <si>
    <t>a. Develop, document, and maintain under configuration control, a current baseline configuration of the system; and
b. Review and update the baseline configuration of the system:
1. [Assignment: organization-defined frequency];
2. When required due to [Assignment: Assignment organization-defined circumstances]; and
3. When system components are installed or upgraded.</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</si>
  <si>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</si>
  <si>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AC-19, AU-6, CA-9, CM-1, CM-3, CM-5, CM-6, CM-8, CM-9, CP-9, CP-10, CP-12, MA-2, PL-8, PM-5, SA-8, SA-10, SA-15, SC-18</t>
  </si>
  <si>
    <t>CM-2(1)</t>
  </si>
  <si>
    <t>Baseline Configuration | Reviews and Updates</t>
  </si>
  <si>
    <t>CM-2(2)</t>
  </si>
  <si>
    <t>Baseline Configuration | Automation Support for Accuracy and Currency</t>
  </si>
  <si>
    <t>Maintain the currency, completeness, accuracy, and availability of the baseline configuration of the system using [Assignment: organization-defined automated mechanisms].</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</si>
  <si>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</si>
  <si>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CM-7, IA-3, RA-5</t>
  </si>
  <si>
    <t>CM-2(3)</t>
  </si>
  <si>
    <t>Baseline Configuration | Retention of Previous Configurations</t>
  </si>
  <si>
    <t>Retain [Assignment: organization-defined number] of previous versions of baseline configurations of the system to support rollback.</t>
  </si>
  <si>
    <t>Retaining previous versions of baseline configurations to support rollback include hardware, software, firmware, configuration files, configuration records, and associated documentation.</t>
  </si>
  <si>
    <t>CM-2(4)</t>
  </si>
  <si>
    <t>Baseline Configuration | Unauthorized Software</t>
  </si>
  <si>
    <t>CM-2(5)</t>
  </si>
  <si>
    <t>Baseline Configuration | Authorized Software</t>
  </si>
  <si>
    <t>CM-2(6)</t>
  </si>
  <si>
    <t>Baseline Configuration | Development and Test Environments</t>
  </si>
  <si>
    <t>Maintain a baseline configuration for system development and test environments that is managed separately from the operational baseline configuration.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</si>
  <si>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</si>
  <si>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CM-4, SC-3, SC-7</t>
  </si>
  <si>
    <t>CM-2(7)</t>
  </si>
  <si>
    <t>Baseline Configuration | Configure Systems and Components for High-risk Areas</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</si>
  <si>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</si>
  <si>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</si>
  <si>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MP-4, MP-5</t>
  </si>
  <si>
    <t>CM-3</t>
  </si>
  <si>
    <t>Configuration Change Control</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</si>
  <si>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 when [Assignment: organization-defined configuration change conditions]
               ].</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</si>
  <si>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</si>
  <si>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CA-7, CM-2, CM-4, CM-5, CM-6, CM-9, CM-11, IA-3, MA-2, PE-16, PT-6, RA-8, SA-8, SA-10, SC-28, SC-34, SC-37, SI-2, SI-3, SI-4, SI-7, SI-10, SR-11</t>
  </si>
  <si>
    <t>CM-3(1)</t>
  </si>
  <si>
    <t>Configuration Change Control | Automated Documentation, Notification, and Prohibition of Changes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</si>
  <si>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</si>
  <si>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CM-3(2)</t>
  </si>
  <si>
    <t>Configuration Change Control | Testing, Validation, and Documentation of Changes</t>
  </si>
  <si>
    <t>Test, validate, and document changes to the system before finalizing the implementation of the changes.</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</si>
  <si>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</si>
  <si>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CM-3(3)</t>
  </si>
  <si>
    <t>Configuration Change Control | Automated Change Implementation</t>
  </si>
  <si>
    <t>Implement changes to the current system baseline and deploy the updated baseline across the installed base using [Assignment: organization-defined automated mechanisms].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</si>
  <si>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</si>
  <si>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CM-3(4)</t>
  </si>
  <si>
    <t>Configuration Change Control | Security and Privacy Representatives</t>
  </si>
  <si>
    <t>Require [Assignment: organization-defined security and privacy representatives] to be members of the [Assignment: organization-defined configuration change control element].</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</si>
  <si>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</si>
  <si>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CM-3(5)</t>
  </si>
  <si>
    <t>Configuration Change Control | Automated Security Response</t>
  </si>
  <si>
    <t>Implement the following security responses automatically if baseline configurations are changed in an unauthorized manner: [Assignment: organization-defined security responses].</t>
  </si>
  <si>
    <t>Automated security responses include halting selected system functions, halting system processing, and issuing alerts or notifications to organizational personnel when there is an unauthorized modification of a configuration item.</t>
  </si>
  <si>
    <t>CM-3(6)</t>
  </si>
  <si>
    <t>Configuration Change Control | Cryptography Management</t>
  </si>
  <si>
    <t>Ensure that cryptographic mechanisms used to provide the following controls are under configuration management: [Assignment: organization-defined controls].</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</si>
  <si>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</si>
  <si>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SC-12</t>
  </si>
  <si>
    <t>CM-3(7)</t>
  </si>
  <si>
    <t>Configuration Change Control | Review System Changes</t>
  </si>
  <si>
    <t>Review changes to the system [Assignment: organization-defined frequency] or when [Assignment: organization-defined circumstances] to determine whether unauthorized changes have occurred.</t>
  </si>
  <si>
    <t>Indications that warrant a review of changes to the system and the specific circumstances justifying such reviews may be obtained from activities carried out by organizations during the configuration change process or continuous monitoring process.</t>
  </si>
  <si>
    <t>AU-6, AU-7, CM-3</t>
  </si>
  <si>
    <t>CM-3(8)</t>
  </si>
  <si>
    <t>Configuration Change Control | Prevent or Restrict Configuration Changes</t>
  </si>
  <si>
    <t>Prevent or restrict changes to the configuration of the system under the following circumstances: [Assignment: organization-defined circumstances].</t>
  </si>
  <si>
    <t>System configuration changes can adversely affect critical system security and privacy functionality. Change restrictions can be enforced through automated mechanisms.</t>
  </si>
  <si>
    <t>CM-4</t>
  </si>
  <si>
    <t>Impact Analyses</t>
  </si>
  <si>
    <t>Analyze changes to the system to determine potential security and privacy impacts prior to change implementation.</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</si>
  <si>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</si>
  <si>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CA-7, CM-3, CM-8, CM-9, MA-2, RA-3, RA-5, RA-8, SA-5, SA-8, SA-10, SI-2</t>
  </si>
  <si>
    <t>CM-4(1)</t>
  </si>
  <si>
    <t>Impact Analyses | Separate Test Environments</t>
  </si>
  <si>
    <t>Analyze changes to the system in a separate test environment before implementation in an operational environment, looking for security and privacy impacts due to flaws, weaknesses, incompatibility, or intentional malice.</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</si>
  <si>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</si>
  <si>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SA-11, SC-7</t>
  </si>
  <si>
    <t>CM-4(2)</t>
  </si>
  <si>
    <t>Impact Analyses | Verification of Controls</t>
  </si>
  <si>
    <t>After system changes, verify that the impacted controls are implemented correctly, operating as intended, and producing the desired outcome with regard to meeting the security and privacy requirements for the system.</t>
  </si>
  <si>
    <t>Implementation in this context refers to installing changed code in the operational system that may have an impact on security or privacy controls.</t>
  </si>
  <si>
    <t>SA-11, SC-3, SI-6</t>
  </si>
  <si>
    <t>CM-5</t>
  </si>
  <si>
    <t>Access Restrictions for Change</t>
  </si>
  <si>
    <t>Define, document, approve, and enforce physical and logical access restrictions associated with changes to the system.</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</si>
  <si>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</si>
  <si>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AC-3, AC-5, AC-6, CM-9, PE-3, SC-28, SC-34, SC-37, SI-2, SI-10</t>
  </si>
  <si>
    <t>CM-5(1)</t>
  </si>
  <si>
    <t>Access Restrictions for Change | Automated Access Enforcement and Audit Records</t>
  </si>
  <si>
    <t>(a) Enforce access restrictions using [Assignment: organization-defined automated mechanisms]; and
(b) Automatically generate audit records of the enforcement actions.</t>
  </si>
  <si>
    <t>Organizations log system accesses associated with applying configuration changes to ensure that configuration change control is implemented and to support after-the-fact actions should organizations discover any unauthorized changes.</t>
  </si>
  <si>
    <t>AU-2, AU-6, AU-7, AU-12, CM-6, CM-11, SI-12</t>
  </si>
  <si>
    <t>CM-5(2)</t>
  </si>
  <si>
    <t>Access Restrictions for Change | Review System Changes</t>
  </si>
  <si>
    <t>CM-5(3)</t>
  </si>
  <si>
    <t>Access Restrictions for Change | Signed Components</t>
  </si>
  <si>
    <t>CM-5(4)</t>
  </si>
  <si>
    <t>Access Restrictions for Change | Dual Authorization</t>
  </si>
  <si>
    <t>Enforce dual authorization for implementing changes to [Assignment: organization-defined system components and system-level information].</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</si>
  <si>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</si>
  <si>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AC-2, AC-5, CM-3</t>
  </si>
  <si>
    <t>CM-5(5)</t>
  </si>
  <si>
    <t>Access Restrictions for Change | Privilege Limitation for Production and Operation</t>
  </si>
  <si>
    <t>(a) Limit privileges to change system components and system-related information within a production or operational environment; and
(b) Review and reevaluate privileges [Assignment: organization-defined frequency].</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</si>
  <si>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</si>
  <si>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CM-5(6)</t>
  </si>
  <si>
    <t>Access Restrictions for Change | Limit Library Privileges</t>
  </si>
  <si>
    <t>Limit privileges to change software resident within software libraries.</t>
  </si>
  <si>
    <t>Software libraries include privileged programs.</t>
  </si>
  <si>
    <t>CM-5(7)</t>
  </si>
  <si>
    <t>Access Restrictions for Change | Automatic Implementation of Security Safeguards</t>
  </si>
  <si>
    <t>Configuration Settings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</si>
  <si>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</si>
  <si>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</si>
  <si>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AC-3, AC-19, AU-2, AU-6, CA-9, CM-2, CM-3, CM-5, CM-7, CM-11, CP-7, CP-9, CP-10, IA-3, IA-5, PL-8, PL-9, RA-5, SA-4, SA-5, SA-8, SA-9, SC-18, SC-28, SC-43, SI-2, SI-4, SI-6</t>
  </si>
  <si>
    <t>CM-6(1)</t>
  </si>
  <si>
    <t>Configuration Settings | Automated Management, Application, and Verification</t>
  </si>
  <si>
    <t>Manage, apply, and verify configuration settings for [Assignment: organization-defined system components] using [Assignment: organization-defined automated mechanisms].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</si>
  <si>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</si>
  <si>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CM-6(2)</t>
  </si>
  <si>
    <t>Configuration Settings | Respond to Unauthorized Changes</t>
  </si>
  <si>
    <t>Take the following actions in response to unauthorized changes to [Assignment: organization-defined configuration settings]: [Assignment: organization-defined actions].</t>
  </si>
  <si>
    <t>Responses to unauthorized changes to configuration settings include alerting designated organizational personnel, restoring established configuration settings, or—in extreme cases—halting affected system processing.</t>
  </si>
  <si>
    <t>IR-4, IR-6, SI-7</t>
  </si>
  <si>
    <t>CM-6(3)</t>
  </si>
  <si>
    <t>Configuration Settings | Unauthorized Change Detection</t>
  </si>
  <si>
    <t>CM-6(4)</t>
  </si>
  <si>
    <t>Configuration Settings | Conformance Demonstration</t>
  </si>
  <si>
    <t>Least Functionality</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</si>
  <si>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</si>
  <si>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</si>
  <si>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AC-3, AC-4, CM-2, CM-5, CM-6, CM-11, RA-5, SA-4, SA-5, SA-8, SA-9, SA-15, SC-2, SC-3, SC-7, SC-37, SI-4</t>
  </si>
  <si>
    <t>CM-7(1)</t>
  </si>
  <si>
    <t>Least Functionality | Periodic Review</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</si>
  <si>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</si>
  <si>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</si>
  <si>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CM-7(2)</t>
  </si>
  <si>
    <t>Least Functionality | Prevent Program Execution</t>
  </si>
  <si>
    <t>Prevent program execution in accordance with [Selection (one or more): 
                     [Assignment: organization-defined policies, rules of behavior, and/or access agreements regarding software program usage and restrictions]
                  ; rules authorizing the terms and conditions of software program usage].</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</si>
  <si>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</si>
  <si>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CM-8, PL-4, PL-9, PM-5, PS-6</t>
  </si>
  <si>
    <t>CM-7(3)</t>
  </si>
  <si>
    <t>Least Functionality | Registration Compliance</t>
  </si>
  <si>
    <t>Ensure compliance with [Assignment: organization-defined registration requirements for functions, ports, protocols, and services].</t>
  </si>
  <si>
    <t>Organizations use the registration process to manage, track, and provide oversight for systems and implemented functions, ports, protocols, and services.</t>
  </si>
  <si>
    <t>CM-7(4)</t>
  </si>
  <si>
    <t>Least Functionality | Unauthorized Software</t>
  </si>
  <si>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</si>
  <si>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</si>
  <si>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CM-6, CM-8, CM-10, PL-9, PM-5</t>
  </si>
  <si>
    <t>CM-7(5)</t>
  </si>
  <si>
    <t>Least Functionality | Authorized Software</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</si>
  <si>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</si>
  <si>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</si>
  <si>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CM-2, CM-6, CM-8, CM-10, PL-9, PM-5, SA-10, SC-34, SI-7</t>
  </si>
  <si>
    <t>CM-7(6)</t>
  </si>
  <si>
    <t>Least Functionality | Confined Environments with Limited Privileges</t>
  </si>
  <si>
    <t>Require that the following user-installed software execute in a confined physical or virtual machine environment with limited privileges: [Assignment: organization-defined user-installed software].</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</si>
  <si>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</si>
  <si>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CM-11, SC-44</t>
  </si>
  <si>
    <t>CM-7(7)</t>
  </si>
  <si>
    <t>Least Functionality | Code Execution in Protected Environments</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</si>
  <si>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</si>
  <si>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Code execution in protected environments applies to all sources of binary or machine-executable code, including commercial software and firmware and open-source software.</t>
  </si>
  <si>
    <t>CM-10, SC-44</t>
  </si>
  <si>
    <t>CM-7(8)</t>
  </si>
  <si>
    <t>Least Functionality | Binary or Machine Executable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</si>
  <si>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</si>
  <si>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</si>
  <si>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SA-5, SA-22</t>
  </si>
  <si>
    <t>CM-7(9)</t>
  </si>
  <si>
    <t>Least Functionality | Prohibiting The Use of Unauthorized Hardware</t>
  </si>
  <si>
    <t>(a) Identify [Assignment: organization-defined hardware components authorized for system use];
(b) Prohibit the use or connection of unauthorized hardware components;
(c) Review and update the list of authorized hardware components [Assignment: organization-defined frequency].</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</si>
  <si>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</si>
  <si>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CM-8</t>
  </si>
  <si>
    <t>System Component Inventory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</si>
  <si>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</si>
  <si>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</si>
  <si>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CM-2, CM-7, CM-9, CM-10, CM-11, CM-13, CP-2, CP-9, MA-2, MA-6, PE-20, PL-9, PM-5, SA-4, SA-5, SI-2, SR-4</t>
  </si>
  <si>
    <t>CM-8(1)</t>
  </si>
  <si>
    <t>System Component Inventory | Updates During Installation and Removal</t>
  </si>
  <si>
    <t>Update the inventory of system components as part of component installations, removals, and system updates.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</si>
  <si>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</si>
  <si>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PM-16</t>
  </si>
  <si>
    <t>CM-8(2)</t>
  </si>
  <si>
    <t>System Component Inventory | Automated Maintenance</t>
  </si>
  <si>
    <t>Maintain the currency, completeness, accuracy, and availability of the inventory of system components using [Assignment: organization-defined automated mechanisms].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</si>
  <si>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</si>
  <si>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CM-8(3)</t>
  </si>
  <si>
    <t>System Component Inventory | Automated Unauthorized Component Detection</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</si>
  <si>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</si>
  <si>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</si>
  <si>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AC-19, CA-7, RA-5, SC-3, SC-39, SC-44, SI-3, SI-4, SI-7</t>
  </si>
  <si>
    <t>CM-8(4)</t>
  </si>
  <si>
    <t>System Component Inventory | Accountability Information</t>
  </si>
  <si>
    <t>Include in the system component inventory information, a means for identifying by [Selection (one or more): name; position; role], individuals responsible and accountable for administering those components.</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</si>
  <si>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</si>
  <si>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CM-8(5)</t>
  </si>
  <si>
    <t>System Component Inventory | No Duplicate Accounting of Components</t>
  </si>
  <si>
    <t>CM-8(6)</t>
  </si>
  <si>
    <t>System Component Inventory | Assessed Configurations and Approved Deviations</t>
  </si>
  <si>
    <t>Include assessed component configurations and any approved deviations to current deployed configurations in the system component inventory.</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</si>
  <si>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</si>
  <si>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CM-8(7)</t>
  </si>
  <si>
    <t>System Component Inventory | Centralized Repository</t>
  </si>
  <si>
    <t>Provide a centralized repository for the inventory of system components.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</si>
  <si>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</si>
  <si>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CM-8(8)</t>
  </si>
  <si>
    <t>System Component Inventory | Automated Location Tracking</t>
  </si>
  <si>
    <t>Support the tracking of system components by geographic location using [Assignment: organization-defined automated mechanisms].</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</si>
  <si>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</si>
  <si>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CM-8(9)</t>
  </si>
  <si>
    <t>System Component Inventory | Assignment of Components to Systems</t>
  </si>
  <si>
    <t>(a) Assign system components to a system; and
(b) Receive an acknowledgement from [Assignment: organization-defined personnel or roles] of this assignment.</t>
  </si>
  <si>
    <t>System components that are not assigned to a system may be unmanaged, lack the required protection, and become an organizational vulnerability.</t>
  </si>
  <si>
    <t>CM-9</t>
  </si>
  <si>
    <t>Configuration Management Plan</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</si>
  <si>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</si>
  <si>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</si>
  <si>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CM-2, CM-3, CM-4, CM-5, CM-8, PL-2, RA-8, SA-10, SI-12</t>
  </si>
  <si>
    <t>CM-9(1)</t>
  </si>
  <si>
    <t>Configuration Management Plan | Assignment of Responsibility</t>
  </si>
  <si>
    <t>Assign responsibility for developing the configuration management process to organizational personnel that are not directly involved in system development.</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</si>
  <si>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</si>
  <si>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CM-10</t>
  </si>
  <si>
    <t>Software Usage Restrictions</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</si>
  <si>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</si>
  <si>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Software license tracking can be accomplished by manual or automated methods, depending on organizational needs. Examples of contract agreements include software license agreements and non-disclosure agreements.</t>
  </si>
  <si>
    <t>AC-17, AU-6, CM-7, CM-8, PM-30, SC-7</t>
  </si>
  <si>
    <t>CM-10(1)</t>
  </si>
  <si>
    <t>Software Usage Restrictions | Open-source Software</t>
  </si>
  <si>
    <t>Establish the following restrictions on the use of open-source software: [Assignment: organization-defined restrictions].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</si>
  <si>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</si>
  <si>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SI-7</t>
  </si>
  <si>
    <t>CM-11</t>
  </si>
  <si>
    <t>User-installed Software</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</si>
  <si>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</si>
  <si>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</si>
  <si>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AC-3, AU-6, CM-2, CM-3, CM-5, CM-6, CM-7, CM-8, PL-4, SI-4, SI-7</t>
  </si>
  <si>
    <t>CM-11(1)</t>
  </si>
  <si>
    <t>User-installed Software | Alerts for Unauthorized Installations</t>
  </si>
  <si>
    <t>CM-11(2)</t>
  </si>
  <si>
    <t>User-installed Software | Software Installation with Privileged Status</t>
  </si>
  <si>
    <t>Allow user installation of software only with explicit privileged status.</t>
  </si>
  <si>
    <t>Privileged status can be obtained, for example, by serving in the role of system administrator.</t>
  </si>
  <si>
    <t>AC-5, AC-6</t>
  </si>
  <si>
    <t>CM-11(3)</t>
  </si>
  <si>
    <t>User-installed Software | Automated Enforcement and Monitoring</t>
  </si>
  <si>
    <t>Enforce and monitor compliance with software installation policies using [Assignment: organization-defined automated mechanisms].</t>
  </si>
  <si>
    <t>Organizations enforce and monitor compliance with software installation policies using automated mechanisms to more quickly detect and respond to unauthorized software installation which can be an indicator of an internal or external hostile attack.</t>
  </si>
  <si>
    <t>CM-12</t>
  </si>
  <si>
    <t>Information Location</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</si>
  <si>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</si>
  <si>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</si>
  <si>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AC-2, AC-3, AC-4, AC-6, AC-23, CM-8, PM-5, RA-2, SA-4, SA-8, SA-17, SC-4, SC-16, SC-28, SI-4, SI-7</t>
  </si>
  <si>
    <t>CM-12(1)</t>
  </si>
  <si>
    <t>Information Location | Automated Tools to Support Information Location</t>
  </si>
  <si>
    <t>Use automated tools to identify [Assignment: organization-defined information by information type] on [Assignment: organization-defined system components] to ensure controls are in place to protect organizational information and individual privacy.</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</si>
  <si>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</si>
  <si>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CM-13</t>
  </si>
  <si>
    <t>Data Action Mapping</t>
  </si>
  <si>
    <t>Develop and document a map of system data actions.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</si>
  <si>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</si>
  <si>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AC-3, CM-4, CM-12, PM-5, PM-27, PT-2, PT-3, RA-3, RA-8</t>
  </si>
  <si>
    <t>CM-14</t>
  </si>
  <si>
    <t>Signed Components</t>
  </si>
  <si>
    <t>Prevent the installation of [Assignment: organization-defined software and firmware components] without verification that the component has been digitally signed using a certificate that is recognized and approved by the organization.</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</si>
  <si>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</si>
  <si>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CM-7, SC-12, SC-13, SI-7</t>
  </si>
  <si>
    <t>CP-1</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</si>
  <si>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</si>
  <si>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or privacy incidents, or changes in laws, executive orders, directives, regulations, policies, standards, and guidelines. Simply restating controls does not constitute an organizational policy or procedure.</t>
  </si>
  <si>
    <t>CP-2</t>
  </si>
  <si>
    <t>Contingency Plan</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</si>
  <si>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</si>
  <si>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</si>
  <si>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CP-3, CP-4, CP-6, CP-7, CP-8, CP-9, CP-10, CP-11, CP-13, IR-4, IR-6, IR-8, IR-9, MA-6, MP-2, MP-4, MP-5, PL-2, PM-8, PM-11, SA-15, SA-20, SC-7, SC-23, SI-12</t>
  </si>
  <si>
    <t>CP-2(1)</t>
  </si>
  <si>
    <t>Contingency Plan | Coordinate with Related Plans</t>
  </si>
  <si>
    <t>Coordinate contingency plan development with organizational elements responsible for related plans.</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</si>
  <si>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</si>
  <si>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CP-2(2)</t>
  </si>
  <si>
    <t>Contingency Plan | Capacity Planning</t>
  </si>
  <si>
    <t>Conduct capacity planning so that necessary capacity for information processing, telecommunications, and environmental support exists during contingency operations.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</si>
  <si>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</si>
  <si>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PE-11, PE-12, PE-13, PE-14, PE-18, SC-5</t>
  </si>
  <si>
    <t>CP-2(3)</t>
  </si>
  <si>
    <t>Contingency Plan | Resume Mission and Business Functions</t>
  </si>
  <si>
    <t>Plan for the resumption of [Selection: all; essential] mission and business functions within [Assignment: organization-defined time period] of contingency plan activation.</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</si>
  <si>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</si>
  <si>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CP-2(4)</t>
  </si>
  <si>
    <t>Contingency Plan | Resume All Mission and Business Functions</t>
  </si>
  <si>
    <t>CP-2(5)</t>
  </si>
  <si>
    <t>Contingency Plan | Continue Mission and Business Functions</t>
  </si>
  <si>
    <t>Plan for the continuance of [Selection: all; essential] mission and business functions with minimal or no loss of operational continuity and sustains that continuity until full system restoration at primary processing and/or storage sites.</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</si>
  <si>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</si>
  <si>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CP-2(6)</t>
  </si>
  <si>
    <t>Contingency Plan | Alternate Processing and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</si>
  <si>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</si>
  <si>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</si>
  <si>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CP-2(7)</t>
  </si>
  <si>
    <t>Contingency Plan | Coordinate with External Service Providers</t>
  </si>
  <si>
    <t>Coordinate the contingency plan with the contingency plans of external service providers to ensure that contingency requirements can be satisfied.</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</si>
  <si>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</si>
  <si>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SA-9</t>
  </si>
  <si>
    <t>CP-2(8)</t>
  </si>
  <si>
    <t>Contingency Plan | Identify Critical Assets</t>
  </si>
  <si>
    <t>Identify critical system assets supporting [Selection: all; essential] mission and business functions.</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</si>
  <si>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</si>
  <si>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CM-8, RA-9</t>
  </si>
  <si>
    <t>CP-3</t>
  </si>
  <si>
    <t>Contingency Training</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</si>
  <si>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</si>
  <si>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or privacy incidents,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</si>
  <si>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AT-2, AT-3, AT-4, CP-2, CP-4, CP-8, IR-2, IR-4, IR-9</t>
  </si>
  <si>
    <t>CP-3(1)</t>
  </si>
  <si>
    <t>Contingency Training | Simulated Events</t>
  </si>
  <si>
    <t>Incorporate simulated events into contingency training to facilitate effective response by personnel in crisis situations.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</si>
  <si>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</si>
  <si>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CP-3(2)</t>
  </si>
  <si>
    <t>Contingency Training | Mechanisms Used in Training Environments</t>
  </si>
  <si>
    <t>Employ mechanisms used in operations to provide a more thorough and realistic contingency training environment.</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</si>
  <si>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</si>
  <si>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CP-4</t>
  </si>
  <si>
    <t>Contingency Plan Testing</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</si>
  <si>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</si>
  <si>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</si>
  <si>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AT-3, CP-2, CP-3, CP-8, CP-9, IR-3, IR-4, PL-2, PM-14, SR-2</t>
  </si>
  <si>
    <t>CP-4(1)</t>
  </si>
  <si>
    <t>Contingency Plan Testing | Coordinate with Related Plans</t>
  </si>
  <si>
    <t>Coordinate contingency plan testing with organizational elements responsible for related plans.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</si>
  <si>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</si>
  <si>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IR-8, PM-8</t>
  </si>
  <si>
    <t>CP-4(2)</t>
  </si>
  <si>
    <t>Contingency Plan Testing | Alternate Processing Site</t>
  </si>
  <si>
    <t>Test the contingency plan at the alternate processing site:
(a) To familiarize contingency personnel with the facility and available resources; and
(b) To evaluate the capabilities of the alternate processing site to support contingency operations.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</si>
  <si>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</si>
  <si>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CP-7</t>
  </si>
  <si>
    <t>CP-4(3)</t>
  </si>
  <si>
    <t>Contingency Plan Testing | Automated Testing</t>
  </si>
  <si>
    <t>Test the contingency plan using [Assignment: organization-defined automated mechanisms].</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</si>
  <si>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</si>
  <si>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CP-4(4)</t>
  </si>
  <si>
    <t>Contingency Plan Testing | Full Recovery and Reconstitution</t>
  </si>
  <si>
    <t>Include a full recovery and reconstitution of the system to a known state as part of contingency plan testing.</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</si>
  <si>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</si>
  <si>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CP-10, SC-24</t>
  </si>
  <si>
    <t>CP-4(5)</t>
  </si>
  <si>
    <t>Contingency Plan Testing | Self-challenge</t>
  </si>
  <si>
    <t>Employ [Assignment: organization-defined mechanisms] to [Assignment: organization-defined system or system component] to disrupt and adversely affect the system or system component.</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</si>
  <si>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</si>
  <si>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CP-5</t>
  </si>
  <si>
    <t>Contingency Plan Update</t>
  </si>
  <si>
    <t>CP-6</t>
  </si>
  <si>
    <t>Alternate Storage Site</t>
  </si>
  <si>
    <t>a. Establish an alternate storage site, including necessary agreements to permit the storage and retrieval of system backup information; and
b. Ensure that the alternate storage site provides controls equivalent to that of the primary site.</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</si>
  <si>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</si>
  <si>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CP-2, CP-7, CP-8, CP-9, CP-10, MP-4, MP-5, PE-3, SC-36, SI-13</t>
  </si>
  <si>
    <t>CP-6(1)</t>
  </si>
  <si>
    <t>Alternate Storage Site | Separation from Primary Site</t>
  </si>
  <si>
    <t>Identify an alternate storage site that is sufficiently separated from the primary storage site to reduce susceptibility to the same threats.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</si>
  <si>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</si>
  <si>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CP-6(2)</t>
  </si>
  <si>
    <t>Alternate Storage Site | Recovery Time and Recovery Point Objectives</t>
  </si>
  <si>
    <t>Configure the alternate storage site to facilitate recovery operations in accordance with recovery time and recovery point objectives.</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</si>
  <si>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</si>
  <si>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CP-6(3)</t>
  </si>
  <si>
    <t>Alternate Storage Site | Accessibility</t>
  </si>
  <si>
    <t>Identify potential accessibility problems to the alternate storage site in the event of an area-wide disruption or disaster and outline explicit mitigation actions.</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</si>
  <si>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</si>
  <si>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Alternate Processing Site</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</si>
  <si>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</si>
  <si>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</si>
  <si>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CP-2, CP-6, CP-8, CP-9, CP-10, MA-6, PE-3, PE-11, PE-12, PE-17, SC-36, SI-13</t>
  </si>
  <si>
    <t>CP-7(1)</t>
  </si>
  <si>
    <t>Alternate Processing Site | Separation from Primary Site</t>
  </si>
  <si>
    <t>Identify an alternate processing site that is sufficiently separated from the primary processing site to reduce susceptibility to the same threats.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</si>
  <si>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</si>
  <si>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CP-7(2)</t>
  </si>
  <si>
    <t>Alternate Processing Site | Accessibility</t>
  </si>
  <si>
    <t>Identify potential accessibility problems to alternate processing sites in the event of an area-wide disruption or disaster and outlines explicit mitigation actions.</t>
  </si>
  <si>
    <t>Area-wide disruptions refer to those types of disruptions that are broad in geographic scope with such determinations made by organizations based on organizational assessments of risk.</t>
  </si>
  <si>
    <t>CP-7(3)</t>
  </si>
  <si>
    <t>Alternate Processing Site | Priority of Service</t>
  </si>
  <si>
    <t>Develop alternate processing site agreements that contain priority-of-service provisions in accordance with availability requirements (including recovery time objectives).</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</si>
  <si>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</si>
  <si>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CP-7(4)</t>
  </si>
  <si>
    <t>Alternate Processing Site | Preparation for Use</t>
  </si>
  <si>
    <t>Prepare the alternate processing site so that the site can serve as the operational site supporting essential mission and business functions.</t>
  </si>
  <si>
    <t>Site preparation includes establishing configuration settings for systems at the alternate processing site consistent with the requirements for such settings at the primary site and ensuring that essential supplies and logistical considerations are in place.</t>
  </si>
  <si>
    <t>CM-2, CM-6, CP-4</t>
  </si>
  <si>
    <t>CP-7(5)</t>
  </si>
  <si>
    <t>Alternate Processing Site | Equivalent Information Security Safeguards</t>
  </si>
  <si>
    <t>CP-7(6)</t>
  </si>
  <si>
    <t>Alternate Processing Site | Inability to Return to Primary Site</t>
  </si>
  <si>
    <t>Plan and prepare for circumstances that preclude returning to the primary processing site.</t>
  </si>
  <si>
    <t>There may be situations that preclude an organization from returning to the primary processing site such as if a natural disaster (e.g., flood or a hurricane) damaged or destroyed a facility and it was determined that rebuilding in the same location was not prudent.</t>
  </si>
  <si>
    <t>CP-8</t>
  </si>
  <si>
    <t>Telecommunications Services</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</si>
  <si>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</si>
  <si>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</si>
  <si>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CP-2, CP-6, CP-7, CP-11, SC-7</t>
  </si>
  <si>
    <t>CP-8(1)</t>
  </si>
  <si>
    <t>Telecommunications Services | Priority of Service Provisions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</si>
  <si>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</si>
  <si>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</si>
  <si>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CP-8(2)</t>
  </si>
  <si>
    <t>Telecommunications Services | Single Points of Failure</t>
  </si>
  <si>
    <t>Obtain alternate telecommunications services to reduce the likelihood of sharing a single point of failure with primary telecommunications services.</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</si>
  <si>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</si>
  <si>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CP-8(3)</t>
  </si>
  <si>
    <t>Telecommunications Services | Separation of Primary and Alternate Providers</t>
  </si>
  <si>
    <t>Obtain alternate telecommunications services from providers that are separated from primary service providers to reduce susceptibility to the same threats.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</si>
  <si>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</si>
  <si>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CP-8(4)</t>
  </si>
  <si>
    <t>Telecommunications Services | Provider Contingency Plan</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</si>
  <si>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</si>
  <si>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</si>
  <si>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CP-3, CP-4</t>
  </si>
  <si>
    <t>CP-8(5)</t>
  </si>
  <si>
    <t>Telecommunications Services | Alternate Telecommunication Service Testing</t>
  </si>
  <si>
    <t>Test alternate telecommunication services [Assignment: organization-defined frequency].</t>
  </si>
  <si>
    <t>Alternate telecommunications services testing is arranged through contractual agreements with service providers. The testing may occur in parallel with normal operations to ensure that there is no degradation in organizational missions or functions.</t>
  </si>
  <si>
    <t>CP-9</t>
  </si>
  <si>
    <t>System Backup</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</si>
  <si>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</si>
  <si>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</si>
  <si>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CP-2, CP-6, CP-10, MP-4, MP-5, SC-8, SC-12, SC-13, SI-4, SI-13</t>
  </si>
  <si>
    <t>CP-9(1)</t>
  </si>
  <si>
    <t>System Backup | Testing for Reliability and Integrity</t>
  </si>
  <si>
    <t>Test backup information [Assignment: organization-defined frequency] to verify media reliability and information integrity.</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</si>
  <si>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</si>
  <si>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CP-9(2)</t>
  </si>
  <si>
    <t>System Backup | Test Restoration Using Sampling</t>
  </si>
  <si>
    <t>Use a sample of backup information in the restoration of selected system functions as part of contingency plan testing.</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</si>
  <si>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</si>
  <si>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CP-9(3)</t>
  </si>
  <si>
    <t>System Backup | Separate Storage for Critical Information</t>
  </si>
  <si>
    <t>Store backup copies of [Assignment: organization-defined critical system software and other security-related information] in a separate facility or in a fire rated container that is not collocated with the operational system.</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</si>
  <si>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</si>
  <si>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CM-2, CM-6, CM-8</t>
  </si>
  <si>
    <t>CP-9(4)</t>
  </si>
  <si>
    <t>System Backup | Protection from Unauthorized Modification</t>
  </si>
  <si>
    <t>CP-9(5)</t>
  </si>
  <si>
    <t>System Backup | Transfer to Alternate Storage Site</t>
  </si>
  <si>
    <t>Transfer system backup information to the alternate storage site [Assignment: organization-defined time period and transfer rate consistent with the recovery time and recovery point objectives].</t>
  </si>
  <si>
    <t>System backup information can be transferred to alternate storage sites either electronically or by the physical shipment of storage media.</t>
  </si>
  <si>
    <t>CP-7, MP-3, MP-4, MP-5</t>
  </si>
  <si>
    <t>CP-9(6)</t>
  </si>
  <si>
    <t>System Backup | Redundant Secondary System</t>
  </si>
  <si>
    <t>Conduct system backup by maintaining a redundant secondary system that is not collocated with the primary system and that can be activated without loss of information or disruption to operations.</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</si>
  <si>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</si>
  <si>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CP-9(7)</t>
  </si>
  <si>
    <t>System Backup | Dual Authorization</t>
  </si>
  <si>
    <t>Enforce dual authorization for the deletion or destruction of [Assignment: organization-defined backup information].</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</si>
  <si>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</si>
  <si>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AC-3, AC-5, MP-2</t>
  </si>
  <si>
    <t>CP-9(8)</t>
  </si>
  <si>
    <t>System Backup | Cryptographic Protection</t>
  </si>
  <si>
    <t>Implement cryptographic mechanisms to prevent unauthorized disclosure and modification of [Assignment: organization-defined backup information].</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</si>
  <si>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</si>
  <si>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CP-10</t>
  </si>
  <si>
    <t>System Recovery and Reconstitution</t>
  </si>
  <si>
    <t>Provide for the recovery and reconstitution of the system to a known state within [Assignment: organization-defined time period consistent with recovery time and recovery point objectives] after a disruption, compromise, or failure.</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</si>
  <si>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</si>
  <si>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CP-2, CP-4, CP-6, CP-7, CP-9, IR-4, SA-8, SC-24, SI-13</t>
  </si>
  <si>
    <t>CP-10(1)</t>
  </si>
  <si>
    <t>System Recovery and Reconstitution | Contingency Plan Testing</t>
  </si>
  <si>
    <t>CP-10(2)</t>
  </si>
  <si>
    <t>System Recovery and Reconstitution | Transaction Recovery</t>
  </si>
  <si>
    <t>Implement transaction recovery for systems that are transaction-based.</t>
  </si>
  <si>
    <t>Transaction-based systems include database management systems and transaction processing systems. Mechanisms supporting transaction recovery include transaction rollback and transaction journaling.</t>
  </si>
  <si>
    <t>CP-10(3)</t>
  </si>
  <si>
    <t>System Recovery and Reconstitution | Compensating Security Controls</t>
  </si>
  <si>
    <t>Addressed through tailoring procedures.</t>
  </si>
  <si>
    <t>CP-10(4)</t>
  </si>
  <si>
    <t>System Recovery and Reconstitution | Restore Within Time Period</t>
  </si>
  <si>
    <t>Provide the capability to restore system components within [Assignment: organization-defined restoration time periods] from configuration-controlled and integrity-protected information representing a known, operational state for the components.</t>
  </si>
  <si>
    <t>Restoration of system components includes reimaging, which restores the components to known, operational states.</t>
  </si>
  <si>
    <t>CM-2, CM-6</t>
  </si>
  <si>
    <t>CP-10(5)</t>
  </si>
  <si>
    <t>System Recovery and Reconstitution | Failover Capability</t>
  </si>
  <si>
    <t>CP-10(6)</t>
  </si>
  <si>
    <t>System Recovery and Reconstitution | Component Protection</t>
  </si>
  <si>
    <t>Protect system components used for recovery and reconstitution.</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</si>
  <si>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</si>
  <si>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AC-3, AC-6, MP-2, MP-4, PE-3, PE-6</t>
  </si>
  <si>
    <t>CP-11</t>
  </si>
  <si>
    <t>Alternate Communications Protocols</t>
  </si>
  <si>
    <t>Provide the capability to employ [Assignment: organization-defined alternative communications protocols] in support of maintaining continuity of operations.</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</si>
  <si>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</si>
  <si>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CP-2, CP-8, CP-13</t>
  </si>
  <si>
    <t>CP-12</t>
  </si>
  <si>
    <t>Safe Mode</t>
  </si>
  <si>
    <t>When [Assignment: organization-defined conditions] are detected, enter a safe mode of operation with [Assignment: organization-defined restrictions of safe mode of operation].</t>
  </si>
  <si>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</si>
  <si>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CM-2, SA-8, SC-24, SI-13, SI-17</t>
  </si>
  <si>
    <t>CP-13</t>
  </si>
  <si>
    <t>Alternative Security Mechanisms</t>
  </si>
  <si>
    <t>Employ [Assignment: organization-defined alternative or supplemental security mechanisms] for satisfying [Assignment: organization-defined security functions] when the primary means of implementing the security function is unavailable or compromised.</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</si>
  <si>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</si>
  <si>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CP-2, CP-11, SI-13</t>
  </si>
  <si>
    <t>IA-1</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</si>
  <si>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</si>
  <si>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</si>
  <si>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AC-1, PM-9, PS-8, SI-12</t>
  </si>
  <si>
    <t>IA-2</t>
  </si>
  <si>
    <t>Identification and Authentication (organizational Users)</t>
  </si>
  <si>
    <t>Uniquely identify and authenticate organizational users and associate that unique identification with processes acting on behalf of those users.</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</si>
  <si>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</si>
  <si>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AC-2, AC-3, AC-4, AC-14, AC-17, AC-18, AU-1, AU-6, IA-4, IA-5, IA-8, MA-4, MA-5, PE-2, PL-4, SA-4, SA-8</t>
  </si>
  <si>
    <t>IA-2(1)</t>
  </si>
  <si>
    <t>Identification and Authentication (organizational Users) | Multi-factor Authentication to Privileged Accounts</t>
  </si>
  <si>
    <t>Implement multi-factor authentication for access to 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</si>
  <si>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</si>
  <si>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IA-2(2)</t>
  </si>
  <si>
    <t>Identification and Authentication (organizational Users) | Multi-factor Authentication to Non-privileged Accounts</t>
  </si>
  <si>
    <t>Implement multi-factor authentication for access to non-privileged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</si>
  <si>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</si>
  <si>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IA-2(3)</t>
  </si>
  <si>
    <t>Identification and Authentication (organizational Users) | Local Access to Privileged Accounts</t>
  </si>
  <si>
    <t>IA-2(4)</t>
  </si>
  <si>
    <t>Identification and Authentication (organizational Users) | Local Access to Non-privileged Accounts</t>
  </si>
  <si>
    <t>IA-2(5)</t>
  </si>
  <si>
    <t>Identification and Authentication (organizational Users) | Individual Authentication with Group Authentication</t>
  </si>
  <si>
    <t>When shared accounts or authenticators are employed, require users to be individually authenticated before granting access to the shared accounts or resources.</t>
  </si>
  <si>
    <t>Individual authentication prior to shared group authentication mitigates the risk of using group accounts or authenticators.</t>
  </si>
  <si>
    <t>IA-2(6)</t>
  </si>
  <si>
    <t>Identification and Authentication (organizational Users) | Access to Accounts — Separate Device</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</si>
  <si>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</si>
  <si>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</si>
  <si>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IA-2(7)</t>
  </si>
  <si>
    <t>Identification and Authentication (organizational Users) | Access to Non-privileged Accounts — Separate Device</t>
  </si>
  <si>
    <t>IA-2(8)</t>
  </si>
  <si>
    <t>Identification and Authentication (organizational Users) | Access to Accounts — Replay Resistant</t>
  </si>
  <si>
    <t>Implement replay-resistant authentication mechanisms for access to [Selection (one or more): privileged accounts; non-privileged accounts].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</si>
  <si>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</si>
  <si>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IA-2(9)</t>
  </si>
  <si>
    <t>Identification and Authentication (organizational Users) | Network Access to Non-privileged Accounts — Replay Resistant</t>
  </si>
  <si>
    <t>IA-2(10)</t>
  </si>
  <si>
    <t>Identification and Authentication (organizational Users) | Single Sign-on</t>
  </si>
  <si>
    <t>Provide a single sign-on capability for [Assignment: organization-defined system accounts and services].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</si>
  <si>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</si>
  <si>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IA-2(11)</t>
  </si>
  <si>
    <t>Identification and Authentication (organizational Users) | Remote Access — Separate Device</t>
  </si>
  <si>
    <t>IA-2(12)</t>
  </si>
  <si>
    <t>Identification and Authentication (organizational Users) | Acceptance of PIV Credentials</t>
  </si>
  <si>
    <t>Accept and electronically verify Personal Identity Verification-compliant credentials.</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</si>
  <si>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</si>
  <si>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IA-2(13)</t>
  </si>
  <si>
    <t>Identification and Authentication (organizational Users) | Out-of-band Authentication</t>
  </si>
  <si>
    <t>Implement the following out-of-band authentication mechanisms under [Assignment: organization-defined conditions]: [Assignment: organization-defined out-of-band authentication].</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</si>
  <si>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</si>
  <si>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IA-10, IA-11, SC-37</t>
  </si>
  <si>
    <t>Device Identification and Authentication</t>
  </si>
  <si>
    <t>Uniquely identify and authenticate [Assignment: organization-defined devices and/or types of devices] before establishing a [Selection (one or more): local; remote; network] connection.</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</si>
  <si>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</si>
  <si>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AC-17, AC-18, AC-19, AU-6, CA-3, CA-9, IA-4, IA-5, IA-9, IA-11, SI-4</t>
  </si>
  <si>
    <t>IA-3(1)</t>
  </si>
  <si>
    <t>Device Identification and Authentication | Cryptographic Bidirectional Authentication</t>
  </si>
  <si>
    <t>Authenticate [Assignment: organization-defined devices and/or types of devices] before establishing [Selection (one or more): local; remote; network] connection using bidirectional authentication that is cryptographically based.</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</si>
  <si>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</si>
  <si>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IA-3(2)</t>
  </si>
  <si>
    <t>Device Identification and Authentication | Cryptographic Bidirectional Network Authentication</t>
  </si>
  <si>
    <t>IA-3(3)</t>
  </si>
  <si>
    <t>Device Identification and Authentication | Dynamic Address Allocation</t>
  </si>
  <si>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</si>
  <si>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The Dynamic Host Configuration Protocol (DHCP) is an example of a means by which clients can dynamically receive network address assignments.</t>
  </si>
  <si>
    <t>IA-3(4)</t>
  </si>
  <si>
    <t>Device Identification and Authentication | Device Attestation</t>
  </si>
  <si>
    <t>Handle device identification and authentication based on attestation by [Assignment: organization-defined configuration management process].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</si>
  <si>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</si>
  <si>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CM-2, CM-3, CM-6</t>
  </si>
  <si>
    <t>IA-4</t>
  </si>
  <si>
    <t>Identifier Management</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</si>
  <si>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</si>
  <si>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</si>
  <si>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AC-5, IA-2, IA-3, IA-5, IA-8, IA-9, IA-12, MA-4, PE-2, PE-3, PE-4, PL-4, PM-12, PS-3, PS-4, PS-5, SC-37</t>
  </si>
  <si>
    <t>IA-4(1)</t>
  </si>
  <si>
    <t>Identifier Management | Prohibit Account Identifiers as Public Identifiers</t>
  </si>
  <si>
    <t>Prohibit the use of system account identifiers that are the same as public identifiers for individual accounts.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</si>
  <si>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</si>
  <si>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AT-2, PT-7</t>
  </si>
  <si>
    <t>IA-4(2)</t>
  </si>
  <si>
    <t>Identifier Management | Supervisor Authorization</t>
  </si>
  <si>
    <t>IA-4(3)</t>
  </si>
  <si>
    <t>Identifier Management | Multiple Forms of Certification</t>
  </si>
  <si>
    <t>IA-4(4)</t>
  </si>
  <si>
    <t>Identifier Management | Identify User Status</t>
  </si>
  <si>
    <t>Manage individual identifiers by uniquely identifying each individual as [Assignment: organization-defined characteristic identifying individual status].</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</si>
  <si>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</si>
  <si>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IA-4(5)</t>
  </si>
  <si>
    <t>Identifier Management | Dynamic Management</t>
  </si>
  <si>
    <t>Manage individual identifiers dynamically in accordance with [Assignment: organization-defined dynamic identifier policy].</t>
  </si>
  <si>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</si>
  <si>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IA-4(6)</t>
  </si>
  <si>
    <t>Identifier Management | Cross-organization Management</t>
  </si>
  <si>
    <t>Coordinate with the following external organizations for cross-organization management of identifiers: [Assignment: organization-defined external organizations].</t>
  </si>
  <si>
    <t>Cross-organization identifier management provides the capability to identify individuals, groups, roles, or devices when conducting cross-organization activities involving the processing, storage, or transmission of information.</t>
  </si>
  <si>
    <t>AU-16, IA-2, IA-5</t>
  </si>
  <si>
    <t>IA-4(7)</t>
  </si>
  <si>
    <t>Identifier Management | In-person Registration</t>
  </si>
  <si>
    <t>IA-4(8)</t>
  </si>
  <si>
    <t>Identifier Management | Pairwise Pseudonymous Identifiers</t>
  </si>
  <si>
    <t>Generate pairwise pseudonymous identifiers.</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</si>
  <si>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</si>
  <si>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IA-5</t>
  </si>
  <si>
    <t>IA-4(9)</t>
  </si>
  <si>
    <t>Identifier Management | Attribute Maintenance and Protection</t>
  </si>
  <si>
    <t>Maintain the attributes for each uniquely identified individual, device, or service in [Assignment: organization-defined protected central storage].</t>
  </si>
  <si>
    <t>For each of the entities covered in IA-2, IA-3, IA-8, and IA-9, it is important to maintain the attributes for each authenticated entity on an ongoing basis in a central (protected) store.</t>
  </si>
  <si>
    <t>Authenticator Management</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</si>
  <si>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</si>
  <si>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</si>
  <si>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AC-3, AC-6, CM-6, IA-2, IA-4, IA-7, IA-8, IA-9, MA-4, PE-2, PL-4, SC-12, SC-13</t>
  </si>
  <si>
    <t>IA-5(1)</t>
  </si>
  <si>
    <t>Authenticator Management | Password-based Authentication</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</si>
  <si>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</si>
  <si>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</si>
  <si>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IA-6</t>
  </si>
  <si>
    <t>IA-5(2)</t>
  </si>
  <si>
    <t>Authenticator Management | Public Key-based Authentication</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</si>
  <si>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</si>
  <si>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</si>
  <si>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IA-3, SC-17</t>
  </si>
  <si>
    <t>IA-5(3)</t>
  </si>
  <si>
    <t>Authenticator Management | In-person or Trusted External Party Registration</t>
  </si>
  <si>
    <t>IA-5(4)</t>
  </si>
  <si>
    <t>Authenticator Management | Automated Support for Password Strength Determination</t>
  </si>
  <si>
    <t>IA-5(5)</t>
  </si>
  <si>
    <t>Authenticator Management | Change Authenticators Prior to Delivery</t>
  </si>
  <si>
    <t>Require developers and installers of system components to provide unique authenticators or change default authenticators prior to delivery and installation.</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</si>
  <si>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</si>
  <si>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IA-5(6)</t>
  </si>
  <si>
    <t>Authenticator Management | Protection of Authenticators</t>
  </si>
  <si>
    <t>Protect authenticators commensurate with the security category of the information to which use of the authenticator permits access.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</si>
  <si>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</si>
  <si>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RA-2</t>
  </si>
  <si>
    <t>IA-5(7)</t>
  </si>
  <si>
    <t>Authenticator Management | No Embedded Unencrypted Static Authenticators</t>
  </si>
  <si>
    <t>Ensure that unencrypted static authenticators are not embedded in applications or other forms of static storage.</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</si>
  <si>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</si>
  <si>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IA-5(8)</t>
  </si>
  <si>
    <t>Authenticator Management | Multiple System Accounts</t>
  </si>
  <si>
    <t>Implement [Assignment: organization-defined security controls] to manage the risk of compromise due to individuals having accounts on multiple systems.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</si>
  <si>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</si>
  <si>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PS-6</t>
  </si>
  <si>
    <t>IA-5(9)</t>
  </si>
  <si>
    <t>Authenticator Management | Federated Credential Management</t>
  </si>
  <si>
    <t>Use the following external organizations to federate credentials: [Assignment: organization-defined external organizations].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</si>
  <si>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</si>
  <si>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AU-7, AU-16</t>
  </si>
  <si>
    <t>IA-5(10)</t>
  </si>
  <si>
    <t>Authenticator Management | Dynamic Credential Binding</t>
  </si>
  <si>
    <t>Bind identities and authenticators dynamically using the following rules: [Assignment: organization-defined binding rules].</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</si>
  <si>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</si>
  <si>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AU-16, IA-5</t>
  </si>
  <si>
    <t>IA-5(11)</t>
  </si>
  <si>
    <t>Authenticator Management | Hardware Token-based Authentication</t>
  </si>
  <si>
    <t>IA-5(12)</t>
  </si>
  <si>
    <t>Authenticator Management | Biometric Authentication Performance</t>
  </si>
  <si>
    <t>For biometric-based authentication, employ mechanisms that satisfy the following biometric quality requirements [Assignment: organization-defined biometric quality requirements].</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</si>
  <si>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</si>
  <si>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IA-5(13)</t>
  </si>
  <si>
    <t>Authenticator Management | Expiration of Cached Authenticators</t>
  </si>
  <si>
    <t>Prohibit the use of cached authenticators after [Assignment: organization-defined time period].</t>
  </si>
  <si>
    <t>Cached authenticators are used to authenticate to the local machine when the network is not available. If cached authentication information is out of date, the validity of the authentication information may be questionable.</t>
  </si>
  <si>
    <t>IA-5(14)</t>
  </si>
  <si>
    <t>Authenticator Management | Managing Content of PKI Trust Stores</t>
  </si>
  <si>
    <t>For PKI-based authentication, employ an organization-wide methodology for managing the content of PKI trust stores installed across all platforms, including networks, operating systems, browsers, and applications.</t>
  </si>
  <si>
    <t>An organization-wide methodology for managing the content of PKI trust stores helps improve the accuracy and currency of PKI-based authentication credentials across the organization.</t>
  </si>
  <si>
    <t>IA-5(15)</t>
  </si>
  <si>
    <t>Authenticator Management | Gsa-approved Products and Services</t>
  </si>
  <si>
    <t>Use only General Services Administration-approved products and services for identity, credential, and access management.</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</si>
  <si>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</si>
  <si>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IA-5(16)</t>
  </si>
  <si>
    <t>Authenticator Management | In-person or Trusted External Party Authenticator Issuance</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</si>
  <si>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</si>
  <si>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Issuing authenticators in person or by a trusted external party enhances and reinforces the trustworthiness of the identity proofing process.</t>
  </si>
  <si>
    <t>IA-12</t>
  </si>
  <si>
    <t>IA-5(17)</t>
  </si>
  <si>
    <t>Authenticator Management | Presentation Attack Detection for Biometric Authenticators</t>
  </si>
  <si>
    <t>Employ presentation attack detection mechanisms for biometric-based authentication.</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</si>
  <si>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</si>
  <si>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IA-5(18)</t>
  </si>
  <si>
    <t>Authenticator Management | Password Managers</t>
  </si>
  <si>
    <t>(a) Employ [Assignment: organization-defined password managers] to generate and manage passwords; and
(b) Protect the passwords using [Assignment: organization-defined controls].</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</si>
  <si>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</si>
  <si>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Authentication Feedback</t>
  </si>
  <si>
    <t>Obscure feedback of authentication information during the authentication process to protect the information from possible exploitation and use by unauthorized individuals.</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</si>
  <si>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</si>
  <si>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IA-7</t>
  </si>
  <si>
    <t>Cryptographic Module Authentication</t>
  </si>
  <si>
    <t>Implement mechanisms for authentication to a cryptographic module that meet the requirements of applicable laws, executive orders, directives, policies, regulations, standards, and guidelines for such authentication.</t>
  </si>
  <si>
    <t>Authentication mechanisms may be required within a cryptographic module to authenticate an operator accessing the module and to verify that the operator is authorized to assume the requested role and perform services within that role.</t>
  </si>
  <si>
    <t>AC-3, IA-5, SA-4, SC-12, SC-13</t>
  </si>
  <si>
    <t>IA-8</t>
  </si>
  <si>
    <t>Identification and Authentication (non-organizational Users)</t>
  </si>
  <si>
    <t>Uniquely identify and authenticate non-organizational users or processes acting on behalf of non-organizational users.</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</si>
  <si>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</si>
  <si>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AC-2, AC-6, AC-14, AC-17, AC-18, AU-6, IA-2, IA-4, IA-5, IA-10, IA-11, MA-4, RA-3, SA-4, SC-8</t>
  </si>
  <si>
    <t>IA-8(1)</t>
  </si>
  <si>
    <t>Identification and Authentication (non-organizational Users) | Acceptance of PIV Credentials from Other Agencies</t>
  </si>
  <si>
    <t>Accept and electronically verify Personal Identity Verification-compliant credentials from other federal agencies.</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</si>
  <si>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</si>
  <si>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PE-3</t>
  </si>
  <si>
    <t>IA-8(2)</t>
  </si>
  <si>
    <t>Identification and Authentication (non-organizational Users) | Acceptance of External Authenticators</t>
  </si>
  <si>
    <t>(a) Accept only external authenticators that are NIST-compliant; and
(b) Document and maintain a list of accepted external authenticators.</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</si>
  <si>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</si>
  <si>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IA-8(3)</t>
  </si>
  <si>
    <t>Identification and Authentication (non-organizational Users) | Use of Ficam-approved Products</t>
  </si>
  <si>
    <t>IA-8(4)</t>
  </si>
  <si>
    <t>Identification and Authentication (non-organizational Users) | Use of Defined Profiles</t>
  </si>
  <si>
    <t>Conform to the following profiles for identity management [Assignment: organization-defined identity management profiles].</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</si>
  <si>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</si>
  <si>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IA-8(5)</t>
  </si>
  <si>
    <t>Identification and Authentication (non-organizational Users) | Acceptance of PIV-I Credentials</t>
  </si>
  <si>
    <t>Accept and verify federated or PKI credentials that meet [Assignment: organization-defined policy].</t>
  </si>
  <si>
    <t>Acceptance of PIV-I credentials can be implemented by PIV, PIV-I, and other commercial or external identity providers. The acceptance and verification of Personal Identity Verification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</si>
  <si>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IA-8(6)</t>
  </si>
  <si>
    <t>Identification and Authentication (non-organizational Users) | Disassociability</t>
  </si>
  <si>
    <t>Implement the following measures to disassociate user attributes or identifier assertion relationships among individuals, credential service providers, and relying parties: [Assignment: organization-defined measures].</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</si>
  <si>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</si>
  <si>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IA-9</t>
  </si>
  <si>
    <t>Service Identification and Authentication</t>
  </si>
  <si>
    <t>Uniquely identify and authenticate [Assignment: organization-defined system services and applications] before establishing communications with devices, users, or other services or applications.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</si>
  <si>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</si>
  <si>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IA-3, IA-4, IA-5, SC-8</t>
  </si>
  <si>
    <t>IA-9(1)</t>
  </si>
  <si>
    <t>Service Identification and Authentication | Information Exchange</t>
  </si>
  <si>
    <t>IA-9(2)</t>
  </si>
  <si>
    <t>Service Identification and Authentication | Transmission of Decisions</t>
  </si>
  <si>
    <t>IA-10</t>
  </si>
  <si>
    <t>Adaptive Authentication</t>
  </si>
  <si>
    <t>Require individuals accessing the system to employ [Assignment: organization-defined supplemental authentication techniques or mechanisms] under specific [Assignment: organization-defined circumstances or situations].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</si>
  <si>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</si>
  <si>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IA-2, IA-8</t>
  </si>
  <si>
    <t>IA-11</t>
  </si>
  <si>
    <t>Re-authentication</t>
  </si>
  <si>
    <t>Require users to re-authenticate when [Assignment: organization-defined circumstances or situations requiring re-authentication].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</si>
  <si>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</si>
  <si>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AC-3, AC-11, IA-2, IA-3, IA-4, IA-8</t>
  </si>
  <si>
    <t>Identity Proofing</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</si>
  <si>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</si>
  <si>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</si>
  <si>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AC-5, IA-1, IA-2, IA-3, IA-4, IA-5, IA-6, IA-8</t>
  </si>
  <si>
    <t>IA-12(1)</t>
  </si>
  <si>
    <t>Identity Proofing | Supervisor Authorization</t>
  </si>
  <si>
    <t>Require that the registration process to receive an account for logical access includes supervisor or sponsor authorization.</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</si>
  <si>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</si>
  <si>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IA-12(2)</t>
  </si>
  <si>
    <t>Identity Proofing | Identity Evidence</t>
  </si>
  <si>
    <t>Require evidence of individual identification be presented to the registration authority.</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</si>
  <si>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</si>
  <si>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IA-12(3)</t>
  </si>
  <si>
    <t>Identity Proofing | Identity Evidence Validation and Verification</t>
  </si>
  <si>
    <t>Require that the presented identity evidence be validated and verified through [Assignment: organizational defined methods of validation and verification].</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</si>
  <si>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</si>
  <si>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IA-12(4)</t>
  </si>
  <si>
    <t>Identity Proofing | In-person Validation and Verification</t>
  </si>
  <si>
    <t>Require that the validation and verification of identity evidence be conducted in person before a designated registration authority.</t>
  </si>
  <si>
    <t>In-person proofing reduces the likelihood of fraudulent credentials being issued because it requires the physical presence of individuals, the presentation of physical identity documents, and actual face-to-face interactions with designated registration authorities.</t>
  </si>
  <si>
    <t>IA-12(5)</t>
  </si>
  <si>
    <t>Identity Proofing | Address Confirmation</t>
  </si>
  <si>
    <t>Require that a [Selection: registration code; notice of proofing] be delivered through an out-of-band channel to verify the users address (physical or digital) of record.</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</si>
  <si>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</si>
  <si>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IA-12(6)</t>
  </si>
  <si>
    <t>Identity Proofing | Accept Externally-proofed Identities</t>
  </si>
  <si>
    <t>Accept externally-proofed identities at [Assignment: organization-defined identity assurance level].</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</si>
  <si>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</si>
  <si>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IA-3, IA-4, IA-5, IA-8</t>
  </si>
  <si>
    <t>IR-1</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</si>
  <si>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</si>
  <si>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or privacy incidents, or changes in laws, executive orders, directives, regulations, policies, standards, and guidelines. Simply restating controls does not constitute an organizational policy or procedure.</t>
  </si>
  <si>
    <t>IR-2</t>
  </si>
  <si>
    <t>Incident Response Training</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</si>
  <si>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</si>
  <si>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</si>
  <si>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AT-2, AT-3, AT-4, CP-3, IR-3, IR-4, IR-8, IR-9</t>
  </si>
  <si>
    <t>IR-2(1)</t>
  </si>
  <si>
    <t>Incident Response Training | Simulated Events</t>
  </si>
  <si>
    <t>Incorporate simulated events into incident response training to facilitate the required response by personnel in crisis situations.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</si>
  <si>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 Incident response training includes tabletop exercises that simulate a breach. See IR-2(3).</t>
  </si>
  <si>
    <t>IR-2(2)</t>
  </si>
  <si>
    <t>Incident Response Training | Automated Training Environments</t>
  </si>
  <si>
    <t>Provide an incident response training environment using [Assignment: organization-defined automated mechanisms].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</si>
  <si>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</si>
  <si>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IR-2(3)</t>
  </si>
  <si>
    <t>Incident Response Training | Breach</t>
  </si>
  <si>
    <t>Provide incident response training on how to identify and respond to a breach, including the organization’s process for reporting a breach.</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</si>
  <si>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</si>
  <si>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IR-3</t>
  </si>
  <si>
    <t>Incident Response Testing</t>
  </si>
  <si>
    <t>Test the effectiveness of the incident response capability for the system [Assignment: organization-defined frequency] using the following tests: [Assignment: organization-defined tests].</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</si>
  <si>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</si>
  <si>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CP-3, CP-4, IR-2, IR-4, IR-8, PM-14</t>
  </si>
  <si>
    <t>IR-3(1)</t>
  </si>
  <si>
    <t>Incident Response Testing | Automated Testing</t>
  </si>
  <si>
    <t>Test the incident response capability using [Assignment: organization-defined automated mechanisms].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</si>
  <si>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</si>
  <si>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IR-3(2)</t>
  </si>
  <si>
    <t>Incident Response Testing | Coordination with Related Plans</t>
  </si>
  <si>
    <t>Coordinate incident response testing with organizational elements responsible for related plans.</t>
  </si>
  <si>
    <t>Organizational plans related to incident response testing include business continuity plans, disaster recovery plans, continuity of operations plans, contingency plans, crisis communications plans, critical infrastructure plans, and occupant emergency plans.</t>
  </si>
  <si>
    <t>IR-3(3)</t>
  </si>
  <si>
    <t>Incident Response Testing | Continuous Improvement</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</si>
  <si>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</si>
  <si>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</si>
  <si>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IR-4</t>
  </si>
  <si>
    <t>Incident Handling</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</si>
  <si>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</si>
  <si>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</si>
  <si>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AC-19, AU-6, AU-7, CM-6, CP-2, CP-3, CP-4, IR-2, IR-3, IR-6, IR-8, PE-6, PL-2, PM-12, SA-8, SC-5, SC-7, SI-3, SI-4, SI-7</t>
  </si>
  <si>
    <t>IR-4(1)</t>
  </si>
  <si>
    <t>Incident Handling | Automated Incident Handling Processes</t>
  </si>
  <si>
    <t>Support the incident handling process using [Assignment: organization-defined automated mechanisms].</t>
  </si>
  <si>
    <t>Automated mechanisms that support incident handling processes include online incident management systems and tools that support the collection of live response data, full network packet capture, and forensic analysis.</t>
  </si>
  <si>
    <t>IR-4(2)</t>
  </si>
  <si>
    <t>Incident Handling | Dynamic Reconfiguration</t>
  </si>
  <si>
    <t>Include the following types of dynamic reconfiguration for [Assignment: organization-defined system components] as part of the incident response capability: [Assignment: organization-defined types of dynamic reconfiguration].</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</si>
  <si>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</si>
  <si>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AC-2, AC-4, CM-2</t>
  </si>
  <si>
    <t>IR-4(3)</t>
  </si>
  <si>
    <t>Incident Handling | Continuity of Operations</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</si>
  <si>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</si>
  <si>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</si>
  <si>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IR-4(4)</t>
  </si>
  <si>
    <t>Incident Handling | Information Correlation</t>
  </si>
  <si>
    <t>Correlate incident information and individual incident responses to achieve an organization-wide perspective on incident awareness and response.</t>
  </si>
  <si>
    <t>Sometimes, a threat event, such as a hostile cyber-attack, can only be observed by bringing together information from different sources, including various reports and reporting procedures established by organizations.</t>
  </si>
  <si>
    <t>IR-4(5)</t>
  </si>
  <si>
    <t>Incident Handling | Automatic Disabling of System</t>
  </si>
  <si>
    <t>Implement a configurable capability to automatically disable the system if [Assignment: organization-defined security violations] are detected.</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</si>
  <si>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</si>
  <si>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IR-4(6)</t>
  </si>
  <si>
    <t>Incident Handling | Insider Threats</t>
  </si>
  <si>
    <t>Implement an incident handling capability for incidents involving insider threats.</t>
  </si>
  <si>
    <t>Explicit focus on handling incidents involving insider threats provides additional emphasis on this type of threat and the need for specific incident handling capabilities to provide appropriate and timely responses.</t>
  </si>
  <si>
    <t>IR-4(7)</t>
  </si>
  <si>
    <t>Incident Handling | Insider Threats — Intra-organization Coordination</t>
  </si>
  <si>
    <t>Coordinate an incident handling capability for insider threats that includes the following organizational entities [Assignment: organization-defined entities].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</si>
  <si>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</si>
  <si>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IR-4(8)</t>
  </si>
  <si>
    <t>Incident Handling | Correlation with External Organizations</t>
  </si>
  <si>
    <t>Coordinate with [Assignment: organization-defined external organizations] to correlate and share [Assignment: organization-defined incident information] to achieve a cross-organization perspective on incident awareness and more effective incident responses.</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</si>
  <si>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</si>
  <si>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AU-16, PM-16</t>
  </si>
  <si>
    <t>IR-4(9)</t>
  </si>
  <si>
    <t>Incident Handling | Dynamic Response Capability</t>
  </si>
  <si>
    <t>Employ [Assignment: organization-defined dynamic response capabilities] to respond to incidents.</t>
  </si>
  <si>
    <t>The dynamic response capability addresses the timely deployment of new or replacement organizational capabilities in response to incidents. This includes capabilities implemented at the mission and business process level and at the system level.</t>
  </si>
  <si>
    <t>IR-4(10)</t>
  </si>
  <si>
    <t>Incident Handling | Supply Chain Coordination</t>
  </si>
  <si>
    <t>Coordinate incident handling activities involving supply chain events with other organizations involved in the supply chain.</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</si>
  <si>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</si>
  <si>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CA-3, MA-2, SA-9, SR-8</t>
  </si>
  <si>
    <t>IR-4(11)</t>
  </si>
  <si>
    <t>Incident Handling | Integrated Incident Response Team</t>
  </si>
  <si>
    <t>Establish and maintain an integrated incident response team that can be deployed to any location identified by the organization in [Assignment: organization-defined time period].</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</si>
  <si>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</si>
  <si>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IR-4(12)</t>
  </si>
  <si>
    <t>Incident Handling | Malicious Code and Forensic Analysis</t>
  </si>
  <si>
    <t>Analyze malicious code and/or other residual artifacts remaining in the system after the incident.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</si>
  <si>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</si>
  <si>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IR-4(13)</t>
  </si>
  <si>
    <t>Incident Handling | Behavior Analysis</t>
  </si>
  <si>
    <t>Analyze anomalous or suspected adversarial behavior in or related to [Assignment: organization-defined environments or resources].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</si>
  <si>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</si>
  <si>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IR-4(14)</t>
  </si>
  <si>
    <t>Incident Handling | Security Operations Center</t>
  </si>
  <si>
    <t>Establish and maintain a security operations center.</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</si>
  <si>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</si>
  <si>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IR-4(15)</t>
  </si>
  <si>
    <t>Incident Handling | Public Relations and Reputation Repair</t>
  </si>
  <si>
    <t>(a) Manage public relations associated with an incident; and
(b) Employ measures to repair the reputation of the organization.</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</si>
  <si>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</si>
  <si>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IR-5</t>
  </si>
  <si>
    <t>Incident Monitoring</t>
  </si>
  <si>
    <t>Track and document incidents.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</si>
  <si>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</si>
  <si>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AU-6, AU-7, IR-8, PE-6, PM-5, SC-5, SC-7, SI-3, SI-4, SI-7</t>
  </si>
  <si>
    <t>IR-5(1)</t>
  </si>
  <si>
    <t>Incident Monitoring | Automated Tracking, Data Collection, and Analysis</t>
  </si>
  <si>
    <t>Track incidents and collect and analyze incident information using [Assignment: organization-defined automated mechanisms].</t>
  </si>
  <si>
    <t>Automated mechanisms for tracking incidents and collecting and analyzing incident information include Computer Incident Response Centers or other electronic databases of incidents and network monitoring devices.</t>
  </si>
  <si>
    <t>AU-7, IR-4</t>
  </si>
  <si>
    <t>IR-6</t>
  </si>
  <si>
    <t>Incident Reporting</t>
  </si>
  <si>
    <t>a. Require personnel to report suspected incidents to the organizational incident response capability within [Assignment: organization-defined time period]; and
b. Report incident information to [Assignment: organization-defined authorities].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</si>
  <si>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</si>
  <si>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CM-6, CP-2, IR-4, IR-5, IR-8, IR-9</t>
  </si>
  <si>
    <t>IR-6(1)</t>
  </si>
  <si>
    <t>Incident Reporting | Automated Reporting</t>
  </si>
  <si>
    <t>Report incidents using [Assignment: organization-defined automated mechanisms].</t>
  </si>
  <si>
    <t>The recipients of incident reports are specified in IR-6b. Automated reporting mechanisms include email, posting on websites (with automatic updates), and automated incident response tools and programs.</t>
  </si>
  <si>
    <t>IR-7</t>
  </si>
  <si>
    <t>IR-6(2)</t>
  </si>
  <si>
    <t>Incident Reporting | Vulnerabilities Related to Incidents</t>
  </si>
  <si>
    <t>Report system vulnerabilities associated with reported incidents to [Assignment: organization-defined personnel or roles].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</si>
  <si>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</si>
  <si>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IR-6(3)</t>
  </si>
  <si>
    <t>Incident Reporting | Supply Chain Coordination</t>
  </si>
  <si>
    <t>Provide incident information to the provider of the product or service and other organizations involved in the supply chain or supply chain governance for systems or system components related to the incident.</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</si>
  <si>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</si>
  <si>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SR-8</t>
  </si>
  <si>
    <t>Incident Response Assistance</t>
  </si>
  <si>
    <t>Provide an incident response support resource, integral to the organizational incident response capability, that offers advice and assistance to users of the system for the handling and reporting of incidents.</t>
  </si>
  <si>
    <t>Incident response support resources provided by organizations include help desks, assistance groups, automated ticketing systems to open and track incident response tickets, and access to forensics services or consumer redress services, when required.</t>
  </si>
  <si>
    <t>AT-2, AT-3, IR-4, IR-6, IR-8, PM-22, PM-26, SA-9, SI-18</t>
  </si>
  <si>
    <t>IR-7(1)</t>
  </si>
  <si>
    <t>Incident Response Assistance | Automation Support for Availability of Information and Support</t>
  </si>
  <si>
    <t>Increase the availability of incident response information and support using [Assignment: organization-defined automated mechanisms].</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</si>
  <si>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</si>
  <si>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IR-7(2)</t>
  </si>
  <si>
    <t>Incident Response Assistance | Coordination with External Providers</t>
  </si>
  <si>
    <t>(a) Establish a direct, cooperative relationship between its incident response capability and external providers of system protection capability; and
(b) Identify organizational incident response team members to the external providers.</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</si>
  <si>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</si>
  <si>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IR-8</t>
  </si>
  <si>
    <t>Incident Response Plan</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</si>
  <si>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</si>
  <si>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</si>
  <si>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AC-2, CP-2, CP-4, IR-4, IR-7, IR-9, PE-6, PL-2, SA-15, SI-12, SR-8</t>
  </si>
  <si>
    <t>IR-8(1)</t>
  </si>
  <si>
    <t>Incident Response Plan | Breaches</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</si>
  <si>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</si>
  <si>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Organizations may be required by law, regulation, or policy to follow specific procedures relating to breaches, including notice to individuals, affected organizations, and oversight bodies; standards of harm; and mitigation or other specific requirements.</t>
  </si>
  <si>
    <t>PT-1, PT-2, PT-3, PT-4, PT-5, PT-7</t>
  </si>
  <si>
    <t>IR-9</t>
  </si>
  <si>
    <t>Information Spillage Response</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</si>
  <si>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</si>
  <si>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</si>
  <si>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CP-2, IR-6, PM-26, PM-27, PT-2, PT-3, PT-7, RA-7</t>
  </si>
  <si>
    <t>IR-9(1)</t>
  </si>
  <si>
    <t>Information Spillage Response | Responsible Personnel</t>
  </si>
  <si>
    <t>IR-9(2)</t>
  </si>
  <si>
    <t>Information Spillage Response | Training</t>
  </si>
  <si>
    <t>Provide information spillage response training [Assignment: organization-defined frequency].</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</si>
  <si>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</si>
  <si>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AT-2, AT-3, CP-3, IR-2</t>
  </si>
  <si>
    <t>IR-9(3)</t>
  </si>
  <si>
    <t>Information Spillage Response | Post-spill Operations</t>
  </si>
  <si>
    <t>Implement the following procedures to ensure that organizational personnel impacted by information spills can continue to carry out assigned tasks while contaminated systems are undergoing corrective actions: [Assignment: organization-defined procedures].</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</si>
  <si>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</si>
  <si>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IR-9(4)</t>
  </si>
  <si>
    <t>Information Spillage Response | Exposure to Unauthorized Personnel</t>
  </si>
  <si>
    <t>Employ the following controls for personnel exposed to information not within assigned access authorizations: [Assignment: organization-defined controls].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</si>
  <si>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</si>
  <si>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IR-10</t>
  </si>
  <si>
    <t>Incident Analysis</t>
  </si>
  <si>
    <t>MA-1</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</si>
  <si>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</si>
  <si>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or privacy incidents, or changes in applicable laws, executive orders, directives, regulations, policies, standards, and guidelines. Simply restating controls does not constitute an organizational policy or procedure.</t>
  </si>
  <si>
    <t>MA-2</t>
  </si>
  <si>
    <t>Controlled Maintenance</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</si>
  <si>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</si>
  <si>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</si>
  <si>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CM-2, CM-3, CM-4, CM-5, CM-8, MA-4, MP-6, PE-16, SI-2, SR-3, SR-4, SR-11</t>
  </si>
  <si>
    <t>MA-2(1)</t>
  </si>
  <si>
    <t>Controlled Maintenance | Record Content</t>
  </si>
  <si>
    <t>MA-2(2)</t>
  </si>
  <si>
    <t>Controlled Maintenance | Automated Maintenance Activities</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</si>
  <si>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</si>
  <si>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The use of automated mechanisms to manage and control system maintenance programs and activities helps to ensure the generation of timely, accurate, complete, and consistent maintenance records.</t>
  </si>
  <si>
    <t>MA-3</t>
  </si>
  <si>
    <t>Maintenance Tools</t>
  </si>
  <si>
    <t>a. Approve, control, and monitor the use of system maintenance tools; and
b. Review previously approved system maintenance tools [Assignment: organization-defined frequency].</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</si>
  <si>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</si>
  <si>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MA-2, PE-16</t>
  </si>
  <si>
    <t>MA-3(1)</t>
  </si>
  <si>
    <t>Maintenance Tools | Inspect Tools</t>
  </si>
  <si>
    <t>Inspect the maintenance tools used by maintenance personnel for improper or unauthorized modifications.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</si>
  <si>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</si>
  <si>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MA-3(2)</t>
  </si>
  <si>
    <t>Maintenance Tools | Inspect Media</t>
  </si>
  <si>
    <t>Check media containing diagnostic and test programs for malicious code before the media are used in the system.</t>
  </si>
  <si>
    <t>If, upon inspection of media containing maintenance, diagnostic, and test programs, organizations determine that the media contains malicious code, the incident is handled consistent with organizational incident handling policies and procedures.</t>
  </si>
  <si>
    <t>MA-3(3)</t>
  </si>
  <si>
    <t>Maintenance Tools | Prevent Unauthorized Removal</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</si>
  <si>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</si>
  <si>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Organizational information includes all information owned by organizations and any information provided to organizations for which the organizations serve as information stewards.</t>
  </si>
  <si>
    <t>MA-3(4)</t>
  </si>
  <si>
    <t>Maintenance Tools | Restricted Tool Use</t>
  </si>
  <si>
    <t>Restrict the use of maintenance tools to authorized personnel only.</t>
  </si>
  <si>
    <t>Restricting the use of maintenance tools to only authorized personnel applies to systems that are used to carry out maintenance functions.</t>
  </si>
  <si>
    <t>AC-3, AC-5, AC-6</t>
  </si>
  <si>
    <t>MA-3(5)</t>
  </si>
  <si>
    <t>Maintenance Tools | Execution with Privilege</t>
  </si>
  <si>
    <t>Monitor the use of maintenance tools that execute with increased privilege.</t>
  </si>
  <si>
    <t>Maintenance tools that execute with increased system privilege can result in unauthorized access to organizational information and assets that would otherwise be inaccessible.</t>
  </si>
  <si>
    <t>AC-3, AC-6</t>
  </si>
  <si>
    <t>MA-3(6)</t>
  </si>
  <si>
    <t>Maintenance Tools | Software Updates and Patches</t>
  </si>
  <si>
    <t>Inspect maintenance tools to ensure the latest software updates and patches are installed.</t>
  </si>
  <si>
    <t>Maintenance tools using outdated and/or unpatched software can provide a threat vector for adversaries and result in a significant vulnerability for organizations.</t>
  </si>
  <si>
    <t>MA-4</t>
  </si>
  <si>
    <t>Nonlocal Maintenance</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</si>
  <si>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</si>
  <si>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</si>
  <si>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AC-2, AC-3, AC-6, AC-17, AU-2, AU-3, IA-2, IA-4, IA-5, IA-8, MA-2, MA-5, PL-2, SC-7, SC-10</t>
  </si>
  <si>
    <t>MA-4(1)</t>
  </si>
  <si>
    <t>Nonlocal Maintenance | Logging and Review</t>
  </si>
  <si>
    <t>(a) Log [Assignment: organization-defined audit events] for nonlocal maintenance and diagnostic sessions; and
(b) Review the audit records of the maintenance and diagnostic sessions to detect anomalous behavior.</t>
  </si>
  <si>
    <t>Audit logging for nonlocal maintenance is enforced by AU-2. Audit events are defined in AU-2a.</t>
  </si>
  <si>
    <t>AU-6, AU-12</t>
  </si>
  <si>
    <t>MA-4(2)</t>
  </si>
  <si>
    <t>Nonlocal Maintenance | Logically separated communications paths.</t>
  </si>
  <si>
    <t>Discussion:  Communications paths can be logically separated using encryption.</t>
  </si>
  <si>
    <t>MA-4(3)</t>
  </si>
  <si>
    <t>Nonlocal Maintenance | Comparable Security and Sanitization</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</si>
  <si>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</si>
  <si>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Comparable security capability on systems, diagnostic tools, and equipment providing maintenance services implies that the implemented controls on those systems, tools, and equipment are at least as comprehensive as the controls on the system being serviced.</t>
  </si>
  <si>
    <t>MP-6, SI-3, SI-7</t>
  </si>
  <si>
    <t>MA-4(4)</t>
  </si>
  <si>
    <t>Nonlocal Maintenance | Authentication and Separation of Maintenance Sessions</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</si>
  <si>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</si>
  <si>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Communications paths can be logically separated using encryption.</t>
  </si>
  <si>
    <t>MA-4(5)</t>
  </si>
  <si>
    <t>Nonlocal Maintenance | Approvals and Notifications</t>
  </si>
  <si>
    <t>(a) Require the approval of each nonlocal maintenance session by [Assignment: organization-defined personnel or roles]; and
(b) Notify the following personnel or roles of the date and time of planned nonlocal maintenance: [Assignment: organization-defined personnel or roles].</t>
  </si>
  <si>
    <t>Notification may be performed by maintenance personnel. Approval of nonlocal maintenance is accomplished by personnel with sufficient information security and system knowledge to determine the appropriateness of the proposed maintenance.</t>
  </si>
  <si>
    <t>MA-4(6)</t>
  </si>
  <si>
    <t>Nonlocal Maintenance | Cryptographic Protection</t>
  </si>
  <si>
    <t>Implement the following cryptographic mechanisms to protect the integrity and confidentiality of nonlocal maintenance and diagnostic communications: [Assignment: organization-defined cryptographic mechanisms].</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</si>
  <si>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</si>
  <si>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MA-4(7)</t>
  </si>
  <si>
    <t>Nonlocal Maintenance | Disconnect Verification</t>
  </si>
  <si>
    <t>Verify session and network connection termination after the completion of nonlocal maintenance and diagnostic sessions.</t>
  </si>
  <si>
    <t>Verifying the termination of a connection once maintenance is completed ensures that connections established during nonlocal maintenance and diagnostic sessions have been terminated and are no longer available for use.</t>
  </si>
  <si>
    <t>MA-5</t>
  </si>
  <si>
    <t>Maintenance Personnel</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</si>
  <si>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</si>
  <si>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</si>
  <si>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AC-2, AC-3, AC-5, AC-6, IA-2, IA-8, MA-4, MP-2, PE-2, PE-3, PS-7, RA-3</t>
  </si>
  <si>
    <t>MA-5(1)</t>
  </si>
  <si>
    <t>Maintenance Personnel | Individuals Without Appropriate Access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</si>
  <si>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</si>
  <si>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</si>
  <si>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MP-6, PL-2</t>
  </si>
  <si>
    <t>MA-5(2)</t>
  </si>
  <si>
    <t>Maintenance Personnel | Security Clearances for Classified Systems</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</si>
  <si>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</si>
  <si>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</si>
  <si>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PS-3</t>
  </si>
  <si>
    <t>MA-5(3)</t>
  </si>
  <si>
    <t>Maintenance Personnel | Citizenship Requirements for Classified Systems</t>
  </si>
  <si>
    <t>Verify that personnel performing maintenance and diagnostic activities on a system processing, storing, or transmitting classified information are U.S. citizens.</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</si>
  <si>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</si>
  <si>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MA-5(4)</t>
  </si>
  <si>
    <t>Maintenance Personnel | Foreign Nationals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</si>
  <si>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</si>
  <si>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</si>
  <si>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MA-5(5)</t>
  </si>
  <si>
    <t>Maintenance Personnel | Non-system Maintenance</t>
  </si>
  <si>
    <t>Ensure that non-escorted personnel performing maintenance activities not directly associated with the system but in the physical proximity of the system, have required access authorizations.</t>
  </si>
  <si>
    <t>Personnel who perform maintenance activities in other capacities not directly related to the system include physical plant personnel and custodial personnel.</t>
  </si>
  <si>
    <t>MA-6</t>
  </si>
  <si>
    <t>Timely Maintenance</t>
  </si>
  <si>
    <t>Obtain maintenance support and/or spare parts for [Assignment: organization-defined system components] within [Assignment: organization-defined time period] of failure.</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</si>
  <si>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</si>
  <si>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CM-8, CP-2, CP-7, RA-7, SA-15, SI-13, SR-2, SR-3, SR-4</t>
  </si>
  <si>
    <t>MA-6(1)</t>
  </si>
  <si>
    <t>Timely Maintenance | Preventive Maintenance</t>
  </si>
  <si>
    <t>Perform preventive maintenance on [Assignment: organization-defined system components] at [Assignment: organization-defined time intervals].</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</si>
  <si>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</si>
  <si>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MA-6(2)</t>
  </si>
  <si>
    <t>Timely Maintenance | Predictive Maintenance</t>
  </si>
  <si>
    <t>Perform predictive maintenance on [Assignment: organization-defined system components] at [Assignment: organization-defined time intervals].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</si>
  <si>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</si>
  <si>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MA-6(3)</t>
  </si>
  <si>
    <t>Timely Maintenance | Automated Support for Predictive Maintenance</t>
  </si>
  <si>
    <t>Transfer predictive maintenance data to a maintenance management system using [Assignment: organization-defined automated mechanisms].</t>
  </si>
  <si>
    <t>A computerized maintenance management system maintains a database of information about the maintenance operations of organizations and automates the processing of equipment condition data to trigger maintenance planning, execution, and reporting.</t>
  </si>
  <si>
    <t>MA-7</t>
  </si>
  <si>
    <t>Field Maintenance</t>
  </si>
  <si>
    <t>Restrict or prohibit field maintenance on [Assignment: organization-defined systems or system components] to [Assignment: organization-defined trusted maintenance facilities].</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</si>
  <si>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</si>
  <si>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MA-2, MA-4, MA-5</t>
  </si>
  <si>
    <t>MP-1</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</si>
  <si>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</si>
  <si>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</si>
  <si>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MP-2</t>
  </si>
  <si>
    <t>Media Access</t>
  </si>
  <si>
    <t>Restrict access to [Assignment: organization-defined types of digital and/or non-digital media] to [Assignment: organization-defined personnel or roles].</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</si>
  <si>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</si>
  <si>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AC-19, AU-9, CP-2, CP-9, CP-10, MA-5, MP-4, MP-6, PE-2, PE-3, SC-12, SC-13, SC-34, SI-12</t>
  </si>
  <si>
    <t>MP-2(1)</t>
  </si>
  <si>
    <t>Media Access | Automated Restricted Access</t>
  </si>
  <si>
    <t>MP-2(2)</t>
  </si>
  <si>
    <t>Media Access | Cryptographic Protection</t>
  </si>
  <si>
    <t>MP-3</t>
  </si>
  <si>
    <t>Media Marking</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</si>
  <si>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</si>
  <si>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</si>
  <si>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AC-16, CP-9, MP-5, PE-22, SI-12</t>
  </si>
  <si>
    <t>MP-4</t>
  </si>
  <si>
    <t>Media Storage</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</si>
  <si>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</si>
  <si>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</si>
  <si>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AC-19, CP-2, CP-6, CP-9, CP-10, MP-2, MP-7, PE-3, PL-2, SC-12, SC-13, SC-28, SC-34, SI-12</t>
  </si>
  <si>
    <t>MP-4(1)</t>
  </si>
  <si>
    <t>Media Storage | Cryptographic Protection</t>
  </si>
  <si>
    <t>MP-4(2)</t>
  </si>
  <si>
    <t>Media Storage | Automated Restricted Access</t>
  </si>
  <si>
    <t>Restrict access to media storage areas and log access attempts and access granted using [Assignment: organization-defined automated mechanisms].</t>
  </si>
  <si>
    <t>Automated mechanisms include keypads, biometric readers, or card readers on the external entries to media storage areas.</t>
  </si>
  <si>
    <t>AC-3, AU-2, AU-6, AU-9, AU-12, PE-3</t>
  </si>
  <si>
    <t>MP-5</t>
  </si>
  <si>
    <t>Media Transport</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</si>
  <si>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</si>
  <si>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</si>
  <si>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AC-7, AC-19, CP-2, CP-9, MP-3, MP-4, PE-16, PL-2, SC-12, SC-13, SC-28, SC-34</t>
  </si>
  <si>
    <t>MP-5(1)</t>
  </si>
  <si>
    <t>Media Transport | Protection Outside of Controlled Areas</t>
  </si>
  <si>
    <t>MP-5(2)</t>
  </si>
  <si>
    <t>Media Transport | Documentation of Activities</t>
  </si>
  <si>
    <t>MP-5(3)</t>
  </si>
  <si>
    <t>Media Transport | Custodians</t>
  </si>
  <si>
    <t>Employ an identified custodian during transport of system media outside of controlled areas.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</si>
  <si>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</si>
  <si>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MP-5(4)</t>
  </si>
  <si>
    <t>Media Transport | Cryptographic Protection</t>
  </si>
  <si>
    <t>Media Sanitization</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</si>
  <si>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</si>
  <si>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</si>
  <si>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AC-3, AC-7, AU-11, MA-2, MA-3, MA-4, MA-5, PM-22, SI-12, SI-18, SI-19, SR-11</t>
  </si>
  <si>
    <t>MP-6(1)</t>
  </si>
  <si>
    <t>Media Sanitization | Review, Approve, Track, Document, and Verify</t>
  </si>
  <si>
    <t>Review, approve, track, document, and verify media sanitization and disposal actions.</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</si>
  <si>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</si>
  <si>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MP-6(2)</t>
  </si>
  <si>
    <t>Media Sanitization | Equipment Testing</t>
  </si>
  <si>
    <t>Test sanitization equipment and procedures [Assignment: organization-defined frequency] to ensure that the intended sanitization is being achieved.</t>
  </si>
  <si>
    <t>Testing of sanitization equipment and procedures may be conducted by qualified and authorized external entities, including federal agencies or external service providers.</t>
  </si>
  <si>
    <t>MP-6(3)</t>
  </si>
  <si>
    <t>Media Sanitization | Nondestructive Techniques</t>
  </si>
  <si>
    <t>Apply nondestructive sanitization techniques to portable storage devices prior to connecting such devices to the system under the following circumstances: [Assignment: organization-defined circumstances requiring sanitization of portable storage devices].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</si>
  <si>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</si>
  <si>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MP-6(4)</t>
  </si>
  <si>
    <t>Media Sanitization | Controlled Unclassified Information</t>
  </si>
  <si>
    <t>MP-6(5)</t>
  </si>
  <si>
    <t>Media Sanitization | Classified Information</t>
  </si>
  <si>
    <t>MP-6(6)</t>
  </si>
  <si>
    <t>Media Sanitization | Media Destruction</t>
  </si>
  <si>
    <t>MP-6(7)</t>
  </si>
  <si>
    <t>Media Sanitization | Dual Authorization</t>
  </si>
  <si>
    <t>Enforce dual authorization for the sanitization of [Assignment: organization-defined system media].</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</si>
  <si>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</si>
  <si>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AC-3, MP-2</t>
  </si>
  <si>
    <t>MP-6(8)</t>
  </si>
  <si>
    <t>Media Sanitization | Remote Purging or Wiping of Information</t>
  </si>
  <si>
    <t>Provide the capability to purge or wipe information from [Assignment: organization-defined systems or system components]
                  [Selection: remotely; under the following conditions: [Assignment: organization-defined conditions]
                  ].</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</si>
  <si>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</si>
  <si>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MP-7</t>
  </si>
  <si>
    <t>Media Use</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</si>
  <si>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</si>
  <si>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</si>
  <si>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AC-19, AC-20, PL-4, PM-12, SC-34, SC-41</t>
  </si>
  <si>
    <t>MP-7(1)</t>
  </si>
  <si>
    <t>Media Use | Prohibit Use Without Owner</t>
  </si>
  <si>
    <t>MP-7(2)</t>
  </si>
  <si>
    <t>Media Use | Prohibit Use of Sanitization-resistant Media</t>
  </si>
  <si>
    <t>Prohibit the use of sanitization-resistant media in organizational systems.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</si>
  <si>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</si>
  <si>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MP-8</t>
  </si>
  <si>
    <t>Media Downgrading</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</si>
  <si>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</si>
  <si>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</si>
  <si>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MP-8(1)</t>
  </si>
  <si>
    <t>Media Downgrading | Documentation of Process</t>
  </si>
  <si>
    <t>Document system media downgrading actions.</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</si>
  <si>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</si>
  <si>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MP-8(2)</t>
  </si>
  <si>
    <t>Media Downgrading | Equipment Testing</t>
  </si>
  <si>
    <t>Test downgrading equipment and procedures [Assignment: organization-defined frequency] to ensure that downgrading actions are being achieved.</t>
  </si>
  <si>
    <t>MP-8(3)</t>
  </si>
  <si>
    <t>Media Downgrading | Controlled Unclassified Information</t>
  </si>
  <si>
    <t>Downgrade system media containing controlled unclassified information prior to public release.</t>
  </si>
  <si>
    <t>The downgrading of controlled unclassified information uses approved sanitization tools, techniques, and procedures.</t>
  </si>
  <si>
    <t>MP-8(4)</t>
  </si>
  <si>
    <t>Media Downgrading | Classified Information</t>
  </si>
  <si>
    <t>Downgrade system media containing classified information prior to release to individuals without required access authorizations.</t>
  </si>
  <si>
    <t>Downgrading of classified information uses approved sanitization tools, techniques, and procedures to transfer information confirmed to be unclassified from classified systems to unclassified media.</t>
  </si>
  <si>
    <t>PE-1</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</si>
  <si>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</si>
  <si>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</si>
  <si>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AT-3, PM-9, PS-8, SI-12</t>
  </si>
  <si>
    <t>PE-2</t>
  </si>
  <si>
    <t>Physical Access Authorizations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</si>
  <si>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</si>
  <si>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</si>
  <si>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AT-3, AU-9, IA-4, MA-5, MP-2, PE-3, PE-4, PE-5, PE-8, PM-12, PS-3, PS-4, PS-5, PS-6</t>
  </si>
  <si>
    <t>PE-2(1)</t>
  </si>
  <si>
    <t>Physical Access Authorizations | Access by Position or Role</t>
  </si>
  <si>
    <t>Authorize physical access to the facility where the system resides based on position or role.</t>
  </si>
  <si>
    <t>Role-based facility access includes access by authorized permanent and regular/routine maintenance personnel, duty officers, and emergency medical staff.</t>
  </si>
  <si>
    <t>AC-2, AC-3, AC-6</t>
  </si>
  <si>
    <t>PE-2(2)</t>
  </si>
  <si>
    <t>Physical Access Authorizations | Two Forms of Identification</t>
  </si>
  <si>
    <t>Require two forms of identification from the following forms of identification for visitor access to the facility where the system resides: [Assignment: organization-defined list of acceptable forms of identification].</t>
  </si>
  <si>
    <t>Acceptable forms of identification include passports, REAL ID-compliant drivers’ licenses, and Personal Identity Verification (PIV) cards. For gaining access to facilities using automated mechanisms, organizations may use PIV cards, key cards, PINs, and biometrics.</t>
  </si>
  <si>
    <t>IA-2, IA-4, IA-5</t>
  </si>
  <si>
    <t>PE-2(3)</t>
  </si>
  <si>
    <t>Physical Access Authorizations | Restrict Unescorted Access</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</si>
  <si>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</si>
  <si>
    <t>Individuals without required security clearances, access approvals, or need to know are escorted by individuals with appropriate physical access authorizations to ensure that information is not exposed or otherwise compromised.</t>
  </si>
  <si>
    <t>PS-2, PS-6</t>
  </si>
  <si>
    <t>Physical Access Control</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</si>
  <si>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</si>
  <si>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</si>
  <si>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AT-3, AU-2, AU-6, AU-9, AU-13, CP-10, IA-3, IA-8, MA-5, MP-2, MP-4, PE-2, PE-4, PE-5, PE-8, PS-2, PS-3, PS-6, PS-7, RA-3, SC-28, SI-4, SR-3</t>
  </si>
  <si>
    <t>PE-3(1)</t>
  </si>
  <si>
    <t>Physical Access Control | System Access</t>
  </si>
  <si>
    <t>Enforce physical access authorizations to the system in addition to the physical access controls for the facility at [Assignment: organization-defined physical spaces containing one or more components of the system].</t>
  </si>
  <si>
    <t>Control of physical access to the system provides additional physical security for those areas within facilities where there is a concentration of system components.</t>
  </si>
  <si>
    <t>PE-3(2)</t>
  </si>
  <si>
    <t>Physical Access Control | Facility and Systems</t>
  </si>
  <si>
    <t>Perform security checks [Assignment: organization-defined frequency] at the physical perimeter of the facility or system for exfiltration of information or removal of system components.</t>
  </si>
  <si>
    <t>Organizations determine the extent, frequency, and/or randomness of security checks to adequately mitigate risk associated with exfiltration.</t>
  </si>
  <si>
    <t>AC-4, SC-7</t>
  </si>
  <si>
    <t>PE-3(3)</t>
  </si>
  <si>
    <t>Physical Access Control | Continuous Guards</t>
  </si>
  <si>
    <t>Employ guards to control [Assignment: organization-defined physical access points] to the facility where the system resides 24 hours per day, 7 days per week.</t>
  </si>
  <si>
    <t>Employing guards at selected physical access points to the facility provides a more rapid response capability for organizations. Guards also provide the opportunity for human surveillance in areas of the facility not covered by video surveillance.</t>
  </si>
  <si>
    <t>CP-6, CP-7, PE-6</t>
  </si>
  <si>
    <t>PE-3(4)</t>
  </si>
  <si>
    <t>Physical Access Control | Lockable Casings</t>
  </si>
  <si>
    <t>Use lockable physical casings to protect [Assignment: organization-defined system components] from unauthorized physical access.</t>
  </si>
  <si>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</si>
  <si>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PE-3(5)</t>
  </si>
  <si>
    <t>Physical Access Control | Tamper Protection</t>
  </si>
  <si>
    <t>Employ [Assignment: organization-defined anti-tamper technologies] to [Selection (one or more): detect; prevent] physical tampering or alteration of [Assignment: organization-defined hardware components] within the system.</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</si>
  <si>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</si>
  <si>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SA-16, SR-9, SR-11</t>
  </si>
  <si>
    <t>PE-3(6)</t>
  </si>
  <si>
    <t>Physical Access Control | Facility Penetration Testing</t>
  </si>
  <si>
    <t>PE-3(7)</t>
  </si>
  <si>
    <t>Physical Access Control | Physical Barriers</t>
  </si>
  <si>
    <t>Limit access using physical barriers.</t>
  </si>
  <si>
    <t>Physical barriers include bollards, concrete slabs, jersey walls, and hydraulic active vehicle barriers.</t>
  </si>
  <si>
    <t>PE-3(8)</t>
  </si>
  <si>
    <t>Physical Access Control | Access Control Vestibules</t>
  </si>
  <si>
    <t>Employ access control vestibules at [Assignment: organization-defined locations within the facility].</t>
  </si>
  <si>
    <t>An access control vestibule, or mantrap, is part of a physical access control system that typically provides a space between two sets of interlocking doors. Mantraps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</si>
  <si>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PE-4</t>
  </si>
  <si>
    <t>Access Control for Transmission</t>
  </si>
  <si>
    <t>Control physical access to [Assignment: organization-defined system distribution and transmission lines] within organizational facilities using [Assignment: organization-defined security controls].</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</si>
  <si>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</si>
  <si>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AT-3, IA-4, MP-2, MP-4, PE-2, PE-3, PE-5, PE-9, SC-7, SC-8</t>
  </si>
  <si>
    <t>PE-5</t>
  </si>
  <si>
    <t>Access Control for Output Devices</t>
  </si>
  <si>
    <t>Control physical access to output from [Assignment: organization-defined output devices] to prevent unauthorized individuals from obtaining the output.</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</si>
  <si>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</si>
  <si>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PE-2, PE-3, PE-4, PE-18</t>
  </si>
  <si>
    <t>PE-5(1)</t>
  </si>
  <si>
    <t>Access Control for Output Devices | Access to Output by Authorized Individuals</t>
  </si>
  <si>
    <t>PE-5(2)</t>
  </si>
  <si>
    <t>Access Control for Output Devices | Link to Individual Identity</t>
  </si>
  <si>
    <t>Link individual identity to receipt of output from output devices.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</si>
  <si>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</si>
  <si>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PE-5(3)</t>
  </si>
  <si>
    <t>Access Control for Output Devices | Marking Output Devices</t>
  </si>
  <si>
    <t>PE-6</t>
  </si>
  <si>
    <t>Monitoring Physical Access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</si>
  <si>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</si>
  <si>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</si>
  <si>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AU-2, AU-6, AU-9, AU-12, CA-7, CP-10, IR-4, IR-8</t>
  </si>
  <si>
    <t>PE-6(1)</t>
  </si>
  <si>
    <t>Monitoring Physical Access | Intrusion Alarms and Surveillance Equipment</t>
  </si>
  <si>
    <t>Monitor physical access to the facility where the system resides using physical intrusion alarms and surveillance equipment.</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</si>
  <si>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</si>
  <si>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PE-6(2)</t>
  </si>
  <si>
    <t>Monitoring Physical Access | Automated Intrusion Recognition and Responses</t>
  </si>
  <si>
    <t>Recognize [Assignment: organization-defined classes or types of intrusions] and initiate [Assignment: organization-defined response actions] using [Assignment: organization-defined automated mechanisms].</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</si>
  <si>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</si>
  <si>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PE-6(3)</t>
  </si>
  <si>
    <t>Monitoring Physical Access | Video Surveillance</t>
  </si>
  <si>
    <t>(a) Employ video surveillance of [Assignment: organization-defined operational areas];
(b) Review video recordings [Assignment: organization-defined frequency]; and
(c) Retain video recordings for [Assignment: organization-defined time period].</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</si>
  <si>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</si>
  <si>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PE-6(4)</t>
  </si>
  <si>
    <t>Monitoring Physical Access | Monitoring Physical Access to Systems</t>
  </si>
  <si>
    <t>Monitor physical access to the system in addition to the physical access monitoring of the facility at [Assignment: organization-defined physical spaces containing one or more components of the system].</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</si>
  <si>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</si>
  <si>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PE-7</t>
  </si>
  <si>
    <t>Visitor Control</t>
  </si>
  <si>
    <t>PE-8</t>
  </si>
  <si>
    <t>Visitor Access Records</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</si>
  <si>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</si>
  <si>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</si>
  <si>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PE-2, PE-3, PE-6</t>
  </si>
  <si>
    <t>PE-8(1)</t>
  </si>
  <si>
    <t>Visitor Access Records | Automated Records Maintenance and Review</t>
  </si>
  <si>
    <t>Maintain and review visitor access records using [Assignment: organization-defined automated mechanisms].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</si>
  <si>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</si>
  <si>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PE-8(2)</t>
  </si>
  <si>
    <t>Visitor Access Records | Physical Access Records</t>
  </si>
  <si>
    <t>PE-8(3)</t>
  </si>
  <si>
    <t>Visitor Access Records | Limit Personally Identifiable Information Elements</t>
  </si>
  <si>
    <t>Limit personally identifiable information contained in visitor access records to the following elements identified in the privacy risk assessment: [Assignment: organization-defined elements].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</si>
  <si>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</si>
  <si>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RA-3, SA-8</t>
  </si>
  <si>
    <t>PE-9</t>
  </si>
  <si>
    <t>Power Equipment and Cabling</t>
  </si>
  <si>
    <t>Protect power equipment and power cabling for the system from damage and destruction.</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</si>
  <si>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</si>
  <si>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PE-9(1)</t>
  </si>
  <si>
    <t>Power Equipment and Cabling | Redundant Cabling</t>
  </si>
  <si>
    <t>Employ redundant power cabling paths that are physically separated by [Assignment: organization-defined distance].</t>
  </si>
  <si>
    <t>Physically separate and redundant power cables ensure that power continues to flow in the event that one of the cables is cut or otherwise damaged.</t>
  </si>
  <si>
    <t>PE-9(2)</t>
  </si>
  <si>
    <t>Power Equipment and Cabling | Automatic Voltage Controls</t>
  </si>
  <si>
    <t>Employ automatic voltage controls for [Assignment: organization-defined critical system components].</t>
  </si>
  <si>
    <t>Automatic voltage controls can monitor and control voltage. Such controls include voltage regulators, voltage conditioners, and voltage stabilizers.</t>
  </si>
  <si>
    <t>PE-10</t>
  </si>
  <si>
    <t>Emergency Shutoff</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</si>
  <si>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</si>
  <si>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Emergency power shutoff primarily applies to organizational facilities that contain concentrations of system resources, including data centers, mainframe computer rooms, server rooms, and areas with computer-controlled machinery.</t>
  </si>
  <si>
    <t>PE-15</t>
  </si>
  <si>
    <t>PE-10(1)</t>
  </si>
  <si>
    <t>Emergency Shutoff | Accidental and Unauthorized Activation</t>
  </si>
  <si>
    <t>PE-11</t>
  </si>
  <si>
    <t>Emergency Power</t>
  </si>
  <si>
    <t>Provide an uninterruptible power supply to facilitate [Selection (one or more): an orderly shutdown of the system; transition of the system to long-term alternate power] in the event of a primary power source loss.</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</si>
  <si>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</si>
  <si>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AT-3, CP-2, CP-7</t>
  </si>
  <si>
    <t>PE-11(1)</t>
  </si>
  <si>
    <t>Emergency Power | Alternate Power Supply — Minimal Operational Capability</t>
  </si>
  <si>
    <t>Provide an alternate power supply for the system that is activated [Selection: manually; automatically] and that can maintain minimally required operational capability in the event of an extended loss of the primary power source.</t>
  </si>
  <si>
    <t>Provision of an alternate power supply with minimal operating capability can be satisfied by accessing a secondary commercial power supply or other external power supply.</t>
  </si>
  <si>
    <t>PE-11(2)</t>
  </si>
  <si>
    <t>Emergency Power | Alternate Power Supply — Self-contained</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</si>
  <si>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</si>
  <si>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The provision of a long-term, self-contained power supply can be satisfied by using one or more generators with sufficient capacity to meet the needs of the organization.</t>
  </si>
  <si>
    <t>PE-12</t>
  </si>
  <si>
    <t>Emergency Lighting</t>
  </si>
  <si>
    <t>Employ and maintain automatic emergency lighting for the system that activates in the event of a power outage or disruption and that covers emergency exits and evacuation routes within the facility.</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</si>
  <si>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</si>
  <si>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CP-2, CP-7</t>
  </si>
  <si>
    <t>PE-12(1)</t>
  </si>
  <si>
    <t>Emergency Lighting | Essential Mission and Business Functions</t>
  </si>
  <si>
    <t>Provide emergency lighting for all areas within the facility supporting essential mission and business functions.</t>
  </si>
  <si>
    <t>Organizations define their essential missions and functions.</t>
  </si>
  <si>
    <t>PE-13</t>
  </si>
  <si>
    <t>Fire Protection</t>
  </si>
  <si>
    <t>Employ and maintain fire detection and suppression systems that are supported by an independent energy source.</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</si>
  <si>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</si>
  <si>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PE-13(1)</t>
  </si>
  <si>
    <t>Fire Protection | Detection Systems – Automatic Activation and Notification</t>
  </si>
  <si>
    <t>Employ fire detection systems that activate automatically and notify [Assignment: organization-defined personnel or roles] and [Assignment: organization-defined emergency responders] in the event of a fire.</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</si>
  <si>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</si>
  <si>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PE-13(2)</t>
  </si>
  <si>
    <t>Fire Protection | Suppression Systems – Automatic Activation and Notification</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</si>
  <si>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</si>
  <si>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</si>
  <si>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PE-13(3)</t>
  </si>
  <si>
    <t>Fire Protection | Automatic Fire Suppression</t>
  </si>
  <si>
    <t>PE-13(4)</t>
  </si>
  <si>
    <t>Fire Protection | Inspections</t>
  </si>
  <si>
    <t>Ensure that the facility undergoes [Assignment: organization-defined frequency] fire protection inspections by authorized and qualified inspectors and identified deficiencies are resolved within [Assignment: organization-defined time period].</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</si>
  <si>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</si>
  <si>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PE-14</t>
  </si>
  <si>
    <t>Environmental Controls</t>
  </si>
  <si>
    <t>a. Maintain [Selection (one or more): temperature; humidity; pressure; radiation; 
                  [Assignment: organization-defined environmental control]
               ] levels within the facility where the system resides at [Assignment: organization-defined acceptable levels]; and
b. Monitor environmental control levels [Assignment: organization-defined frequency].</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</si>
  <si>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</si>
  <si>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AT-3, CP-2</t>
  </si>
  <si>
    <t>PE-14(1)</t>
  </si>
  <si>
    <t>Environmental Controls | Automatic Controls</t>
  </si>
  <si>
    <t>Employ the following automatic environmental controls in the facility to prevent fluctuations potentially harmful to the system: [Assignment: organization-defined automatic environmental controls].</t>
  </si>
  <si>
    <t>The implementation of automatic environmental controls provides an immediate response to environmental conditions that can damage, degrade, or destroy organizational systems or systems components.</t>
  </si>
  <si>
    <t>PE-14(2)</t>
  </si>
  <si>
    <t>Environmental Controls | Monitoring with Alarms and Notifications</t>
  </si>
  <si>
    <t>Employ environmental control monitoring that provides an alarm or notification of changes potentially harmful to personnel or equipment to [Assignment: organization-defined personnel or roles].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</si>
  <si>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</si>
  <si>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Water Damage Protection</t>
  </si>
  <si>
    <t>Protect the system from damage resulting from water leakage by providing master shutoff or isolation valves that are accessible, working properly, and known to key personnel.</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</si>
  <si>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</si>
  <si>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AT-3, PE-10</t>
  </si>
  <si>
    <t>PE-15(1)</t>
  </si>
  <si>
    <t>Water Damage Protection | Automation Support</t>
  </si>
  <si>
    <t>Detect the presence of water near the system and alert [Assignment: organization-defined personnel or roles] using [Assignment: organization-defined automated mechanisms].</t>
  </si>
  <si>
    <t>Automated mechanisms include notification systems, water detection sensors, and alarms.</t>
  </si>
  <si>
    <t>PE-16</t>
  </si>
  <si>
    <t>Delivery and Removal</t>
  </si>
  <si>
    <t>a. Authorize and control [Assignment: organization-defined types of system components] entering and exiting the facility; and
b. Maintain records of the system components.</t>
  </si>
  <si>
    <t>Enforcing authorizations for entry and exit of system components may require restricting access to delivery areas and isolating the areas from the system and media libraries.</t>
  </si>
  <si>
    <t>CM-3, CM-8, MA-2, MA-3, MP-5, PE-20, SR-2, SR-3, SR-4, SR-6</t>
  </si>
  <si>
    <t>PE-17</t>
  </si>
  <si>
    <t>Alternate Work Site</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</si>
  <si>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</si>
  <si>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</si>
  <si>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AC-17, AC-18, CP-7</t>
  </si>
  <si>
    <t>PE-18</t>
  </si>
  <si>
    <t>Location of System Components</t>
  </si>
  <si>
    <t>Position system components within the facility to minimize potential damage from [Assignment: organization-defined physical and environmental hazards] and to minimize the opportunity for unauthorized access.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</si>
  <si>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</si>
  <si>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CP-2, PE-5, PE-19, PE-20, RA-3</t>
  </si>
  <si>
    <t>PE-18(1)</t>
  </si>
  <si>
    <t>Location of System Components | Facility Site</t>
  </si>
  <si>
    <t>Information Leakage</t>
  </si>
  <si>
    <t>Protect the system from information leakage due to electromagnetic signals emanations.</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</si>
  <si>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</si>
  <si>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AC-18, PE-18, PE-20</t>
  </si>
  <si>
    <t>PE-19(1)</t>
  </si>
  <si>
    <t>Information Leakage | National Emissions and Tempest Policies and Procedures</t>
  </si>
  <si>
    <t>Protect system components, associated data communications, and networks in accordance with national Emissions Security policies and procedures based on the security category or classification of the information.</t>
  </si>
  <si>
    <t>Emissions Security (EMSEC) policies include the former TEMPEST policies.</t>
  </si>
  <si>
    <t>PE-20</t>
  </si>
  <si>
    <t>Asset Monitoring and Tracking</t>
  </si>
  <si>
    <t>Employ [Assignment: organization-defined asset location technologies] to track and monitor the location and movement of [Assignment: organization-defined assets] within [Assignment: organization-defined controlled areas].</t>
  </si>
  <si>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</si>
  <si>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CM-8, PE-16, PM-8</t>
  </si>
  <si>
    <t>PE-21</t>
  </si>
  <si>
    <t>Electromagnetic Pulse Protection</t>
  </si>
  <si>
    <t>Employ [Assignment: organization-defined protective measures] against electromagnetic pulse damage for [Assignment: organization-defined systems and system components].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</si>
  <si>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</si>
  <si>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PE-18, PE-19</t>
  </si>
  <si>
    <t>PE-22</t>
  </si>
  <si>
    <t>Component Marking</t>
  </si>
  <si>
    <t>Mark [Assignment: organization-defined system hardware components] indicating the impact level or classification level of the information permitted to be processed, stored, or transmitted by the hardware component.</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</si>
  <si>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</si>
  <si>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AC-3, AC-4, AC-16, MP-3</t>
  </si>
  <si>
    <t>PE-23</t>
  </si>
  <si>
    <t>Facility Location</t>
  </si>
  <si>
    <t>a. Plan the location or site of the facility where the system resides considering physical and environmental hazards; and
b. For existing facilities, consider the physical and environmental hazards in the organizational risk management strategy.</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</si>
  <si>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</si>
  <si>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CP-2, PE-18, PE-19, PM-8, PM-9, RA-3</t>
  </si>
  <si>
    <t>PL-1</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</si>
  <si>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</si>
  <si>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or privacy incidents, or changes in laws, executive orders, directives, regulations, policies, standards, and guidelines. Simply restating controls does not constitute an organizational policy or procedure.</t>
  </si>
  <si>
    <t>PL-2</t>
  </si>
  <si>
    <t>System Security and Privacy Plans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</si>
  <si>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</si>
  <si>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</si>
  <si>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AC-2, AC-6, AC-14, AC-17, AC-20, CA-2, CA-3, CA-7, CM-9, CM-13, CP-2, CP-4, IR-4, IR-8, MA-4, MA-5, MP-4, MP-5, PL-7, PL-8, PL-10, PL-11, PM-1, PM-7, PM-8, PM-9, PM-10, PM-11, RA-3, RA-8, RA-9, SA-5, SA-17, SA-22, SI-12, SR-2, SR-4</t>
  </si>
  <si>
    <t>PL-2(1)</t>
  </si>
  <si>
    <t>System Security and Privacy Plans | Concept of Operations</t>
  </si>
  <si>
    <t>PL-2(2)</t>
  </si>
  <si>
    <t>System Security and Privacy Plans | Functional Architecture</t>
  </si>
  <si>
    <t>PL-2(3)</t>
  </si>
  <si>
    <t>System Security and Privacy Plans | Plan and Coordinate with Other Organizational Entities</t>
  </si>
  <si>
    <t>PL-3</t>
  </si>
  <si>
    <t>System Security Plan Update</t>
  </si>
  <si>
    <t>PL-4</t>
  </si>
  <si>
    <t>Rules of Behavior</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</si>
  <si>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 when the rules are revised or updated].</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</si>
  <si>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</si>
  <si>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AC-2, AC-6, AC-8, AC-9, AC-17, AC-18, AC-19, AC-20, AT-2, AT-3, CM-11, IA-2, IA-4, IA-5, MP-7, PS-6, PS-8, SA-5, SI-12</t>
  </si>
  <si>
    <t>PL-4(1)</t>
  </si>
  <si>
    <t>Rules of Behavior | Social Media and External Site/application Usage Restrictions</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</si>
  <si>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</si>
  <si>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</si>
  <si>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AC-22, AU-13</t>
  </si>
  <si>
    <t>PL-5</t>
  </si>
  <si>
    <t>Privacy Impact Assessment</t>
  </si>
  <si>
    <t>PL-6</t>
  </si>
  <si>
    <t>Security-related Activity Planning</t>
  </si>
  <si>
    <t>PL-7</t>
  </si>
  <si>
    <t>Concept of Operations</t>
  </si>
  <si>
    <t>a. Develop a Concept of Operations (CONOPS) for the system describing how the organization intends to operate the system from the perspective of information security and privacy; and
b. Review and update the CONOPS [Assignment: organization-defined frequency].</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</si>
  <si>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</si>
  <si>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PL-2, SA-2, SI-12</t>
  </si>
  <si>
    <t>PL-8</t>
  </si>
  <si>
    <t>Security and Privacy Architectures</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</si>
  <si>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</si>
  <si>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</si>
  <si>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CM-2, CM-6, PL-2, PL-7, PL-9, PM-5, PM-7, RA-9, SA-3, SA-5, SA-8, SA-17, SC-7</t>
  </si>
  <si>
    <t>PL-8(1)</t>
  </si>
  <si>
    <t>Security and Privacy Architectures | Defense in Depth</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</si>
  <si>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</si>
  <si>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</si>
  <si>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SC-2, SC-3, SC-29, SC-36</t>
  </si>
  <si>
    <t>PL-8(2)</t>
  </si>
  <si>
    <t>Security and Privacy Architectures | Supplier Diversity</t>
  </si>
  <si>
    <t>Require that [Assignment: organization-defined controls] allocated to [Assignment: organization-defined locations and architectural layers] are obtained from different suppliers.</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</si>
  <si>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</si>
  <si>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SC-29, SR-3</t>
  </si>
  <si>
    <t>PL-9</t>
  </si>
  <si>
    <t>Central Management</t>
  </si>
  <si>
    <t>Centrally manage [Assignment: organization-defined controls and related processes].</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</si>
  <si>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</si>
  <si>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PL-8, PM-9</t>
  </si>
  <si>
    <t>PL-10</t>
  </si>
  <si>
    <t>Baseline Selection</t>
  </si>
  <si>
    <t>Select a control baseline for the system.</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</si>
  <si>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</si>
  <si>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PL-2, PL-11, RA-2, RA-3, SA-8</t>
  </si>
  <si>
    <t>PL-11</t>
  </si>
  <si>
    <t>Baseline Tailoring</t>
  </si>
  <si>
    <t>Tailor the selected control baseline by applying specified tailoring actions.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</si>
  <si>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and [PRIVACT]. Alternatively, other communities of interest adopting different control baselines can apply the tailoring actions in [SP 800-53B] to specialize or customize the controls that represent the specific needs and concerns of those entities.</t>
  </si>
  <si>
    <t>PL-10, RA-2, RA-3, RA-9, SA-8</t>
  </si>
  <si>
    <t>PM-1</t>
  </si>
  <si>
    <t>Information Security Program Plan</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</si>
  <si>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</si>
  <si>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or privacy incidents, or changes in laws, executive orders, directives, regulations, policies, standards, and guidelines.</t>
  </si>
  <si>
    <t>PL-2, PM-18, PM-30, RA-9, SI-12, SR-2</t>
  </si>
  <si>
    <t>PM-2</t>
  </si>
  <si>
    <t>Information Security Program Leadership Role</t>
  </si>
  <si>
    <t>Appoint a senior agency information security officer with the mission and resources to coordinate, develop, implement, and maintain an organization-wide information security program.</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</si>
  <si>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</si>
  <si>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PM-3</t>
  </si>
  <si>
    <t>Information Security and Privacy Resources</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</si>
  <si>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</si>
  <si>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</si>
  <si>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PM-4, SA-2</t>
  </si>
  <si>
    <t>PM-4</t>
  </si>
  <si>
    <t>Plan of Action and Milestones Process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</si>
  <si>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</si>
  <si>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</si>
  <si>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CA-5, CA-7, PM-3, RA-7, SI-12</t>
  </si>
  <si>
    <t>PM-5</t>
  </si>
  <si>
    <t>System Inventory</t>
  </si>
  <si>
    <t>Develop and update [Assignment: organization-defined frequency] an inventory of organizational systems.</t>
  </si>
  <si>
    <t>[OMB A-130] provides guidance on developing systems inventories and associated reporting requirements. System inventory refers to an organization-wide inventory of systems, not system components as described in CM-8.</t>
  </si>
  <si>
    <t>PM-5(1)</t>
  </si>
  <si>
    <t>System Inventory | Inventory of Personally Identifiable Information</t>
  </si>
  <si>
    <t>Establish, maintain, and update [Assignment: organization-defined frequency] an inventory of all systems, applications, and projects that process personally identifiable information.</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</si>
  <si>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</si>
  <si>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AC-3, CM-8, CM-12, CM-13, PL-8, PM-22, PT-3, PT-5, SI-12, SI-18</t>
  </si>
  <si>
    <t>PM-6</t>
  </si>
  <si>
    <t>Measures of Performance</t>
  </si>
  <si>
    <t>Develop, monitor, and report on the results of information security and privacy measures of performance.</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</si>
  <si>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</si>
  <si>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CA-7, PM-9</t>
  </si>
  <si>
    <t>Enterprise Architecture</t>
  </si>
  <si>
    <t>Develop and maintain an enterprise architecture with consideration for information security, privacy, and the resulting risk to organizational operations and assets, individuals, other organizations, and the Nation.</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</si>
  <si>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</si>
  <si>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AU-6, PL-2, PL-8, PM-11, RA-2, SA-3, SA-8, SA-17</t>
  </si>
  <si>
    <t>PM-7(1)</t>
  </si>
  <si>
    <t>Enterprise Architecture | Offloading</t>
  </si>
  <si>
    <t>Offload [Assignment: organization-defined non-essential functions or services] to other systems, system components, or an external provider.</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</si>
  <si>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</si>
  <si>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SA-8</t>
  </si>
  <si>
    <t>PM-8</t>
  </si>
  <si>
    <t>Critical Infrastructure Plan</t>
  </si>
  <si>
    <t>Address information security and privacy issues in the development, documentation, and updating of a critical infrastructure and key resources protection plan.</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</si>
  <si>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</si>
  <si>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CP-2, CP-4, PE-18, PL-2, PM-9, PM-11, PM-18, RA-3, SI-12</t>
  </si>
  <si>
    <t>PM-9</t>
  </si>
  <si>
    <t>Risk Management Strategy</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</si>
  <si>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</si>
  <si>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</si>
  <si>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AC-1, AU-1, AT-1, CA-1, CA-2, CA-5, CA-6, CA-7, CM-1, CP-1, IA-1, IR-1, MA-1, MP-1, PE-1, PL-1, PL-2, PM-2, PM-8, PM-18, PM-28, PM-30, PS-1, PT-1, PT-2, PT-3, RA-1, RA-3, RA-9, SA-1, SA-4, SC-1, SC-38, SI-1, SI-12, SR-1, SR-2</t>
  </si>
  <si>
    <t>PM-10</t>
  </si>
  <si>
    <t>Authorization Process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</si>
  <si>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</si>
  <si>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</si>
  <si>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CA-6, CA-7, PL-2</t>
  </si>
  <si>
    <t>PM-11</t>
  </si>
  <si>
    <t>Mission and Business Process Definition</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</si>
  <si>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</si>
  <si>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</si>
  <si>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CP-2, PL-2, PM-7, PM-8, RA-2, RA-3, SA-2</t>
  </si>
  <si>
    <t>Insider Threat Program</t>
  </si>
  <si>
    <t>Implement an insider threat program that includes a cross-discipline insider threat incident handling team.</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</si>
  <si>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</si>
  <si>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AC-6, AT-2, AU-6, AU-7, AU-10, AU-12, AU-13, CA-7, IA-4, IR-4, MP-7, PE-2, PM-16, PS-3, PS-4, PS-5, PS-7, PS-8, SC-7, SC-38, SI-4, PM-14</t>
  </si>
  <si>
    <t>PM-13</t>
  </si>
  <si>
    <t>Security and Privacy Workforce</t>
  </si>
  <si>
    <t>Establish a security and privacy workforce development and improvement program.</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</si>
  <si>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</si>
  <si>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AT-2, AT-3</t>
  </si>
  <si>
    <t>PM-14</t>
  </si>
  <si>
    <t>Testing, Training, and Monitoring</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</si>
  <si>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</si>
  <si>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</si>
  <si>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AT-2, AT-3, CA-7, CP-4, IR-3, PM-12, SI-4</t>
  </si>
  <si>
    <t>PM-15</t>
  </si>
  <si>
    <t>Security and Privacy Groups and Associations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</si>
  <si>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</si>
  <si>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</si>
  <si>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SA-11, SI-5</t>
  </si>
  <si>
    <t>Threat Awareness Program</t>
  </si>
  <si>
    <t>Implement a threat awareness program that includes a cross-organization information-sharing capability for threat intelligence.</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</si>
  <si>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</si>
  <si>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IR-4, PM-12</t>
  </si>
  <si>
    <t>PM-16(1)</t>
  </si>
  <si>
    <t>Threat Awareness Program | Automated Means for Sharing Threat Intelligence</t>
  </si>
  <si>
    <t>Employ automated mechanisms to maximize the effectiveness of sharing threat intelligence information.</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</si>
  <si>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</si>
  <si>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PM-17</t>
  </si>
  <si>
    <t>Protecting Controlled Unclassified Information on External Systems</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</si>
  <si>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</si>
  <si>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</si>
  <si>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CA-6, PM-10</t>
  </si>
  <si>
    <t>PM-18</t>
  </si>
  <si>
    <t>Privacy Program Plan</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</si>
  <si>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</si>
  <si>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</si>
  <si>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PM-8, PM-9, PM-19</t>
  </si>
  <si>
    <t>PM-19</t>
  </si>
  <si>
    <t>Privacy Program Leadership Role</t>
  </si>
  <si>
    <t>Appoint a senior agency official for privacy with the authority, mission, accountability, and resources to coordinate, develop, and implement, applicable privacy requirements and manage privacy risks through the organization-wide privacy program.</t>
  </si>
  <si>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</si>
  <si>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PM-18, PM-20, PM-23, PM-24</t>
  </si>
  <si>
    <t>PM-20</t>
  </si>
  <si>
    <t>Dissemination of Privacy Program Information</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</si>
  <si>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</si>
  <si>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</si>
  <si>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AC-3, PM-19, PT-5, PT-6, PT-7, RA-8</t>
  </si>
  <si>
    <t>PM-20(1)</t>
  </si>
  <si>
    <t>Dissemination of Privacy Program Information | Privacy Policies on Websites, Applications, and Digital Services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</si>
  <si>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</si>
  <si>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</si>
  <si>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PM-21</t>
  </si>
  <si>
    <t>Accounting of Disclosures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</si>
  <si>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</si>
  <si>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</si>
  <si>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AC-3, AU-2, PT-2</t>
  </si>
  <si>
    <t>PM-22</t>
  </si>
  <si>
    <t>Personally Identifiable Information Quality Management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</si>
  <si>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</si>
  <si>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</si>
  <si>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PM-23, SI-18</t>
  </si>
  <si>
    <t>PM-23</t>
  </si>
  <si>
    <t>Data Governance Body</t>
  </si>
  <si>
    <t>Establish a Data Governance Body consisting of [Assignment: organization-defined roles] with [Assignment: organization-defined responsibilities].</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</si>
  <si>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</si>
  <si>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AT-2, AT-3, PM-19, PM-22, PM-24, PT-7, SI-4, SI-19</t>
  </si>
  <si>
    <t>PM-24</t>
  </si>
  <si>
    <t>Data Integrity Board</t>
  </si>
  <si>
    <t>Establish a Data Integrity Board to:
a. Review proposals to conduct or participate in a matching program; and
b. Conduct an annual review of all matching programs in which the agency has participated.</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</si>
  <si>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</si>
  <si>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AC-4, PM-19, PM-23, PT-8</t>
  </si>
  <si>
    <t>PM-25</t>
  </si>
  <si>
    <t>Minimization of Personally Identifiable Information Used in Testing, Training, and Research</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</si>
  <si>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</si>
  <si>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</si>
  <si>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PM-23, PT-3, SA-3, SA-8</t>
  </si>
  <si>
    <t>PM-26</t>
  </si>
  <si>
    <t>Complaint Management</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</si>
  <si>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</si>
  <si>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</si>
  <si>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IR-7, IR-9, PM-22, SI-18</t>
  </si>
  <si>
    <t>PM-27</t>
  </si>
  <si>
    <t>Privacy Reporting</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</si>
  <si>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</si>
  <si>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</si>
  <si>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IR-9, PM-19</t>
  </si>
  <si>
    <t>PM-28</t>
  </si>
  <si>
    <t>Risk Framing</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</si>
  <si>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</si>
  <si>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</si>
  <si>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CA-7, PM-9, RA-3, RA-7</t>
  </si>
  <si>
    <t>PM-29</t>
  </si>
  <si>
    <t>Risk Management Program Leadership Roles</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</si>
  <si>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</si>
  <si>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The senior accountable official for risk management leads the risk executive (function) in organization-wide risk management activities.</t>
  </si>
  <si>
    <t>PM-2, PM-19</t>
  </si>
  <si>
    <t>PM-30</t>
  </si>
  <si>
    <t>Supply Chain Risk Management Strategy</t>
  </si>
  <si>
    <t>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</si>
  <si>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</si>
  <si>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CM-10, PM-9, SR-1, SR-2, SR-3, SR-4, SR-5, SR-6, SR-7, SR-8, SR-9, SR-11</t>
  </si>
  <si>
    <t>PM-30(1)</t>
  </si>
  <si>
    <t>Supply Chain Risk Management Strategy | Suppliers of Critical or Mission-essential Items</t>
  </si>
  <si>
    <t>Identify, prioritize, and assess suppliers of critical or mission-essential technologies, products, and services.</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</si>
  <si>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</si>
  <si>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RA-3, SR-6</t>
  </si>
  <si>
    <t>PM-31</t>
  </si>
  <si>
    <t>Continuous Monitoring Strategy</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</si>
  <si>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</si>
  <si>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SC-18c, SC-43b, SI-4.</t>
  </si>
  <si>
    <t>AC-2, AC-6, AC-17, AT-4, AU-6, AU-13, CA-2, CA-5, CA-6, CA-7, CM-3, CM-4, CM-6, CM-11, IA-5, IR-5, MA-2, MA-3, MA-4, PE-3, PE-6, PE-14, PE-16, PE-20, PL-2, PM-4, PM-6, PM-9, PM-10, PM-12, PM-14, PM-23, PM-28, PS-7, PT-7, RA-3, RA-5, RA-7, SA-9, SA-11, SC-5, SC-7, SC-18, SC-38, SC-43, SI-3, SI-4, SI-12, SR-2, SR-4</t>
  </si>
  <si>
    <t>PM-32</t>
  </si>
  <si>
    <t>Purposing</t>
  </si>
  <si>
    <t>Analyze [Assignment: organization-defined systems or systems components] supporting mission essential services or functions to ensure that the information resources are being used consistent with their intended purpose.</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</si>
  <si>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</si>
  <si>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CA-7, PL-2, RA-3, RA-9</t>
  </si>
  <si>
    <t>PS-1</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</si>
  <si>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</si>
  <si>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t>
  </si>
  <si>
    <t>PS-2</t>
  </si>
  <si>
    <t>Position Risk Designation</t>
  </si>
  <si>
    <t>a. Assign a risk designation to all organizational positions;
b. Establish screening criteria for individuals filling those positions; and
c. Review and update position risk designations [Assignment: organization-defined frequency].</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</si>
  <si>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</si>
  <si>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AC-5, AT-3, PE-2, PE-3, PL-2, PS-3, PS-6, SA-5, SA-21, SI-12</t>
  </si>
  <si>
    <t>Personnel Screening</t>
  </si>
  <si>
    <t>a. Screen individuals prior to authorizing access to the system; and
b. Rescreen individuals in accordance with [Assignment: organization-defined conditions requiring rescreening and, where rescreening is so indicated, the frequency of rescreening].</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</si>
  <si>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</si>
  <si>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AC-2, IA-4, MA-5, PE-2, PM-12, PS-2, PS-6, PS-7, SA-21</t>
  </si>
  <si>
    <t>PS-3(1)</t>
  </si>
  <si>
    <t>Personnel Screening | Classified Information</t>
  </si>
  <si>
    <t>Verify that individuals accessing a system processing, storing, or transmitting classified information are cleared and indoctrinated to the highest classification level of the information to which they have access on the system.</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</si>
  <si>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</si>
  <si>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AC-3, AC-4</t>
  </si>
  <si>
    <t>PS-3(2)</t>
  </si>
  <si>
    <t>Personnel Screening | Formal Indoctrination</t>
  </si>
  <si>
    <t>Verify that individuals accessing a system processing, storing, or transmitting types of classified information that require formal indoctrination, are formally indoctrinated for all the relevant types of information to which they have access on the system.</t>
  </si>
  <si>
    <t>Types of classified information that require formal indoctrination include Special Access Program (SAP), Restricted Data (RD), and Sensitive Compartmented Information (SCI).</t>
  </si>
  <si>
    <t>PS-3(3)</t>
  </si>
  <si>
    <t>Personnel Screening | Information with Special Protective Measures</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</si>
  <si>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</si>
  <si>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Organizational information that requires special protection includes controlled unclassified information. Personnel security criteria include position sensitivity background screening requirements.</t>
  </si>
  <si>
    <t>PS-3(4)</t>
  </si>
  <si>
    <t>Personnel Screening | Citizenship Requirements</t>
  </si>
  <si>
    <t>Verify that individuals accessing a system processing, storing, or transmitting [Assignment: organization-defined information types] meet [Assignment: organization-defined citizenship requirements].</t>
  </si>
  <si>
    <t>PS-4</t>
  </si>
  <si>
    <t>Personnel Termination</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</si>
  <si>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</si>
  <si>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</si>
  <si>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AC-2, IA-4, PE-2, PM-12, PS-6, PS-7</t>
  </si>
  <si>
    <t>PS-4(1)</t>
  </si>
  <si>
    <t>Personnel Termination | Post-employment Requirements</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</si>
  <si>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</si>
  <si>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Organizations consult with the Office of the General Counsel regarding matters of post-employment requirements on terminated individuals.</t>
  </si>
  <si>
    <t>PS-4(2)</t>
  </si>
  <si>
    <t>Personnel Termination | Automated Actions</t>
  </si>
  <si>
    <t>Use [Assignment: organization-defined automated mechanisms] to [Selection (one or more): notify [Assignment: organization-defined personnel or roles] of individual termination actions; disable access to system resources].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</si>
  <si>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</si>
  <si>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PS-5</t>
  </si>
  <si>
    <t>Personnel Transfer</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</si>
  <si>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</si>
  <si>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</si>
  <si>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AC-2, IA-4, PE-2, PM-12, PS-4, PS-7</t>
  </si>
  <si>
    <t>Access Agreements</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</si>
  <si>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</si>
  <si>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</si>
  <si>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AC-17, PE-2, PL-4, PS-2, PS-3, PS-6, PS-7, PS-8, SA-21, SI-12</t>
  </si>
  <si>
    <t>PS-6(1)</t>
  </si>
  <si>
    <t>Access Agreements | Information Requiring Special Protection</t>
  </si>
  <si>
    <t>PS-6(2)</t>
  </si>
  <si>
    <t>Access Agreements | Classified Information Requiring Special Protection</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</si>
  <si>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</si>
  <si>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</si>
  <si>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PS-6(3)</t>
  </si>
  <si>
    <t>Access Agreements | Post-employment Requirements</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</si>
  <si>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</si>
  <si>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PS-7</t>
  </si>
  <si>
    <t>External Personnel Security</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</si>
  <si>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</si>
  <si>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</si>
  <si>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AT-2, AT-3, MA-5, PE-3, PS-2, PS-3, PS-4, PS-5, PS-6, SA-5, SA-9, SA-21</t>
  </si>
  <si>
    <t>PS-8</t>
  </si>
  <si>
    <t>Personnel Sanctions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</si>
  <si>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</si>
  <si>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</si>
  <si>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AC-1, AT-1, AU-1, CA-1, CM-1, CP-1, IA-1, IR-1, MA-1, MP-1, PE-1, PL-1, PM-1, PS-1, PT-1, RA-1, SA-1, SC-1, SI-1, SR-1, PL-4, PM-12, PS-6, PT-1</t>
  </si>
  <si>
    <t>PS-9</t>
  </si>
  <si>
    <t>Position Descriptions</t>
  </si>
  <si>
    <t>Incorporate security and privacy roles and responsibilities into organizational position descriptions.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</si>
  <si>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</si>
  <si>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PT-1</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</si>
  <si>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</si>
  <si>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privacy breaches, or changes in applicable laws, executive orders, directives, regulations, policies, standards, and guidelines. Simply restating controls does not constitute an organizational policy or procedure.</t>
  </si>
  <si>
    <t>PT-2</t>
  </si>
  <si>
    <t>Authority to Process Personally Identifiable Information</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</si>
  <si>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</si>
  <si>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</si>
  <si>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AC-2, AC-3, CM-13, IR-9, PM-9, PM-24, PT-1, PT-3, PT-5, PT-6, RA-3, RA-8, SI-12, SI-18</t>
  </si>
  <si>
    <t>PT-2(1)</t>
  </si>
  <si>
    <t>Authority to Process Personally Identifiable Information | Data Tagging</t>
  </si>
  <si>
    <t>Attach data tags containing [Assignment: organization-defined permissible processing] to [Assignment: organization-defined elements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</si>
  <si>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</si>
  <si>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AC-16, CA-6, CM-12, PM-5, PM-22, PT-4, SC-16, SC-43, SI-10, SI-15, SI-19</t>
  </si>
  <si>
    <t>PT-2(2)</t>
  </si>
  <si>
    <t>Authority to Process Personally Identifiable Information | Automation</t>
  </si>
  <si>
    <t>Manage enforcement of the authorized processing of personally identifiable information using [Assignment: organization-defined automated mechanisms].</t>
  </si>
  <si>
    <t>Automated mechanisms augment verification that only authorized processing is occurring.</t>
  </si>
  <si>
    <t>CA-6, CM-12, PM-5, PM-22, PT-4, SC-16, SC-43, SI-10, SI-15, SI-19</t>
  </si>
  <si>
    <t>PT-3</t>
  </si>
  <si>
    <t>Personally Identifiable Information Processing Purposes</t>
  </si>
  <si>
    <t>a. Identify and document the [Assignment: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</si>
  <si>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</si>
  <si>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AC-2, AC-3, AT-3, CM-13, IR-9, PM-9, PM-25, PT-2, PT-5, PT-6, PT-7, RA-8, SC-43, SI-12, SI-18</t>
  </si>
  <si>
    <t>PT-3(1)</t>
  </si>
  <si>
    <t>Personally Identifiable Information Processing Purposes | Data Tagging</t>
  </si>
  <si>
    <t>Attach data tags containing the following purposes to [Assignment: organization-defined elements of personally identifiable information]: [Assignment: organization-defined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</si>
  <si>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</si>
  <si>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CA-6, CM-12, PM-5, PM-22, SC-16, SC-43, SI-10, SI-15, SI-19</t>
  </si>
  <si>
    <t>PT-3(2)</t>
  </si>
  <si>
    <t>Personally Identifiable Information Processing Purposes | Automation</t>
  </si>
  <si>
    <t>Track processing purposes of personally identifiable information using [Assignment: organization-defined automated mechanisms].</t>
  </si>
  <si>
    <t>Automated mechanisms augment tracking of the processing purposes.</t>
  </si>
  <si>
    <t>PT-4</t>
  </si>
  <si>
    <t>Consent</t>
  </si>
  <si>
    <t>Implement [Assignment: organization-defined tools or mechanisms] for individuals to consent to the processing of their personally identifiable information prior to its collection that facilitate individuals’ informed decision-making.</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</si>
  <si>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</si>
  <si>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AC-16, PT-2, PT-5</t>
  </si>
  <si>
    <t>PT-4(1)</t>
  </si>
  <si>
    <t>Consent | Tailored Consent</t>
  </si>
  <si>
    <t>Provide [Assignment: organization-defined mechanisms] to allow individuals to tailor processing permissions to selected elements of personally identifiable information.</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</si>
  <si>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</si>
  <si>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PT-4(2)</t>
  </si>
  <si>
    <t>Consent | Just-in-time Consent</t>
  </si>
  <si>
    <t>Present [Assignment: organization-defined consent mechanisms] to individuals at [Assignment: organization-defined frequency] and in conjunction with [Assignment: organization-defined personally identifiable information processing].</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</si>
  <si>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</si>
  <si>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PT-4(3)</t>
  </si>
  <si>
    <t>Consent | Revocation</t>
  </si>
  <si>
    <t>Implement [Assignment: organization-defined tools or mechanisms] for individuals to revoke consent to the processing of their personally identifiable information.</t>
  </si>
  <si>
    <t>Revocation of consent enables individuals to exercise control over their initial consent decision when circumstances change. Organizations consider usability factors in enabling easy-to-use revocation capabilities.</t>
  </si>
  <si>
    <t>PT-5</t>
  </si>
  <si>
    <t>Privacy Notice</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</si>
  <si>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</si>
  <si>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</si>
  <si>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PM-20, PM-22, PT-2, PT-3, PT-4, PT-7, RA-3, SI-18</t>
  </si>
  <si>
    <t>PT-5(1)</t>
  </si>
  <si>
    <t>Privacy Notice | Just-in-time Notice</t>
  </si>
  <si>
    <t>Present notice of personally identifiable information processing to individuals at a time and location where the individual provides personally identifiable information or in conjunction with a data action, or [Assignment: organization-defined frequency].</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</si>
  <si>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</si>
  <si>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PT-5(2)</t>
  </si>
  <si>
    <t>Privacy Notice | Privacy Act Statements</t>
  </si>
  <si>
    <t>Include Privacy Act statements on forms that collect information that will be maintained in a Privacy Act system of records, or provide Privacy Act statements on separate forms that can be retained by individuals.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</si>
  <si>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</si>
  <si>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PT-6</t>
  </si>
  <si>
    <t>System of Records Notice</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</si>
  <si>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</si>
  <si>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</si>
  <si>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AC-3, PM-20, PT-2, PT-3, PT-5</t>
  </si>
  <si>
    <t>PT-6(1)</t>
  </si>
  <si>
    <t>System of Records Notice | Routine Uses</t>
  </si>
  <si>
    <t>Review all routine uses published in the system of records notice at [Assignment: organization-defined frequency] to ensure continued accuracy, and to ensure that routine uses continue to be compatible with the purpose for which the information was collected.</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</si>
  <si>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</si>
  <si>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PT-6(2)</t>
  </si>
  <si>
    <t>System of Records Notice | Exemption Rules</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</si>
  <si>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</si>
  <si>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</si>
  <si>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PT-7</t>
  </si>
  <si>
    <t>Specific Categories of Personally Identifiable Information</t>
  </si>
  <si>
    <t>Apply [Assignment: organization-defined processing conditions] for specific categories of personally identifiable information.</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</si>
  <si>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</si>
  <si>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IR-9, PT-2, PT-3, RA-3</t>
  </si>
  <si>
    <t>PT-7(1)</t>
  </si>
  <si>
    <t>Specific Categories of Personally Identifiable Information | Social Security Numbers</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</si>
  <si>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</si>
  <si>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</si>
  <si>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PT-7(2)</t>
  </si>
  <si>
    <t>Specific Categories of Personally Identifiable Information | First Amendment Information</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</si>
  <si>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</si>
  <si>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The [PRIVACT] limits agencies’ ability to process information that describes how individuals exercise rights guaranteed by the First Amendment. Organizations consult with the senior agency official for privacy and legal counsel regarding these requirements.</t>
  </si>
  <si>
    <t>PT-8</t>
  </si>
  <si>
    <t>Computer Matching Requirements</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</si>
  <si>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</si>
  <si>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</si>
  <si>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RA-1</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</si>
  <si>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</si>
  <si>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or privacy incidents, or changes in laws, executive orders, directives, regulations, policies, standards, and guidelines. Simply restating controls does not constitute an organizational policy or procedure.</t>
  </si>
  <si>
    <t>Security Categorization</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</si>
  <si>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</si>
  <si>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</si>
  <si>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CM-8, MP-4, PL-2, PL-10, PL-11, PM-7, RA-3, RA-5, RA-7, RA-8, SA-8, SC-7, SC-38, SI-12</t>
  </si>
  <si>
    <t>RA-2(1)</t>
  </si>
  <si>
    <t>Security Categorization | Impact-level Prioritization</t>
  </si>
  <si>
    <t>Conduct an impact-level prioritization of organizational systems to obtain additional granularity on system impact levels.</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</si>
  <si>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</si>
  <si>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Risk Assessment</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</si>
  <si>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</si>
  <si>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</si>
  <si>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CA-3, CA-6, CM-4, CM-13, CP-6, CP-7, IA-8, MA-5, PE-3, PE-8, PE-18, PL-2, PL-10, PL-11, PM-8, PM-9, PM-28, PT-7, RA-2, RA-5, RA-7, SA-8, SA-9, SC-38, SI-12</t>
  </si>
  <si>
    <t>RA-3(1)</t>
  </si>
  <si>
    <t>Risk Assessment | Supply Chain Risk Assessment</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</si>
  <si>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</si>
  <si>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</si>
  <si>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RA-2, RA-9, PM-17, PM-30, SR-2</t>
  </si>
  <si>
    <t>RA-3(2)</t>
  </si>
  <si>
    <t>Risk Assessment | Use of All-source Intelligence</t>
  </si>
  <si>
    <t>Use all-source intelligence to assist in the analysis of risk.</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</si>
  <si>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</si>
  <si>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RA-3(3)</t>
  </si>
  <si>
    <t>Risk Assessment | Dynamic Threat Awareness</t>
  </si>
  <si>
    <t>Determine the current cyber threat environment on an ongoing basis using [Assignment: organization-defined means].</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</si>
  <si>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</si>
  <si>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RA-3(4)</t>
  </si>
  <si>
    <t>Risk Assessment | Predictive Cyber Analytics</t>
  </si>
  <si>
    <t>Employ the following advanced automation and analytics capabilities to predict and identify risks to [Assignment: organization-defined systems or system components]: [Assignment: organization-defined advanced automation and analytics capabilities].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</si>
  <si>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</si>
  <si>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RA-4</t>
  </si>
  <si>
    <t>Risk Assessment Update</t>
  </si>
  <si>
    <t>RA-5</t>
  </si>
  <si>
    <t>Vulnerability Monitoring and Scanning</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</si>
  <si>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</si>
  <si>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</si>
  <si>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CA-2, CA-7, CA-8, CM-2, CM-4, CM-6, CM-8, RA-2, RA-3, SA-11, SA-15, SC-38, SI-2, SI-3, SI-4, SI-7, SR-11</t>
  </si>
  <si>
    <t>RA-5(1)</t>
  </si>
  <si>
    <t>Vulnerability Monitoring and Scanning | Update Tool Capability</t>
  </si>
  <si>
    <t>RA-5(2)</t>
  </si>
  <si>
    <t>Vulnerability Monitoring and Scanning | Update Vulnerabilities to Be Scanned</t>
  </si>
  <si>
    <t>Update the system vulnerabilities to be scanned [Selection (one or more): 
                     [Assignment: organization-defined frequency]
                  ; prior to a new scan; when new vulnerabilities are identified and reported].</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</si>
  <si>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</si>
  <si>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SI-5</t>
  </si>
  <si>
    <t>RA-5(3)</t>
  </si>
  <si>
    <t>Vulnerability Monitoring and Scanning | Breadth and Depth of Coverage</t>
  </si>
  <si>
    <t>Define the breadth and depth of vulnerability scanning coverage.</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</si>
  <si>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</si>
  <si>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RA-5(4)</t>
  </si>
  <si>
    <t>Vulnerability Monitoring and Scanning | Discoverable Information</t>
  </si>
  <si>
    <t>Determine information about the system that is discoverable and take [Assignment: organization-defined corrective actions].</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</si>
  <si>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</si>
  <si>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AU-13, SC-26</t>
  </si>
  <si>
    <t>RA-5(5)</t>
  </si>
  <si>
    <t>Vulnerability Monitoring and Scanning | Privileged Access</t>
  </si>
  <si>
    <t>Implement privileged access authorization to [Assignment: organization-defined system components] for [Assignment: organization-defined vulnerability scanning activities].</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</si>
  <si>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</si>
  <si>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RA-5(6)</t>
  </si>
  <si>
    <t>Vulnerability Monitoring and Scanning | Automated Trend Analyses</t>
  </si>
  <si>
    <t>Compare the results of multiple vulnerability scans using [Assignment: organization-defined automated mechanisms].</t>
  </si>
  <si>
    <t>Using automated mechanisms to analyze multiple vulnerability scans over time can help determine trends in system vulnerabilities and identify patterns of attack.</t>
  </si>
  <si>
    <t>RA-5(7)</t>
  </si>
  <si>
    <t>Vulnerability Monitoring and Scanning | Automated Detection and Notification of Unauthorized Components</t>
  </si>
  <si>
    <t>RA-5(8)</t>
  </si>
  <si>
    <t>Vulnerability Monitoring and Scanning | Review Historic Audit Logs</t>
  </si>
  <si>
    <t>Review historic audit logs to determine if a vulnerability identified in a [Assignment: organization-defined system] has been previously exploited within an [Assignment: organization-defined time period].</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</si>
  <si>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</si>
  <si>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AU-6, AU-11</t>
  </si>
  <si>
    <t>RA-5(9)</t>
  </si>
  <si>
    <t>Vulnerability Monitoring and Scanning | Penetration Testing and Analyses</t>
  </si>
  <si>
    <t>RA-5(10)</t>
  </si>
  <si>
    <t>Vulnerability Monitoring and Scanning | Correlate Scanning Information</t>
  </si>
  <si>
    <t>Correlate the output from vulnerability scanning tools to determine the presence of multi-vulnerability and multi-hop attack vectors.</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</si>
  <si>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</si>
  <si>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RA-5(11)</t>
  </si>
  <si>
    <t>Vulnerability Monitoring and Scanning | Public Disclosure Program</t>
  </si>
  <si>
    <t>Establish a public reporting channel for receiving reports of vulnerabilities in organizational systems and system components.</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</si>
  <si>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</si>
  <si>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RA-6</t>
  </si>
  <si>
    <t>Technical Surveillance Countermeasures Survey</t>
  </si>
  <si>
    <t>Employ a technical surveillance countermeasures survey at [Assignment: organization-defined locations]
               [Selection (one or more): 
                  [Assignment: organization-defined frequency]
               ; when the following events or indicators occur; 
                  [Assignment: organization-defined events or indicators]
               ].</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</si>
  <si>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</si>
  <si>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RA-7</t>
  </si>
  <si>
    <t>Risk Response</t>
  </si>
  <si>
    <t>Respond to findings from security and privacy assessments, monitoring, and audits in accordance with organizational risk tolerance.</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</si>
  <si>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</si>
  <si>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CA-5, IR-9, PM-4, PM-28, RA-2, RA-3, SR-2</t>
  </si>
  <si>
    <t>RA-8</t>
  </si>
  <si>
    <t>Privacy Impact Assessments</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</si>
  <si>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</si>
  <si>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</si>
  <si>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CM-4, CM-9, CM-13, PT-2, PT-3, PT-5, RA-1, RA-2, RA-3, RA-7</t>
  </si>
  <si>
    <t>RA-9</t>
  </si>
  <si>
    <t>Criticality Analysis</t>
  </si>
  <si>
    <t>Identify critical system components and functions by performing a criticality analysis for [Assignment: organization-defined systems, system components, or system services] at [Assignment: organization-defined decision points in the system development life cycle].</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</si>
  <si>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</si>
  <si>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CP-2, PL-2, PL-8, PL-11, PM-1, RA-2, SA-8, SA-15, SA-20, SR-5</t>
  </si>
  <si>
    <t>RA-10</t>
  </si>
  <si>
    <t>Threat Hunting</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</si>
  <si>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</si>
  <si>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</si>
  <si>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CA-2, CA-7, CA-8, RA-3, RA-5, RA-6, SI-4</t>
  </si>
  <si>
    <t>SA-1</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</si>
  <si>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</si>
  <si>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or privacy incidents, or changes in laws, executive orders, directives, regulations, policies, standards, and guidelines. Simply restating controls does not constitute an organizational policy or procedure.</t>
  </si>
  <si>
    <t>SA-2</t>
  </si>
  <si>
    <t>Allocation of Resources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</si>
  <si>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</si>
  <si>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Resource allocation for information security and privacy includes funding for system and services acquisition, sustainment, and supply chain-related risks throughout the system development life cycle.</t>
  </si>
  <si>
    <t>PL-7, PM-3, PM-11, SA-9, SR-3, SR-5</t>
  </si>
  <si>
    <t>SA-3</t>
  </si>
  <si>
    <t>System Development Life Cycle</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</si>
  <si>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</si>
  <si>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</si>
  <si>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AT-3, PL-8, PM-7, SA-4, SA-5, SA-8, SA-11, SA-15, SA-17, SA-22, SR-3, SR-4, SR-5, SR-9</t>
  </si>
  <si>
    <t>SA-3(1)</t>
  </si>
  <si>
    <t>System Development Life Cycle | Manage Preproduction Environment</t>
  </si>
  <si>
    <t>Protect system preproduction environments commensurate with risk throughout the system development life cycle for the system, system component, or system service.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</si>
  <si>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</si>
  <si>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CM-2, CM-4, RA-3, RA-9, SA-4</t>
  </si>
  <si>
    <t>SA-3(2)</t>
  </si>
  <si>
    <t>System Development Life Cycle | Use of Live or Operational Data</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</si>
  <si>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</si>
  <si>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</si>
  <si>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PM-25, RA-3</t>
  </si>
  <si>
    <t>SA-3(3)</t>
  </si>
  <si>
    <t>System Development Life Cycle | Technology Refresh</t>
  </si>
  <si>
    <t>Plan for and implement a technology refresh schedule for the system throughout the system development life cycle.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</si>
  <si>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</si>
  <si>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Acquisition Process</t>
  </si>
  <si>
    <t>Include the following requirements, descriptions, and criteria, explicitly or by reference, using [Selection (one or more): standardized contract language; 
                  [Assignment: organization-defined contract language]
               ]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</si>
  <si>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</si>
  <si>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CM-6, CM-8, PS-7, SA-3, SA-5, SA-8, SA-11, SA-15, SA-16, SA-17, SA-21, SR-3, SR-5</t>
  </si>
  <si>
    <t>SA-4(1)</t>
  </si>
  <si>
    <t>Acquisition Process | Functional Properties of Controls</t>
  </si>
  <si>
    <t>Require the developer of the system, system component, or system service to provide a description of the functional properties of the controls to be implemented.</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</si>
  <si>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</si>
  <si>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SA-4(2)</t>
  </si>
  <si>
    <t>Acquisition Process | Design and Implementation Information for Controls</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</si>
  <si>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 at [Assignment: organization-defined level of detail].</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</si>
  <si>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</si>
  <si>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SA-4(3)</t>
  </si>
  <si>
    <t>Acquisition Process | Development Methods, Techniques, and Practices</t>
  </si>
  <si>
    <t>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</si>
  <si>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</si>
  <si>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SA-4(4)</t>
  </si>
  <si>
    <t>Acquisition Process | Assignment of Components to Systems</t>
  </si>
  <si>
    <t>SA-4(5)</t>
  </si>
  <si>
    <t>Acquisition Process | System, Component, and Service Configurations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</si>
  <si>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</si>
  <si>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</si>
  <si>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SA-4(6)</t>
  </si>
  <si>
    <t>Acquisition Process | Use of Information Assurance Products</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</si>
  <si>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</si>
  <si>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Commercial off-the-shelf IA or IA-enabled information technology products used to protect classified information by cryptographic means may be required to use NSA-approved key management. See [NSA CSFC].</t>
  </si>
  <si>
    <t>SA-4(7)</t>
  </si>
  <si>
    <t>Acquisition Process | Niap-approved Protection Profiles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</si>
  <si>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</si>
  <si>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See [NIAP CCEVS] for additional information on NIAP. See [NIST CMVP] for additional information on FIPS-validated cryptographic modules.</t>
  </si>
  <si>
    <t>IA-7, SC-12, SC-13</t>
  </si>
  <si>
    <t>SA-4(8)</t>
  </si>
  <si>
    <t>Acquisition Process | Continuous Monitoring Plan for Controls</t>
  </si>
  <si>
    <t>Require the developer of the system, system component, or system service to produce a plan for continuous monitoring of control effectiveness that is consistent with the continuous monitoring program of the organization.</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</si>
  <si>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</si>
  <si>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SA-4(9)</t>
  </si>
  <si>
    <t>Acquisition Process | Functions, Ports, Protocols, and Services in Use</t>
  </si>
  <si>
    <t>Require the developer of the system, system component, or system service to identify the functions, ports, protocols, and services intended for organizational use.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</si>
  <si>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</si>
  <si>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CM-7, SA-9</t>
  </si>
  <si>
    <t>SA-4(10)</t>
  </si>
  <si>
    <t>Acquisition Process | Use of Approved PIV Products</t>
  </si>
  <si>
    <t>Employ only information technology products on the FIPS 201-approved products list for Personal Identity Verification (PIV) capability implemented within organizational systems.</t>
  </si>
  <si>
    <t>Products on the FIPS 201-approved products list meet NIST requirements for Personal Identity Verification (PIV) of Federal Employees and Contractors. PIV cards are used for multi-factor authentication in systems and organizations.</t>
  </si>
  <si>
    <t>IA-2, IA-8, PM-9</t>
  </si>
  <si>
    <t>SA-4(11)</t>
  </si>
  <si>
    <t>Acquisition Process | System of Records</t>
  </si>
  <si>
    <t>Include [Assignment: organization-defined Privacy Act requirements] in the acquisition contract for the operation of a system of records on behalf of an organization to accomplish an organizational mission or function.</t>
  </si>
  <si>
    <t>When, by contract, an organization provides for the operation of a system of records to accomplish an organizational mission or function, the organization, consistent with its authority, causes the requirements of the [PRIVACT] to be applied to the system of records.</t>
  </si>
  <si>
    <t>SA-4(12)</t>
  </si>
  <si>
    <t>Acquisition Process | Data Ownership</t>
  </si>
  <si>
    <t>(a) Include organizational data ownership requirements in the acquisition contract; and
(b) Require all data to be removed from the contractor’s system and returned to the organization within [Assignment: organization-defined time frame].</t>
  </si>
  <si>
    <t>Contractors who operate a system that contains data owned by an organization initiating the contract have policies and procedures in place to remove the data from their systems and/or return the data in a time frame defined by the contract.</t>
  </si>
  <si>
    <t>SA-5</t>
  </si>
  <si>
    <t>System Documentation</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</si>
  <si>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</si>
  <si>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</si>
  <si>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CM-4, CM-6, CM-7, CM-8, PL-2, PL-4, PL-8, PS-2, SA-3, SA-4, SA-8, SA-9, SA-10, SA-11, SA-15, SA-16, SA-17, SI-12, SR-3</t>
  </si>
  <si>
    <t>SA-5(1)</t>
  </si>
  <si>
    <t>System Documentation | Functional Properties of Security Controls</t>
  </si>
  <si>
    <t>SA-5(2)</t>
  </si>
  <si>
    <t>System Documentation | Security-relevant External System Interfaces</t>
  </si>
  <si>
    <t>SA-5(3)</t>
  </si>
  <si>
    <t>System Documentation | High-level Design</t>
  </si>
  <si>
    <t>SA-5(4)</t>
  </si>
  <si>
    <t>System Documentation | Low-level Design</t>
  </si>
  <si>
    <t>SA-5(5)</t>
  </si>
  <si>
    <t>System Documentation | Source Code</t>
  </si>
  <si>
    <t>SA-6</t>
  </si>
  <si>
    <t>SA-7</t>
  </si>
  <si>
    <t>Security and Privacy Engineering Principles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</si>
  <si>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</si>
  <si>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</si>
  <si>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PL-8, PM-7, RA-2, RA-3, RA-9, SA-3, SA-4, SA-15, SA-17, SA-20, SC-2, SC-3, SC-32, SC-39, SR-2, SR-3, SR-4, SR-5</t>
  </si>
  <si>
    <t>SA-8(1)</t>
  </si>
  <si>
    <t>Security and Privacy Engineering Principles | Clear Abstractions</t>
  </si>
  <si>
    <t>Implement the security design principle of clear abstractions.</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</si>
  <si>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</si>
  <si>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SA-8(2)</t>
  </si>
  <si>
    <t>Security and Privacy Engineering Principles | Least Common Mechanism</t>
  </si>
  <si>
    <t>Implement the security design principle of least common mechanism in [Assignment: organization-defined systems or system components].</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</si>
  <si>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</si>
  <si>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SA-8(3)</t>
  </si>
  <si>
    <t>Security and Privacy Engineering Principles | Modularity and Layering</t>
  </si>
  <si>
    <t>Implement the security design principles of modularity and layering in [Assignment: organization-defined systems or system components].</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</si>
  <si>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</si>
  <si>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SC-2, SC-3</t>
  </si>
  <si>
    <t>SA-8(4)</t>
  </si>
  <si>
    <t>Security and Privacy Engineering Principles | Partially Ordered Dependencies</t>
  </si>
  <si>
    <t>Implement the security design principle of partially ordered dependencies in [Assignment: organization-defined systems or system components].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</si>
  <si>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</si>
  <si>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SA-8(5)</t>
  </si>
  <si>
    <t>Security and Privacy Engineering Principles | Efficiently Mediated Access</t>
  </si>
  <si>
    <t>Implement the security design principle of efficiently mediated access in [Assignment: organization-defined systems or system components].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</si>
  <si>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</si>
  <si>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SA-8(6)</t>
  </si>
  <si>
    <t>Security and Privacy Engineering Principles | Minimized Sharing</t>
  </si>
  <si>
    <t>Implement the security design principle of minimized sharing in [Assignment: organization-defined systems or system components].</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</si>
  <si>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</si>
  <si>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SC-31</t>
  </si>
  <si>
    <t>SA-8(7)</t>
  </si>
  <si>
    <t>Security and Privacy Engineering Principles | Reduced Complexity</t>
  </si>
  <si>
    <t>Implement the security design principle of reduced complexity in [Assignment: organization-defined systems or system components].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</si>
  <si>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</si>
  <si>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SA-8(8)</t>
  </si>
  <si>
    <t>Security and Privacy Engineering Principles | Secure Evolvability</t>
  </si>
  <si>
    <t>Implement the security design principle of secure evolvability in [Assignment: organization-defined systems or system components].</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</si>
  <si>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</si>
  <si>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SA-8(9)</t>
  </si>
  <si>
    <t>Security and Privacy Engineering Principles | Trusted Components</t>
  </si>
  <si>
    <t>Implement the security design principle of trusted components in [Assignment: organization-defined systems or system components].</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</si>
  <si>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</si>
  <si>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SA-8(10)</t>
  </si>
  <si>
    <t>Security and Privacy Engineering Principles | Hierarchical Trust</t>
  </si>
  <si>
    <t>Implement the security design principle of hierarchical trust in [Assignment: organization-defined systems or system components].</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</si>
  <si>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</si>
  <si>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SA-8(11)</t>
  </si>
  <si>
    <t>Security and Privacy Engineering Principles | Inverse Modification Threshold</t>
  </si>
  <si>
    <t>Implement the security design principle of inverse modification threshold in [Assignment: organization-defined systems or system components].</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</si>
  <si>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</si>
  <si>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SA-8(12)</t>
  </si>
  <si>
    <t>Security and Privacy Engineering Principles | Hierarchical Protection</t>
  </si>
  <si>
    <t>Implement the security design principle of hierarchical protection in [Assignment: organization-defined systems or system components].</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</si>
  <si>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</si>
  <si>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SA-8(13)</t>
  </si>
  <si>
    <t>Security and Privacy Engineering Principles | Minimized Security Elements</t>
  </si>
  <si>
    <t>Implement the security design principle of minimized security elements in [Assignment: organization-defined systems or system components].</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</si>
  <si>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</si>
  <si>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SA-8(14)</t>
  </si>
  <si>
    <t>Security and Privacy Engineering Principles | Least Privilege</t>
  </si>
  <si>
    <t>Implement the security design principle of least privilege in [Assignment: organization-defined systems or system components].</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</si>
  <si>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</si>
  <si>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AC-6, CM-7</t>
  </si>
  <si>
    <t>SA-8(15)</t>
  </si>
  <si>
    <t>Security and Privacy Engineering Principles | Predicate Permission</t>
  </si>
  <si>
    <t>Implement the security design principle of predicate permission in [Assignment: organization-defined systems or system components].</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</si>
  <si>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</si>
  <si>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SA-8(16)</t>
  </si>
  <si>
    <t>Security and Privacy Engineering Principles | Self-reliant Trustworthiness</t>
  </si>
  <si>
    <t>Implement the security design principle of self-reliant trustworthiness in [Assignment: organization-defined systems or system components].</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</si>
  <si>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</si>
  <si>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SA-8(17)</t>
  </si>
  <si>
    <t>Security and Privacy Engineering Principles | Secure Distributed Composition</t>
  </si>
  <si>
    <t>Implement the security design principle of secure distributed composition in [Assignment: organization-defined systems or system components].</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</si>
  <si>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</si>
  <si>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SA-8(18)</t>
  </si>
  <si>
    <t>Security and Privacy Engineering Principles | Trusted Communications Channels</t>
  </si>
  <si>
    <t>Implement the security design principle of trusted communications channels in [Assignment: organization-defined systems or system components].</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</si>
  <si>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</si>
  <si>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SA-8(19)</t>
  </si>
  <si>
    <t>Security and Privacy Engineering Principles | Continuous Protection</t>
  </si>
  <si>
    <t>Implement the security design principle of continuous protection in [Assignment: organization-defined systems or system components].</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</si>
  <si>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</si>
  <si>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SA-8(20)</t>
  </si>
  <si>
    <t>Security and Privacy Engineering Principles | Secure Metadata Management</t>
  </si>
  <si>
    <t>Implement the security design principle of secure metadata management in [Assignment: organization-defined systems or system components].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</si>
  <si>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</si>
  <si>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SA-8(21)</t>
  </si>
  <si>
    <t>Security and Privacy Engineering Principles | Self-analysis</t>
  </si>
  <si>
    <t>Implement the security design principle of self-analysis in [Assignment: organization-defined systems or system components].</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</si>
  <si>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</si>
  <si>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SA-8(22)</t>
  </si>
  <si>
    <t>Security and Privacy Engineering Principles | Accountability and Traceability</t>
  </si>
  <si>
    <t>Implement the security design principle of accountability and traceability in [Assignment: organization-defined systems or system components].</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</si>
  <si>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</si>
  <si>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AC-6, AU-2, AU-3, AU-6, AU-9, AU-10, AU-12, IA-2, IR-4</t>
  </si>
  <si>
    <t>SA-8(23)</t>
  </si>
  <si>
    <t>Security and Privacy Engineering Principles | Secure Defaults</t>
  </si>
  <si>
    <t>Implement the security design principle of secure defaults in [Assignment: organization-defined systems or system components].</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</si>
  <si>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</si>
  <si>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CM-2, CM-6, SA-4</t>
  </si>
  <si>
    <t>SA-8(24)</t>
  </si>
  <si>
    <t>Security and Privacy Engineering Principles | Secure Failure and Recovery</t>
  </si>
  <si>
    <t>Implement the security design principle of secure failure and recovery in [Assignment: organization-defined systems or system components].</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</si>
  <si>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</si>
  <si>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CP-10, CP-12, SC-7, SC-8, SC-24, SI-13</t>
  </si>
  <si>
    <t>SA-8(25)</t>
  </si>
  <si>
    <t>Security and Privacy Engineering Principles | Economic Security</t>
  </si>
  <si>
    <t>Implement the security design principle of economic security in [Assignment: organization-defined systems or system components].</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</si>
  <si>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</si>
  <si>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SA-8(26)</t>
  </si>
  <si>
    <t>Security and Privacy Engineering Principles | Performance Security</t>
  </si>
  <si>
    <t>Implement the security design principle of performance security in [Assignment: organization-defined systems or system components].</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</si>
  <si>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</si>
  <si>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SC-12, SC-13, SI-2, SI-7</t>
  </si>
  <si>
    <t>SA-8(27)</t>
  </si>
  <si>
    <t>Security and Privacy Engineering Principles | Human Factored Security</t>
  </si>
  <si>
    <t>Implement the security design principle of human factored security in [Assignment: organization-defined systems or system components].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</si>
  <si>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</si>
  <si>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SA-8(28)</t>
  </si>
  <si>
    <t>Security and Privacy Engineering Principles | Acceptable Security</t>
  </si>
  <si>
    <t>Implement the security design principle of acceptable security in [Assignment: organization-defined systems or system components].</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</si>
  <si>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</si>
  <si>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SA-8(29)</t>
  </si>
  <si>
    <t>Security and Privacy Engineering Principles | Repeatable and Documented Procedures</t>
  </si>
  <si>
    <t>Implement the security design principle of repeatable and documented procedures in [Assignment: organization-defined systems or system components].</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</si>
  <si>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</si>
  <si>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CM-1, SA-1, SA-10, SA-11, SA-15, SA-17, SC-1, SI-1</t>
  </si>
  <si>
    <t>SA-8(30)</t>
  </si>
  <si>
    <t>Security and Privacy Engineering Principles | Procedural Rigor</t>
  </si>
  <si>
    <t>Implement the security design principle of procedural rigor in [Assignment: organization-defined systems or system components].</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</si>
  <si>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</si>
  <si>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SA-8(31)</t>
  </si>
  <si>
    <t>Security and Privacy Engineering Principles | Secure System Modification</t>
  </si>
  <si>
    <t>Implement the security design principle of secure system modification in [Assignment: organization-defined systems or system components].</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</si>
  <si>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</si>
  <si>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CM-3, CM-4</t>
  </si>
  <si>
    <t>SA-8(32)</t>
  </si>
  <si>
    <t>Security and Privacy Engineering Principles | Sufficient Documentation</t>
  </si>
  <si>
    <t>Implement the security design principle of sufficient documentation in [Assignment: organization-defined systems or system components].</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</si>
  <si>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</si>
  <si>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AT-2, AT-3, SA-5</t>
  </si>
  <si>
    <t>SA-8(33)</t>
  </si>
  <si>
    <t>Security and Privacy Engineering Principles | Minimization</t>
  </si>
  <si>
    <t>Implement the privacy principle of minimization using [Assignment: organization-defined processes].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</si>
  <si>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</si>
  <si>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PE-8, PM-25, SC-42, SI-12</t>
  </si>
  <si>
    <t>External System Services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</si>
  <si>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</si>
  <si>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</si>
  <si>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AC-20, CA-3, CP-2, IR-4, IR-7, PL-10, PL-11, PS-7, SA-2, SA-4, SR-3, SR-5</t>
  </si>
  <si>
    <t>SA-9(1)</t>
  </si>
  <si>
    <t>External System Services | Risk Assessments and Organizational Approvals</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</si>
  <si>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</si>
  <si>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</si>
  <si>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CA-6, RA-3, RA-8</t>
  </si>
  <si>
    <t>SA-9(2)</t>
  </si>
  <si>
    <t>External System Services | Identification of Functions, Ports, Protocols, and Services</t>
  </si>
  <si>
    <t>Require providers of the following external system services to identify the functions, ports, protocols, and other services required for the use of such services: [Assignment: organization-defined external system services].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</si>
  <si>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</si>
  <si>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CM-6, CM-7</t>
  </si>
  <si>
    <t>SA-9(3)</t>
  </si>
  <si>
    <t>External System Services | Establish and Maintain Trust Relationship with Providers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</si>
  <si>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</si>
  <si>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</si>
  <si>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SR-2</t>
  </si>
  <si>
    <t>SA-9(4)</t>
  </si>
  <si>
    <t>External System Services | Consistent Interests of Consumers and Providers</t>
  </si>
  <si>
    <t>Take the following actions to verify that the interests of [Assignment: organization-defined external service providers] are consistent with and reflect organizational interests: [Assignment: organization-defined actions].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</si>
  <si>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</si>
  <si>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SA-9(5)</t>
  </si>
  <si>
    <t>External System Services | Processing, Storage, and Service Location</t>
  </si>
  <si>
    <t>Restrict the location of [Selection (one or more): information processing; information or data; system services] to [Assignment: organization-defined locations] based on [Assignment: organization-defined requirements or conditions].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</si>
  <si>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or privacy incidents. Incident response activities, including forensic analyses and after-the-fact investigations, may be adversely affected by the governing laws, policies, or protocols in the locations where processing and storage occur and/or the locations from which system services emanate.</t>
  </si>
  <si>
    <t>SA-5, SR-4</t>
  </si>
  <si>
    <t>SA-9(6)</t>
  </si>
  <si>
    <t>External System Services | Organization-controlled Cryptographic Keys</t>
  </si>
  <si>
    <t>Maintain exclusive control of cryptographic keys for encrypted material stored or transmitted through an external system.</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</si>
  <si>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</si>
  <si>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SC-12, SC-13, SI-4</t>
  </si>
  <si>
    <t>SA-9(7)</t>
  </si>
  <si>
    <t>External System Services | Organization-controlled Integrity Checking</t>
  </si>
  <si>
    <t>Provide the capability to check the integrity of information while it resides in the external system.</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</si>
  <si>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</si>
  <si>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SA-9(8)</t>
  </si>
  <si>
    <t>External System Services | Processing and Storage Location — U.s. Jurisdiction</t>
  </si>
  <si>
    <t>Restrict the geographic location of information processing and data storage to facilities located within in the legal jurisdictional boundary of the United States.</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</si>
  <si>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</si>
  <si>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SA-10</t>
  </si>
  <si>
    <t>Developer Configuration Management</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</si>
  <si>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</si>
  <si>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</si>
  <si>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CM-2, CM-3, CM-4, CM-7, CM-9, SA-4, SA-5, SA-8, SA-15, SI-2, SR-3, SR-4, SR-5, SR-6</t>
  </si>
  <si>
    <t>SA-10(1)</t>
  </si>
  <si>
    <t>Developer Configuration Management | Software and Firmware Integrity Verification</t>
  </si>
  <si>
    <t>Require the developer of the system, system component, or system service to enable integrity verification of software and firmware components.</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</si>
  <si>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</si>
  <si>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SI-7, SR-11</t>
  </si>
  <si>
    <t>SA-10(2)</t>
  </si>
  <si>
    <t>Developer Configuration Management | Alternative Configuration Management</t>
  </si>
  <si>
    <t>Provide an alternate configuration management process using organizational personnel in the absence of a dedicated developer configuration management team.</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</si>
  <si>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</si>
  <si>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SA-10(3)</t>
  </si>
  <si>
    <t>Developer Configuration Management | Hardware Integrity Verification</t>
  </si>
  <si>
    <t>Require the developer of the system, system component, or system service to enable integrity verification of hardware components.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</si>
  <si>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</si>
  <si>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SA-10(4)</t>
  </si>
  <si>
    <t>Developer Configuration Management | Trusted Generation</t>
  </si>
  <si>
    <t>Require the developer of the system, system component, or system service to employ tools for comparing newly generated versions of security-relevant hardware descriptions, source code, and object code with previous versions.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</si>
  <si>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</si>
  <si>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SA-10(5)</t>
  </si>
  <si>
    <t>Developer Configuration Management | Mapping Integrity for Version Control</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</si>
  <si>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</si>
  <si>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</si>
  <si>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SA-10(6)</t>
  </si>
  <si>
    <t>Developer Configuration Management | Trusted Distribution</t>
  </si>
  <si>
    <t>Require the developer of the system, system component, or system service to execute procedures for ensuring that security-relevant hardware, software, and firmware updates distributed to the organization are exactly as specified by the master copies.</t>
  </si>
  <si>
    <t>The trusted distribution of security-relevant hardware, software, and firmware updates help to ensure that the updates are correct representations of the master copies maintained by the developer and have not been tampered with during distribution.</t>
  </si>
  <si>
    <t>SA-10(7)</t>
  </si>
  <si>
    <t>Developer Configuration Management | Security and Privacy Representatives</t>
  </si>
  <si>
    <t>Require [Assignment: organization-defined security and privacy representatives] to be included in the [Assignment: organization-defined configuration change management and control process].</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</si>
  <si>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</si>
  <si>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SA-11</t>
  </si>
  <si>
    <t>Developer Testing and Evaluation</t>
  </si>
  <si>
    <t>Require the developer of the system, system component, or system service, at all post-design stages of the system development life cycle, to:
a. Develop and implement a plan for ongoing security and privacy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</si>
  <si>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</si>
  <si>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CA-2, CA-7, CM-4, SA-3, SA-4, SA-5, SA-8, SA-15, SA-17, SI-2, SR-5, SR-6, SR-7</t>
  </si>
  <si>
    <t>SA-11(1)</t>
  </si>
  <si>
    <t>Developer Testing and Evaluation | Static Code Analysis</t>
  </si>
  <si>
    <t>Require the developer of the system, system component, or system service to employ static code analysis tools to identify common flaws and document the results of the analysis.</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</si>
  <si>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</si>
  <si>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SA-11(2)</t>
  </si>
  <si>
    <t>Developer Testing and Evaluation | Threat Modeling and Vulnerability Analyses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</si>
  <si>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</si>
  <si>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</si>
  <si>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PM-15, RA-3, RA-5</t>
  </si>
  <si>
    <t>SA-11(3)</t>
  </si>
  <si>
    <t>Developer Testing and Evaluation | Independent Verification of Assessment Plans and Evidence</t>
  </si>
  <si>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</si>
  <si>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Independent agents have the qualifications—including the expertise, skills, training, certifications, and experience—to verify the correct implementation of developer security and privacy assessment plans.</t>
  </si>
  <si>
    <t>AT-3, RA-5</t>
  </si>
  <si>
    <t>SA-11(4)</t>
  </si>
  <si>
    <t>Developer Testing and Evaluation | Manual Code Reviews</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</si>
  <si>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</si>
  <si>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</si>
  <si>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SA-11(5)</t>
  </si>
  <si>
    <t>Developer Testing and Evaluation | Penetration Testing</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</si>
  <si>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</si>
  <si>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</si>
  <si>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CA-8, PM-14, PM-25, PT-2, SA-3, SI-2, SI-6</t>
  </si>
  <si>
    <t>SA-11(6)</t>
  </si>
  <si>
    <t>Developer Testing and Evaluation | Attack Surface Reviews</t>
  </si>
  <si>
    <t>Require the developer of the system, system component, or system service to perform attack surface reviews.</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</si>
  <si>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</si>
  <si>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SA-15</t>
  </si>
  <si>
    <t>SA-11(7)</t>
  </si>
  <si>
    <t>Developer Testing and Evaluation | Verify Scope of Testing and Evaluation</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</si>
  <si>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</si>
  <si>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</si>
  <si>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SA-11(8)</t>
  </si>
  <si>
    <t>Developer Testing and Evaluation | Dynamic Code Analysis</t>
  </si>
  <si>
    <t>Require the developer of the system, system component, or system service to employ dynamic code analysis tools to identify common flaws and document the results of the analysis.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</si>
  <si>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</si>
  <si>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SA-11(9)</t>
  </si>
  <si>
    <t>Developer Testing and Evaluation | Interactive Application Security Testing</t>
  </si>
  <si>
    <t>Require the developer of the system, system component, or system service to employ interactive application security testing tools to identify flaws and document the results.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</si>
  <si>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</si>
  <si>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SA-12</t>
  </si>
  <si>
    <t>Supply Chain Protection</t>
  </si>
  <si>
    <t>SA-12(1)</t>
  </si>
  <si>
    <t>Supply Chain Protection | Acquisition Strategies / Tools / Methods</t>
  </si>
  <si>
    <t>SA-12(2)</t>
  </si>
  <si>
    <t>Supply Chain Protection | Supplier Reviews</t>
  </si>
  <si>
    <t>SA-12(3)</t>
  </si>
  <si>
    <t>Supply Chain Protection | Trusted Shipping and Warehousing</t>
  </si>
  <si>
    <t>SA-12(4)</t>
  </si>
  <si>
    <t>Supply Chain Protection | Diversity of Suppliers</t>
  </si>
  <si>
    <t>SA-12(5)</t>
  </si>
  <si>
    <t>Supply Chain Protection | Limitation of Harm</t>
  </si>
  <si>
    <t>SA-12(6)</t>
  </si>
  <si>
    <t>Supply Chain Protection | Minimizing Procurement Time</t>
  </si>
  <si>
    <t>SA-12(7)</t>
  </si>
  <si>
    <t>Supply Chain Protection | Assessments Prior to Selection / Acceptance / Update</t>
  </si>
  <si>
    <t>SA-12(8)</t>
  </si>
  <si>
    <t>Supply Chain Protection | Use of All-source Intelligence</t>
  </si>
  <si>
    <t>SA-12(9)</t>
  </si>
  <si>
    <t>Supply Chain Protection | Operations Security</t>
  </si>
  <si>
    <t>SA-12(10)</t>
  </si>
  <si>
    <t>Supply Chain Protection | Validate as Genuine and Not Altered</t>
  </si>
  <si>
    <t>SA-12(11)</t>
  </si>
  <si>
    <t>Supply Chain Protection | Penetration Testing / Analysis of Elements, Processes, and Actors</t>
  </si>
  <si>
    <t>SA-12(12)</t>
  </si>
  <si>
    <t>Supply Chain Protection | Inter-organizational Agreements</t>
  </si>
  <si>
    <t>SA-12(13)</t>
  </si>
  <si>
    <t>Supply Chain Protection | Critical Information System Components</t>
  </si>
  <si>
    <t>SA-12(14)</t>
  </si>
  <si>
    <t>Supply Chain Protection | Identity and Traceability</t>
  </si>
  <si>
    <t>SA-12(15)</t>
  </si>
  <si>
    <t>Supply Chain Protection | Processes to Address Weaknesses or Deficiencies</t>
  </si>
  <si>
    <t>SA-13</t>
  </si>
  <si>
    <t>Trustworthiness</t>
  </si>
  <si>
    <t>SA-14</t>
  </si>
  <si>
    <t>SA-14(1)</t>
  </si>
  <si>
    <t>Criticality Analysis | Critical Components with No Viable Alternative Sourcing</t>
  </si>
  <si>
    <t>Development Process, Standards, and Tools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</si>
  <si>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</si>
  <si>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</si>
  <si>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MA-6, SA-3, SA-4, SA-8, SA-10, SA-11, SR-3, SR-4, SR-5, SR-6, SR-9</t>
  </si>
  <si>
    <t>SA-15(1)</t>
  </si>
  <si>
    <t>Development Process, Standards, and Tools | Quality Metrics</t>
  </si>
  <si>
    <t>Require the developer of the system, system component, or system service to:
(a) Define quality metrics at the beginning of the development process; and
(b) Provide evidence of meeting the quality metrics [Selection (one or more): 
                     [Assignment: organization-defined frequency]
                  ; 
                     [Assignment: organization-defined program review milestones]
                  ; upon delivery].</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</si>
  <si>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</si>
  <si>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SA-15(2)</t>
  </si>
  <si>
    <t>Development Process, Standards, and Tools | Security and Privacy Tracking Tools</t>
  </si>
  <si>
    <t>Require the developer of the system, system component, or system service to select and employ security and privacy tracking tools for use during the development process.</t>
  </si>
  <si>
    <t>System development teams select and deploy security and privacy tracking tools, including vulnerability or work item tracking systems that facilitate assignment, sorting, filtering, and tracking of completed work items or tasks associated with development processes.</t>
  </si>
  <si>
    <t>SA-15(3)</t>
  </si>
  <si>
    <t>Development Process, Standards, and Tools | Criticality Analysis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</si>
  <si>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</si>
  <si>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</si>
  <si>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SA-15(4)</t>
  </si>
  <si>
    <t>Development Process, Standards, and Tools | Threat Modeling and Vulnerability Analysis</t>
  </si>
  <si>
    <t>SA-15(5)</t>
  </si>
  <si>
    <t>Development Process, Standards, and Tools | Attack Surface Reduction</t>
  </si>
  <si>
    <t>Require the developer of the system, system component, or system service to reduce attack surfaces to [Assignment: organization-defined thresholds].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</si>
  <si>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</si>
  <si>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AC-6, CM-7, RA-3, SA-11</t>
  </si>
  <si>
    <t>SA-15(6)</t>
  </si>
  <si>
    <t>Development Process, Standards, and Tools | Continuous Improvement</t>
  </si>
  <si>
    <t>Require the developer of the system, system component, or system service to implement an explicit process to continuously improve the development process.</t>
  </si>
  <si>
    <t>Developers of systems, system components, and system services consider the effectiveness and efficiency of their development processes for meeting quality objectives and addressing the security and privacy capabilities in current threat environments.</t>
  </si>
  <si>
    <t>SA-15(7)</t>
  </si>
  <si>
    <t>Development Process, Standards, and Tools | Automated Vulnerability Analysis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</si>
  <si>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</si>
  <si>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Automated tools can be more effective at analyzing exploitable weaknesses or deficiencies in large and complex systems, prioritizing vulnerabilities by severity, and providing recommendations for risk mitigations.</t>
  </si>
  <si>
    <t>RA-5, SA-11</t>
  </si>
  <si>
    <t>SA-15(8)</t>
  </si>
  <si>
    <t>Development Process, Standards, and Tools | Reuse of Threat and Vulnerability Information</t>
  </si>
  <si>
    <t>Require the developer of the system, system component, or system service to use threat modeling and vulnerability analyses from similar systems, components, or services to inform the current development process.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</si>
  <si>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</si>
  <si>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SA-15(9)</t>
  </si>
  <si>
    <t>Development Process, Standards, and Tools | Use of Live Data</t>
  </si>
  <si>
    <t>SA-15(10)</t>
  </si>
  <si>
    <t>Development Process, Standards, and Tools | Incident Response Plan</t>
  </si>
  <si>
    <t>Require the developer of the system, system component, or system service to provide, implement, and test an incident response plan.</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</si>
  <si>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</si>
  <si>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SA-15(11)</t>
  </si>
  <si>
    <t>Development Process, Standards, and Tools | Archive System or Component</t>
  </si>
  <si>
    <t>Require the developer of the system or system component to archive the system or component to be released or delivered together with the corresponding evidence supporting the final security and privacy review.</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</si>
  <si>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</si>
  <si>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SA-15(12)</t>
  </si>
  <si>
    <t>Development Process, Standards, and Tools | Minimize Personally Identifiable Information</t>
  </si>
  <si>
    <t>Require the developer of the system or system component to minimize the use of personally identifiable information in development and test environments.</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</si>
  <si>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</si>
  <si>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PM-25, SA-3, SA-8</t>
  </si>
  <si>
    <t>SA-16</t>
  </si>
  <si>
    <t>Developer-provided Training</t>
  </si>
  <si>
    <t>Require the developer of the system, system component, or system service to provide the following training on the correct use and operation of the implemented security and privacy functions, controls, and/or mechanisms: [Assignment: organization-defined training].</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</si>
  <si>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</si>
  <si>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AT-2, AT-3, PE-3, SA-4, SA-5</t>
  </si>
  <si>
    <t>SA-17</t>
  </si>
  <si>
    <t>Developer Security and Privacy Architecture and Design</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</si>
  <si>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</si>
  <si>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</si>
  <si>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PL-2, PL-8, PM-7, SA-3, SA-4, SA-8, SC-7</t>
  </si>
  <si>
    <t>SA-17(1)</t>
  </si>
  <si>
    <t>Developer Security and Privacy Architecture and Design | Formal Policy Model</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</si>
  <si>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</si>
  <si>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</si>
  <si>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AC-3, AC-4, AC-25</t>
  </si>
  <si>
    <t>SA-17(2)</t>
  </si>
  <si>
    <t>Developer Security and Privacy Architecture and Design | Security-relevant Components</t>
  </si>
  <si>
    <t>Require the developer of the system, system component, or system service to:
(a) Define security-relevant hardware, software, and firmware; and
(b) Provide a rationale that the definition for security-relevant hardware, software, and firmware is complete.</t>
  </si>
  <si>
    <t>The security-relevant hardware, software, and firmware represent the portion of the system, component, or service that is trusted to perform correctly to maintain required security properties.</t>
  </si>
  <si>
    <t>AC-25, SA-5</t>
  </si>
  <si>
    <t>SA-17(3)</t>
  </si>
  <si>
    <t>Developer Security and Privacy Architecture and Design | Formal Correspondence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</si>
  <si>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</si>
  <si>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</si>
  <si>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AC-3, AC-4, AC-25, SA-4, SA-5</t>
  </si>
  <si>
    <t>SA-17(4)</t>
  </si>
  <si>
    <t>Developer Security and Privacy Architecture and Design | Informal Correspondence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</si>
  <si>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</si>
  <si>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</si>
  <si>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SA-17(5)</t>
  </si>
  <si>
    <t>Developer Security and Privacy Architecture and Design | Conceptually Simple Design</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</si>
  <si>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</si>
  <si>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</si>
  <si>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AC-25, SA-8, SC-3</t>
  </si>
  <si>
    <t>SA-17(6)</t>
  </si>
  <si>
    <t>Developer Security and Privacy Architecture and Design | Structure for Testing</t>
  </si>
  <si>
    <t>Require the developer of the system, system component, or system service to structure security-relevant hardware, software, and firmware to facilitate testing.</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</si>
  <si>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</si>
  <si>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SA-5, SA-11</t>
  </si>
  <si>
    <t>SA-17(7)</t>
  </si>
  <si>
    <t>Developer Security and Privacy Architecture and Design | Structure for Least Privilege</t>
  </si>
  <si>
    <t>Require the developer of the system, system component, or system service to structure security-relevant hardware, software, and firmware to facilitate controlling access with least privilege.</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</si>
  <si>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</si>
  <si>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AC-5, AC-6, SA-8</t>
  </si>
  <si>
    <t>SA-17(8)</t>
  </si>
  <si>
    <t>Developer Security and Privacy Architecture and Design | Orchestration</t>
  </si>
  <si>
    <t>Design [Assignment: organization-defined critical systems or system components] with coordinated behavior to implement the following capabilities: [Assignment: organization-defined capabilities, by system or component].</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</si>
  <si>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</si>
  <si>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SA-17(9)</t>
  </si>
  <si>
    <t>Developer Security and Privacy Architecture and Design | Design Diversity</t>
  </si>
  <si>
    <t>Use different designs for [Assignment: organization-defined critical systems or system components] to satisfy a common set of requirements or to provide equivalent functionality.</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</si>
  <si>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</si>
  <si>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SA-18</t>
  </si>
  <si>
    <t>Tamper Resistance and Detection</t>
  </si>
  <si>
    <t>SA-18(1)</t>
  </si>
  <si>
    <t>Tamper Resistance and Detection | Multiple Phases of System Development Life Cycle</t>
  </si>
  <si>
    <t>SA-18(2)</t>
  </si>
  <si>
    <t>Tamper Resistance and Detection | Inspection of Systems or Components</t>
  </si>
  <si>
    <t>SA-19</t>
  </si>
  <si>
    <t>Component Authenticity</t>
  </si>
  <si>
    <t>SA-19(1)</t>
  </si>
  <si>
    <t>Component Authenticity | Anti-counterfeit Training</t>
  </si>
  <si>
    <t>SA-19(2)</t>
  </si>
  <si>
    <t>Component Authenticity | Configuration Control for Component Service and Repair</t>
  </si>
  <si>
    <t>SA-19(3)</t>
  </si>
  <si>
    <t>Component Authenticity | Component Disposal</t>
  </si>
  <si>
    <t>SA-19(4)</t>
  </si>
  <si>
    <t>Component Authenticity | Anti-counterfeit Scanning</t>
  </si>
  <si>
    <t>SA-20</t>
  </si>
  <si>
    <t>Customized Development of Critical Components</t>
  </si>
  <si>
    <t>Reimplement or custom develop the following critical system components: [Assignment: organization-defined critical system components].</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</si>
  <si>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</si>
  <si>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CP-2, RA-9, SA-8</t>
  </si>
  <si>
    <t>SA-21</t>
  </si>
  <si>
    <t>Developer Screening</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</si>
  <si>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</si>
  <si>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</si>
  <si>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PS-2, PS-3, PS-6, PS-7, SA-4, SR-6</t>
  </si>
  <si>
    <t>SA-21(1)</t>
  </si>
  <si>
    <t>Developer Screening | Validation of Screening</t>
  </si>
  <si>
    <t>SA-22</t>
  </si>
  <si>
    <t>Unsupported System Components</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</si>
  <si>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</si>
  <si>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</si>
  <si>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PL-2, SA-3</t>
  </si>
  <si>
    <t>SA-22(1)</t>
  </si>
  <si>
    <t>Unsupported System Components | Alternative Sources for Continued Support</t>
  </si>
  <si>
    <t>SA-23</t>
  </si>
  <si>
    <t>Specialization</t>
  </si>
  <si>
    <t>Employ [Selection (one or more): design modification; augmentation; reconfiguration] on [Assignment: organization-defined systems or system components] supporting mission essential services or functions to increase the trustworthiness in those systems or components.</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</si>
  <si>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</si>
  <si>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RA-9, SA-8</t>
  </si>
  <si>
    <t>SC-1</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</si>
  <si>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</si>
  <si>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</si>
  <si>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SC-2</t>
  </si>
  <si>
    <t>Separation of System and User Functionality</t>
  </si>
  <si>
    <t>Separate user functionality, including user interface services, from system management functionality.</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</si>
  <si>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</si>
  <si>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AC-6, SA-4, SA-8, SC-3, SC-7, SC-22, SC-32, SC-39</t>
  </si>
  <si>
    <t>SC-2(1)</t>
  </si>
  <si>
    <t>Separation of System and User Functionality | Interfaces for Non-privileged Users</t>
  </si>
  <si>
    <t>Prevent the presentation of system management functionality at interfaces to non-privileged users.</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</si>
  <si>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</si>
  <si>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SC-2(2)</t>
  </si>
  <si>
    <t>Separation of System and User Functionality | Disassociability</t>
  </si>
  <si>
    <t>Store state information from applications and software separately.</t>
  </si>
  <si>
    <t>If a system is compromised, storing applications and software separately from state information about users’ interactions with an application may better protect individuals’ privacy.</t>
  </si>
  <si>
    <t>SC-3</t>
  </si>
  <si>
    <t>Security Function Isolation</t>
  </si>
  <si>
    <t>Isolate security functions from nonsecurity functions.</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</si>
  <si>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</si>
  <si>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AC-3, AC-6, AC-25, CM-2, CM-4, SA-4, SA-5, SA-8, SA-15, SA-17, SC-2, SC-7, SC-32, SC-39, SI-16</t>
  </si>
  <si>
    <t>SC-3(1)</t>
  </si>
  <si>
    <t>Security Function Isolation | Hardware Separation</t>
  </si>
  <si>
    <t>Employ hardware separation mechanisms to implement security function isolation.</t>
  </si>
  <si>
    <t>Hardware separation mechanisms include hardware ring architectures that are implemented within microprocessors and hardware-enforced address segmentation used to support logically distinct storage objects with separate attributes (i.e., readable, writeable).</t>
  </si>
  <si>
    <t>SC-3(2)</t>
  </si>
  <si>
    <t>Security Function Isolation | Access and Flow Control Functions</t>
  </si>
  <si>
    <t>Isolate security functions enforcing access and information flow control from nonsecurity functions and from other security functions.</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</si>
  <si>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</si>
  <si>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SC-3(3)</t>
  </si>
  <si>
    <t>Security Function Isolation | Minimize Nonsecurity Functionality</t>
  </si>
  <si>
    <t>Minimize the number of nonsecurity functions included within the isolation boundary containing security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</si>
  <si>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</si>
  <si>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SC-3(4)</t>
  </si>
  <si>
    <t>Security Function Isolation | Module Coupling and Cohesiveness</t>
  </si>
  <si>
    <t>Implement security functions as largely independent modules that maximize internal cohesiveness within modules and minimize coupling between modules.</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</si>
  <si>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</si>
  <si>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SC-3(5)</t>
  </si>
  <si>
    <t>Security Function Isolation | Layered Structures</t>
  </si>
  <si>
    <t>Implement security functions as a layered structure minimizing interactions between layers of the design and avoiding any dependence by lower layers on the functionality or correctness of higher layers.</t>
  </si>
  <si>
    <t>The implementation of layered structures with minimized interactions among security functions and non-looping layers (i.e., lower-layer functions do not depend on higher-layer functions) enables the isolation of security functions and the management of complexity.</t>
  </si>
  <si>
    <t>SC-4</t>
  </si>
  <si>
    <t>Information in Shared System Resources</t>
  </si>
  <si>
    <t>Prevent unauthorized and unintended information transfer via shared system resources.</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</si>
  <si>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</si>
  <si>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AC-3, AC-4, SA-8</t>
  </si>
  <si>
    <t>SC-4(1)</t>
  </si>
  <si>
    <t>Information in Shared System Resources | Security Levels</t>
  </si>
  <si>
    <t>SC-4(2)</t>
  </si>
  <si>
    <t>Information in Shared System Resources | Multilevel or Periods Processing</t>
  </si>
  <si>
    <t>Prevent unauthorized information transfer via shared resources in accordance with [Assignment: organization-defined procedures] when system processing explicitly switches between different information classification levels or security categories.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</si>
  <si>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</si>
  <si>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SC-5</t>
  </si>
  <si>
    <t>Denial-of-service Protection</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</si>
  <si>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</si>
  <si>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</si>
  <si>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CP-2, IR-4, SC-6, SC-7, SC-40</t>
  </si>
  <si>
    <t>SC-5(1)</t>
  </si>
  <si>
    <t>Denial-of-service Protection | Restrict Ability to Attack Other Systems</t>
  </si>
  <si>
    <t>Restrict the ability of individuals to launch the following denial-of-service attacks against other systems: [Assignment: organization-defined denial-of-service attacks].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</si>
  <si>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</si>
  <si>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SC-5(2)</t>
  </si>
  <si>
    <t>Denial-of-service Protection | Capacity, Bandwidth, and Redundancy</t>
  </si>
  <si>
    <t>Manage capacity, bandwidth, or other redundancy to limit the effects of information flooding denial-of-service attacks.</t>
  </si>
  <si>
    <t>Managing capacity ensures that sufficient capacity is available to counter flooding attacks. Managing capacity includes establishing selected usage priorities, quotas, partitioning, or load balancing.</t>
  </si>
  <si>
    <t>SC-5(3)</t>
  </si>
  <si>
    <t>Denial-of-service Protection | Detection and Monitoring</t>
  </si>
  <si>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</si>
  <si>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</si>
  <si>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CA-7, SI-4</t>
  </si>
  <si>
    <t>SC-6</t>
  </si>
  <si>
    <t>Resource Availability</t>
  </si>
  <si>
    <t>Protect the availability of resources by allocating [Assignment: organization-defined resources] by [Selection (one or more): priority; quota; 
                  [Assignment: organization-defined controls]
               ].</t>
  </si>
  <si>
    <t>Priority protection prevents lower-priority processes from delaying or interfering with the system that services higher-priority processes. Quotas prevent users or processes from obtaining more than predetermined amounts of resources.</t>
  </si>
  <si>
    <t>Boundary Protection</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</si>
  <si>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</si>
  <si>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</si>
  <si>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AC-4, AC-17, AC-18, AC-19, AC-20, AU-13, CA-3, CM-2, CM-4, CM-7, CM-10, CP-8, CP-10, IR-4, MA-4, PE-3, PL-8, PM-12, SA-8, SA-17, SC-5, SC-26, SC-32, SC-35, SC-43</t>
  </si>
  <si>
    <t>SC-7(1)</t>
  </si>
  <si>
    <t>Boundary Protection | Physically Separated Subnetworks</t>
  </si>
  <si>
    <t>SC-7(2)</t>
  </si>
  <si>
    <t>Boundary Protection | Public Access</t>
  </si>
  <si>
    <t>SC-7(3)</t>
  </si>
  <si>
    <t>Boundary Protection | Access Points</t>
  </si>
  <si>
    <t>Limit the number of external network connections to the system.</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</si>
  <si>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</si>
  <si>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SC-7(4)</t>
  </si>
  <si>
    <t>Boundary Protection | External Telecommunications Services</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</si>
  <si>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</si>
  <si>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External telecommunications services can provide data and/or voice communications services. Examples of control plane traffic include routing, Domain Name System (DNS), and management. Unauthorized control plane traffic can occur through a technique known as “spoofing.”</t>
  </si>
  <si>
    <t>AC-3, SC-8</t>
  </si>
  <si>
    <t>SC-7(5)</t>
  </si>
  <si>
    <t>Boundary Protection | Deny by Default — Allow by Exception</t>
  </si>
  <si>
    <t>Deny network communications traffic by default and allow network communications traffic by exception [Selection (one or more): at managed interfaces; for [Assignment: organization-defined systems]
                  ].</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</si>
  <si>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</si>
  <si>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SC-7(6)</t>
  </si>
  <si>
    <t>Boundary Protection | Response to Recognized Failures</t>
  </si>
  <si>
    <t>SC-7(7)</t>
  </si>
  <si>
    <t>Boundary Protection | Split Tunneling for Remote Devices</t>
  </si>
  <si>
    <t>Prevent split tunneling for remote devices connecting to organizational systems unless the split tunnel is securely provisioned using [Assignment: organization-defined safeguards].</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</si>
  <si>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</si>
  <si>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SC-7(8)</t>
  </si>
  <si>
    <t>Boundary Protection | Route Traffic to Authenticated Proxy Servers</t>
  </si>
  <si>
    <t>Route [Assignment: organization-defined internal communications traffic] to [Assignment: organization-defined external networks] through authenticated proxy servers at managed interfaces.</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</si>
  <si>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</si>
  <si>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SC-7(9)</t>
  </si>
  <si>
    <t>Boundary Protection | Restrict Threatening Outgoing Communications Traffic</t>
  </si>
  <si>
    <t>(a) Detect and deny outgoing communications traffic posing a threat to external systems; and
(b) Audit the identity of internal users associated with denied communications.</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</si>
  <si>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</si>
  <si>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AU-2, AU-6, SC-5, SC-38, SC-44, SI-3, SI-4</t>
  </si>
  <si>
    <t>SC-7(10)</t>
  </si>
  <si>
    <t>Boundary Protection | Prevent Exfiltration</t>
  </si>
  <si>
    <t>(a) Prevent the exfiltration of information; and
(b) Conduct exfiltration tests [Assignment: organization-defined frequency].</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</si>
  <si>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</si>
  <si>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AC-2, CA-8, SI-3</t>
  </si>
  <si>
    <t>SC-7(11)</t>
  </si>
  <si>
    <t>Boundary Protection | Restrict Incoming Communications Traffic</t>
  </si>
  <si>
    <t>Only allow incoming communications from [Assignment: organization-defined authorized sources] to be routed to [Assignment: organization-defined authorized destinations].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</si>
  <si>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</si>
  <si>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SC-7(12)</t>
  </si>
  <si>
    <t>Boundary Protection | Host-based Protection</t>
  </si>
  <si>
    <t>Implement [Assignment: organization-defined host-based boundary protection mechanisms] at [Assignment: organization-defined system components].</t>
  </si>
  <si>
    <t>Host-based boundary protection mechanisms include host-based firewalls. System components that employ host-based boundary protection mechanisms include servers, workstations, notebook computers, and mobile devices.</t>
  </si>
  <si>
    <t>SC-7(13)</t>
  </si>
  <si>
    <t>Boundary Protection | Isolation of Security Tools, Mechanisms, and Support Components</t>
  </si>
  <si>
    <t>Isolate [Assignment: organization-defined information security tools, mechanisms, and support components] from other internal system components by implementing physically separate subnetworks with managed interfaces to other components of the system.</t>
  </si>
  <si>
    <t>Physically separate subnetworks with managed interfaces are useful in isolating computer network defenses from critical operational processing networks to prevent adversaries from discovering the analysis and forensics techniques employed by organizations.</t>
  </si>
  <si>
    <t>SC-7(14)</t>
  </si>
  <si>
    <t>Boundary Protection | Protect Against Unauthorized Physical Connections</t>
  </si>
  <si>
    <t>Protect against unauthorized physical connections at [Assignment: organization-defined managed interfaces].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</si>
  <si>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</si>
  <si>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PE-4, PE-19</t>
  </si>
  <si>
    <t>SC-7(15)</t>
  </si>
  <si>
    <t>Boundary Protection | Networked Privileged Accesses</t>
  </si>
  <si>
    <t>Route networked, privileged accesses through a dedicated, managed interface for purposes of access control and auditing.</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</si>
  <si>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</si>
  <si>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AC-2, AC-3, AU-2, SI-4</t>
  </si>
  <si>
    <t>SC-7(16)</t>
  </si>
  <si>
    <t>Boundary Protection | Prevent Discovery of System Components</t>
  </si>
  <si>
    <t>Prevent the discovery of specific system components that represent a managed interface.</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</si>
  <si>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</si>
  <si>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SC-7(17)</t>
  </si>
  <si>
    <t>Boundary Protection | Automated Enforcement of Protocol Formats</t>
  </si>
  <si>
    <t>Enforce adherence to protocol formats.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</si>
  <si>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</si>
  <si>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SC-7(18)</t>
  </si>
  <si>
    <t>Boundary Protection | Fail Secure</t>
  </si>
  <si>
    <t>Prevent systems from entering unsecure states in the event of an operational failure of a boundary protection device.</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</si>
  <si>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</si>
  <si>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CP-2, CP-12, SC-24</t>
  </si>
  <si>
    <t>SC-7(19)</t>
  </si>
  <si>
    <t>Boundary Protection | Block Communication from Non-organizationally Configured Hosts</t>
  </si>
  <si>
    <t>Block inbound and outbound communications traffic between [Assignment: organization-defined communication clients] that are independently configured by end users and external service providers.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</si>
  <si>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</si>
  <si>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SC-7(20)</t>
  </si>
  <si>
    <t>Boundary Protection | Dynamic Isolation and Segregation</t>
  </si>
  <si>
    <t>Provide the capability to dynamically isolate [Assignment: organization-defined system components] from other system components.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</si>
  <si>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</si>
  <si>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SC-7(21)</t>
  </si>
  <si>
    <t>Boundary Protection | Isolation of System Components</t>
  </si>
  <si>
    <t>Employ boundary protection mechanisms to isolate [Assignment: organization-defined system components] supporting [Assignment: organization-defined missions and/or business functions].</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</si>
  <si>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</si>
  <si>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SC-7(22)</t>
  </si>
  <si>
    <t>Boundary Protection | Separate Subnets for Connecting to Different Security Domains</t>
  </si>
  <si>
    <t>Implement separate network addresses to connect to systems in different security domains.</t>
  </si>
  <si>
    <t>The decomposition of systems into subnetworks (i.e., subnets) helps to provide the appropriate level of protection for network connections to different security domains that contain information with different security categories or classification levels.</t>
  </si>
  <si>
    <t>SC-7(23)</t>
  </si>
  <si>
    <t>Boundary Protection | Disable Sender Feedback on Protocol Validation Failure</t>
  </si>
  <si>
    <t>Disable feedback to senders on protocol format validation failure.</t>
  </si>
  <si>
    <t>Disabling feedback to senders when there is a failure in protocol validation format prevents adversaries from obtaining information that would otherwise be unavailable.</t>
  </si>
  <si>
    <t>SC-7(24)</t>
  </si>
  <si>
    <t>Boundary Protection | Personally Identifiable Information</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</si>
  <si>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</si>
  <si>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</si>
  <si>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PT-2, SI-15</t>
  </si>
  <si>
    <t>SC-7(25)</t>
  </si>
  <si>
    <t>Boundary Protection | Unclassified National Security System Connections</t>
  </si>
  <si>
    <t>Prohibit the direct connection of [Assignment: organization-defined unclassified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</si>
  <si>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</si>
  <si>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SC-7(26)</t>
  </si>
  <si>
    <t>Boundary Protection | Classified National Security System Connections</t>
  </si>
  <si>
    <t>Prohibit the direct connection of a 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</si>
  <si>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</si>
  <si>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SC-7(27)</t>
  </si>
  <si>
    <t>Boundary Protection | Unclassified Non-national Security System Connections</t>
  </si>
  <si>
    <t>Prohibit the direct connection of [Assignment: organization-defined unclassified non-national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</si>
  <si>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</si>
  <si>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SC-7(28)</t>
  </si>
  <si>
    <t>Boundary Protection | Connections to Public Networks</t>
  </si>
  <si>
    <t>Prohibit the direct connection of [Assignment: organization-defined system] to a public network.</t>
  </si>
  <si>
    <t>A direct connection is a dedicated physical or virtual connection between two or more systems. A public network is a network accessible to the public, including the Internet and organizational extranets with public access.</t>
  </si>
  <si>
    <t>SC-7(29)</t>
  </si>
  <si>
    <t>Boundary Protection | Separate Subnets to Isolate Functions</t>
  </si>
  <si>
    <t>Implement [Selection: physically; logically] separate subnetworks to isolate the following critical system components and functions: [Assignment: organization-defined critical system components and functions].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</si>
  <si>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</si>
  <si>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SC-8</t>
  </si>
  <si>
    <t>Transmission Confidentiality and Integrity</t>
  </si>
  <si>
    <t>Protect the [Selection (one or more): confidentiality; integrity] of transmitted information.</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</si>
  <si>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</si>
  <si>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AC-17, AC-18, AU-10, IA-3, IA-8, IA-9, MA-4, PE-4, SA-4, SA-8, SC-7, SC-16, SC-20, SC-23, SC-28</t>
  </si>
  <si>
    <t>SC-8(1)</t>
  </si>
  <si>
    <t>Transmission Confidentiality and Integrity | Cryptographic Protection</t>
  </si>
  <si>
    <t>Implement cryptographic mechanisms to [Selection (one or more): prevent unauthorized disclosure of information; detect changes to information] during transmission.</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</si>
  <si>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</si>
  <si>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SC-8(2)</t>
  </si>
  <si>
    <t>Transmission Confidentiality and Integrity | Pre- and Post-transmission Handling</t>
  </si>
  <si>
    <t>Maintain the [Selection (one or more): confidentiality; integrity] of information during preparation for transmission and during reception.</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</si>
  <si>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</si>
  <si>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SC-8(3)</t>
  </si>
  <si>
    <t>Transmission Confidentiality and Integrity | Cryptographic Protection for Message Externals</t>
  </si>
  <si>
    <t>Implement cryptographic mechanisms to protect message externals unless otherwise protected by [Assignment: organization-defined alternative physical controls].</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</si>
  <si>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</si>
  <si>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SC-8(4)</t>
  </si>
  <si>
    <t>Transmission Confidentiality and Integrity | Conceal or Randomize Communications</t>
  </si>
  <si>
    <t>Implement cryptographic mechanisms to conceal or randomize communication patterns unless otherwise protected by [Assignment: organization-defined alternative physical controls].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</si>
  <si>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</si>
  <si>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SC-8(5)</t>
  </si>
  <si>
    <t>Transmission Confidentiality and Integrity | Protected Distribution System</t>
  </si>
  <si>
    <t>Implement [Assignment: organization-defined protected distribution system] to [Selection (one or more): prevent unauthorized disclosure of information; detect changes to information] during transmission.</t>
  </si>
  <si>
    <t>The purpose of a protected distribution system is to deter, detect, and/or make difficult physical access to the communication lines that carry national security information.</t>
  </si>
  <si>
    <t>SC-9</t>
  </si>
  <si>
    <t>Transmission Confidentiality</t>
  </si>
  <si>
    <t>SC-10</t>
  </si>
  <si>
    <t>Network Disconnect</t>
  </si>
  <si>
    <t>Terminate the network connection associated with a communications session at the end of the session or after [Assignment: organization-defined time period] of inactivity.</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</si>
  <si>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</si>
  <si>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AC-17, SC-23</t>
  </si>
  <si>
    <t>SC-11</t>
  </si>
  <si>
    <t>Trusted Path</t>
  </si>
  <si>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</si>
  <si>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</si>
  <si>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AC-16, AC-25, SC-12, SC-23</t>
  </si>
  <si>
    <t>SC-11(1)</t>
  </si>
  <si>
    <t>Trusted Path | Irrefutable Communications Path</t>
  </si>
  <si>
    <t>(a) Provide a trusted communications path that is irrefutably distinguishable from other communications paths; and
(b) Initiate the trusted communications path for communications between the [Assignment: organization-defined security functions] of the system and the user.</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</si>
  <si>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</si>
  <si>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Cryptographic Key Establishment and Management</t>
  </si>
  <si>
    <t>Establish and manage cryptographic keys when cryptography is employed within the system in accordance with the following key management requirements: [Assignment: organization-defined requirements for key generation, distribution, storage, access, and destruction].</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</si>
  <si>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</si>
  <si>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AC-17, AU-9, AU-10, CM-3, IA-3, IA-7, SA-4, SA-8, SA-9, SC-8, SC-11, SC-12, SC-13, SC-17, SC-20, SC-37, SC-40, SI-3, SI-7</t>
  </si>
  <si>
    <t>SC-12(1)</t>
  </si>
  <si>
    <t>Cryptographic Key Establishment and Management | Availability</t>
  </si>
  <si>
    <t>Maintain availability of information in the event of the loss of cryptographic keys by users.</t>
  </si>
  <si>
    <t>Escrowing of encryption keys is a common practice for ensuring availability in the event of key loss. A forgotten passphrase is an example of losing a cryptographic key.</t>
  </si>
  <si>
    <t>SC-12(2)</t>
  </si>
  <si>
    <t>Cryptographic Key Establishment and Management | Symmetric Keys</t>
  </si>
  <si>
    <t>Produce, control, and distribute symmetric cryptographic keys using [Selection: NIST FIPS-validated; NSA-approved] key management technology and processes.</t>
  </si>
  <si>
    <t>[SP 800-56A], [SP 800-56B], and [SP 800-56C] provide guidance on cryptographic key establishment schemes and key derivation methods. [SP 800-57-1], [SP 800-57-2], and [SP 800-57-3] provide guidance on cryptographic key management.</t>
  </si>
  <si>
    <t>SC-12(3)</t>
  </si>
  <si>
    <t>Cryptographic Key Establishment and Management | Asymmetric Keys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</si>
  <si>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</si>
  <si>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SC-12(4)</t>
  </si>
  <si>
    <t>Cryptographic Key Establishment and Management | PKI Certificates</t>
  </si>
  <si>
    <t>SC-12(5)</t>
  </si>
  <si>
    <t>Cryptographic Key Establishment and Management | PKI Certificates / Hardware Tokens</t>
  </si>
  <si>
    <t>SC-12(6)</t>
  </si>
  <si>
    <t>Cryptographic Key Establishment and Management | Physical Control of Keys</t>
  </si>
  <si>
    <t>Maintain physical control of cryptographic keys when stored information is encrypted by external service providers.</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</si>
  <si>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</si>
  <si>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SC-13</t>
  </si>
  <si>
    <t>Cryptographic Protection</t>
  </si>
  <si>
    <t>a. Determine the [Assignment: organization-defined cryptographic uses]; and
b. Implement the following types of cryptography required for each specified cryptographic use: [Assignment: organization-defined types of cryptography for each specified cryptographic use].</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</si>
  <si>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</si>
  <si>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AC-2, AC-3, AC-7, AC-17, AC-18, AC-19, AU-9, AU-10, CM-11, CP-9, IA-3, IA-5, IA-7, MA-4, MP-2, MP-4, MP-5, SA-4, SA-8, SA-9, SC-8, SC-12, SC-20, SC-23, SC-28, SC-40, SI-3, SI-7</t>
  </si>
  <si>
    <t>SC-13(1)</t>
  </si>
  <si>
    <t>Cryptographic Protection | Fips-validated Cryptography</t>
  </si>
  <si>
    <t>SC-13(2)</t>
  </si>
  <si>
    <t>Cryptographic Protection | Nsa-approved Cryptography</t>
  </si>
  <si>
    <t>SC-13(3)</t>
  </si>
  <si>
    <t>Cryptographic Protection | Individuals Without Formal Access Approvals</t>
  </si>
  <si>
    <t>SC-13(4)</t>
  </si>
  <si>
    <t>Cryptographic Protection | Digital Signatures</t>
  </si>
  <si>
    <t>SC-14</t>
  </si>
  <si>
    <t>Public Access Protections</t>
  </si>
  <si>
    <t>SC-15</t>
  </si>
  <si>
    <t>Collaborative Computing Devices and Applications</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</si>
  <si>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</si>
  <si>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</si>
  <si>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AC-21, SC-42</t>
  </si>
  <si>
    <t>SC-15(1)</t>
  </si>
  <si>
    <t>Collaborative Computing Devices and Applications | Physical or Logical Disconnect</t>
  </si>
  <si>
    <t>Provide [Selection (one or more): physical; logical] disconnect of collaborative computing devices in a manner that supports ease of use.</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</si>
  <si>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</si>
  <si>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SC-15(2)</t>
  </si>
  <si>
    <t>Collaborative Computing Devices and Applications | Blocking Inbound and Outbound Communications Traffic</t>
  </si>
  <si>
    <t>SC-15(3)</t>
  </si>
  <si>
    <t>Collaborative Computing Devices and Applications | Disabling and Removal in Secure Work Areas</t>
  </si>
  <si>
    <t>Disable or remove collaborative computing devices and applications from [Assignment: organization-defined systems or system components] in [Assignment: organization-defined secure work areas].</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</si>
  <si>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</si>
  <si>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SC-15(4)</t>
  </si>
  <si>
    <t>Collaborative Computing Devices and Applications | Explicitly Indicate Current Participants</t>
  </si>
  <si>
    <t>Provide an explicit indication of current participants in [Assignment: organization-defined online meetings and teleconferences].</t>
  </si>
  <si>
    <t>Explicitly indicating current participants prevents unauthorized individuals from participating in collaborative computing sessions without the explicit knowledge of other participants.</t>
  </si>
  <si>
    <t>SC-16</t>
  </si>
  <si>
    <t>Transmission of Security and Privacy Attributes</t>
  </si>
  <si>
    <t>Associate [Assignment: organization-defined security and privacy attributes] with information exchanged between systems and between system components.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</si>
  <si>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</si>
  <si>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SC-16(1)</t>
  </si>
  <si>
    <t>Transmission of Security and Privacy Attributes | Integrity Verification</t>
  </si>
  <si>
    <t>Verify the integrity of transmitted security and privacy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</si>
  <si>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</si>
  <si>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AU-10, SC-8</t>
  </si>
  <si>
    <t>SC-16(2)</t>
  </si>
  <si>
    <t>Transmission of Security and Privacy Attributes | Anti-spoofing Mechanisms</t>
  </si>
  <si>
    <t>Implement anti-spoofing mechanisms to prevent adversaries from falsifying the security attributes indicating the successful application of the security process.</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</si>
  <si>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</si>
  <si>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SI-3, SI-4, SI-7</t>
  </si>
  <si>
    <t>SC-16(3)</t>
  </si>
  <si>
    <t>Transmission of Security and Privacy Attributes | Cryptographic Binding</t>
  </si>
  <si>
    <t>Implement [Assignment: organization-defined mechanisms or techniques] to bind security and privacy attributes to transmitted information.</t>
  </si>
  <si>
    <t>Cryptographic mechanisms and techniques can provide strong security and privacy attribute binding to transmitted information to help ensure the integrity of such information.</t>
  </si>
  <si>
    <t>AC-16, SC-12, SC-13</t>
  </si>
  <si>
    <t>SC-17</t>
  </si>
  <si>
    <t>Public Key Infrastructure Certificates</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</si>
  <si>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</si>
  <si>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Public key infrastructure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</si>
  <si>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AU-10, IA-5, SC-12</t>
  </si>
  <si>
    <t>SC-18</t>
  </si>
  <si>
    <t>Mobile Code</t>
  </si>
  <si>
    <t>a. Define acceptable and unacceptable mobile code and mobile code technologies; and
b. Authorize, monitor, and control the use of mobile code within the system.</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</si>
  <si>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</si>
  <si>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AU-2, AU-12, CM-2, CM-6, SI-3</t>
  </si>
  <si>
    <t>SC-18(1)</t>
  </si>
  <si>
    <t>Mobile Code | Identify Unacceptable Code and Take Corrective Actions</t>
  </si>
  <si>
    <t>Identify [Assignment: organization-defined unacceptable mobile code] and take [Assignment: organization-defined corrective actions].</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</si>
  <si>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</si>
  <si>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SC-18(2)</t>
  </si>
  <si>
    <t>Mobile Code | Acquisition, Development, and Use</t>
  </si>
  <si>
    <t>Verify that the acquisition, development, and use of mobile code to be deployed in the system meets [Assignment: organization-defined mobile code requirements].</t>
  </si>
  <si>
    <t>SC-18(3)</t>
  </si>
  <si>
    <t>Mobile Code | Prevent Downloading and Execution</t>
  </si>
  <si>
    <t>Prevent the download and execution of [Assignment: organization-defined unacceptable mobile code].</t>
  </si>
  <si>
    <t>SC-18(4)</t>
  </si>
  <si>
    <t>Mobile Code | Prevent Automatic Execution</t>
  </si>
  <si>
    <t>Prevent the automatic execution of mobile code in [Assignment: organization-defined software applications] and enforce [Assignment: organization-defined actions] prior to executing the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</si>
  <si>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</si>
  <si>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SC-18(5)</t>
  </si>
  <si>
    <t>Mobile Code | Allow Execution Only in Confined Environments</t>
  </si>
  <si>
    <t>Allow execution of permitted mobile code only in confined virtual machine environments.</t>
  </si>
  <si>
    <t>Permitting the execution of mobile code only in confined virtual machine environments helps prevent the introduction of malicious code into other systems and system components.</t>
  </si>
  <si>
    <t>SC-44, SI-7</t>
  </si>
  <si>
    <t>SC-19</t>
  </si>
  <si>
    <t>Voice Over Internet Protocol</t>
  </si>
  <si>
    <t>Technology-specific; addressed as any other technology or protocol.</t>
  </si>
  <si>
    <t>SC-20</t>
  </si>
  <si>
    <t>Secure Name/address Resolution Service (authoritative Source)</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</si>
  <si>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</si>
  <si>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</si>
  <si>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AU-10, SC-8, SC-12, SC-13, SC-21, SC-22</t>
  </si>
  <si>
    <t>SC-20(1)</t>
  </si>
  <si>
    <t>Secure Name/address Resolution Service (authoritative Source) | Child Subspaces</t>
  </si>
  <si>
    <t>SC-20(2)</t>
  </si>
  <si>
    <t>Secure Name/address Resolution Service (authoritative Source) | Data Origin and Integrity</t>
  </si>
  <si>
    <t>Provide data origin and integrity protection artifacts for internal name/address resolution queries.</t>
  </si>
  <si>
    <t>SC-21</t>
  </si>
  <si>
    <t>Secure Name/address Resolution Service (recursive or Caching Resolver)</t>
  </si>
  <si>
    <t>Request and perform data origin authentication and data integrity verification on the name/address resolution responses the system receives from authoritative sources.</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</si>
  <si>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</si>
  <si>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SC-20, SC-22</t>
  </si>
  <si>
    <t>SC-21(1)</t>
  </si>
  <si>
    <t>Secure Name/address Resolution Service (recursive or Caching Resolver) | Data Origin and Integrity</t>
  </si>
  <si>
    <t>SC-22</t>
  </si>
  <si>
    <t>Architecture and Provisioning for Name/address Resolution Service</t>
  </si>
  <si>
    <t>Ensure the systems that collectively provide name/address resolution service for an organization are fault-tolerant and implement internal and external role separation.</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</si>
  <si>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</si>
  <si>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SC-2, SC-20, SC-21, SC-24</t>
  </si>
  <si>
    <t>Session Authenticity</t>
  </si>
  <si>
    <t>Protect the authenticity of communications sessions.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</si>
  <si>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</si>
  <si>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AU-10, SC-8, SC-10, SC-11</t>
  </si>
  <si>
    <t>SC-23(1)</t>
  </si>
  <si>
    <t>Session Authenticity | Invalidate Session Identifiers at Logout</t>
  </si>
  <si>
    <t>Invalidate session identifiers upon user logout or other session termination.</t>
  </si>
  <si>
    <t>Invalidating session identifiers at logout curtails the ability of adversaries to capture and continue to employ previously valid session IDs.</t>
  </si>
  <si>
    <t>SC-23(2)</t>
  </si>
  <si>
    <t>Session Authenticity | User-initiated Logouts and Message Displays</t>
  </si>
  <si>
    <t>SC-23(3)</t>
  </si>
  <si>
    <t>Session Authenticity | Unique System-generated Session Identifiers</t>
  </si>
  <si>
    <t>Generate a unique session identifier for each session with [Assignment: organization-defined randomness requirements] and recognize only session identifiers that are system-generated.</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</si>
  <si>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</si>
  <si>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AC-10, SC-12, SC-13</t>
  </si>
  <si>
    <t>SC-23(4)</t>
  </si>
  <si>
    <t>Session Authenticity | Unique Session Identifiers with Randomization</t>
  </si>
  <si>
    <t>SC-23(5)</t>
  </si>
  <si>
    <t>Session Authenticity | Allowed Certificate Authorities</t>
  </si>
  <si>
    <t>Only allow the use of [Assignment: organization-defined certificate authorities] for verification of the establishment of protected sessions.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</si>
  <si>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</si>
  <si>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SC-24</t>
  </si>
  <si>
    <t>Fail in Known State</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</si>
  <si>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</si>
  <si>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</si>
  <si>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CP-2, CP-4, CP-10, CP-12, SA-8, SC-7, SC-22, SI-13</t>
  </si>
  <si>
    <t>SC-25</t>
  </si>
  <si>
    <t>Thin Nodes</t>
  </si>
  <si>
    <t>Employ minimal functionality and information storage on the following system components: [Assignment: organization-defined system components].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</si>
  <si>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</si>
  <si>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SC-30, SC-44</t>
  </si>
  <si>
    <t>SC-26</t>
  </si>
  <si>
    <t>Decoys</t>
  </si>
  <si>
    <t>Include components within organizational systems specifically designed to be the target of malicious attacks for detecting, deflecting, and analyzing such attacks.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</si>
  <si>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</si>
  <si>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RA-5, SC-7, SC-30, SC-35, SC-44, SI-3, SI-4</t>
  </si>
  <si>
    <t>SC-26(1)</t>
  </si>
  <si>
    <t>Decoys | Detection of Malicious Code</t>
  </si>
  <si>
    <t>SC-27</t>
  </si>
  <si>
    <t>Platform-independent Applications</t>
  </si>
  <si>
    <t>Include within organizational systems the following platform independent applications: [Assignment: organization-defined platform-independent applications].</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</si>
  <si>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</si>
  <si>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SC-29</t>
  </si>
  <si>
    <t>SC-28</t>
  </si>
  <si>
    <t>Protection of Information at Rest</t>
  </si>
  <si>
    <t>Protect the [Selection (one or more): confidentiality; integrity] of the following information at rest: [Assignment: organization-defined information at rest].</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</si>
  <si>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</si>
  <si>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AC-3, AC-4, AC-6, AC-19, CA-7, CM-3, CM-5, CM-6, CP-9, MP-4, MP-5, PE-3, SC-8, SC-12, SC-13, SC-34, SI-3, SI-7, SI-16</t>
  </si>
  <si>
    <t>SC-28(1)</t>
  </si>
  <si>
    <t>Protection of Information at Rest | Cryptographic Protection</t>
  </si>
  <si>
    <t>Implement cryptographic mechanisms to prevent unauthorized disclosure and modification of the following information at rest on [Assignment: organization-defined system components or media]: [Assignment: organization-defined information].</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</si>
  <si>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</si>
  <si>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AC-19, SC-12, SC-13</t>
  </si>
  <si>
    <t>SC-28(2)</t>
  </si>
  <si>
    <t>Protection of Information at Rest | Offline Storage</t>
  </si>
  <si>
    <t>Remove the following information from online storage and store offline in a secure location: [Assignment: organization-defined information].</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</si>
  <si>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</si>
  <si>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SC-28(3)</t>
  </si>
  <si>
    <t>Protection of Information at Rest | Cryptographic Keys</t>
  </si>
  <si>
    <t>Provide protected storage for cryptographic keys [Selection: 
                     [Assignment: organization-defined safeguards]
                  ; hardware-protected key store].</t>
  </si>
  <si>
    <t>A Trusted Platform Module (TPM) is an example of a hardware-protected data store that can be used to protect cryptographic keys.</t>
  </si>
  <si>
    <t>Heterogeneity</t>
  </si>
  <si>
    <t>Employ a diverse set of information technologies for the following system components in the implementation of the system: [Assignment: organization-defined system components].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</si>
  <si>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</si>
  <si>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AU-9, PL-8, SC-27, SC-30, SR-3</t>
  </si>
  <si>
    <t>SC-29(1)</t>
  </si>
  <si>
    <t>Heterogeneity | Virtualization Techniques</t>
  </si>
  <si>
    <t>Employ virtualization techniques to support the deployment of a diversity of operating systems and applications that are changed [Assignment: organization-defined frequency].</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</si>
  <si>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</si>
  <si>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SC-30</t>
  </si>
  <si>
    <t>Concealment and Misdirection</t>
  </si>
  <si>
    <t>Employ the following concealment and misdirection techniques for [Assignment: organization-defined systems] at [Assignment: organization-defined time periods] to confuse and mislead adversaries: [Assignment: organization-defined concealment and misdirection techniques].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</si>
  <si>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</si>
  <si>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AC-6, SC-25, SC-26, SC-29, SC-44, SI-14</t>
  </si>
  <si>
    <t>SC-30(1)</t>
  </si>
  <si>
    <t>Concealment and Misdirection | Virtualization Techniques</t>
  </si>
  <si>
    <t>SC-30(2)</t>
  </si>
  <si>
    <t>Concealment and Misdirection | Randomness</t>
  </si>
  <si>
    <t>Employ [Assignment: organization-defined techniques] to introduce randomness into organizational operations and assets.</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</si>
  <si>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</si>
  <si>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SC-30(3)</t>
  </si>
  <si>
    <t>Concealment and Misdirection | Change Processing and Storage Locations</t>
  </si>
  <si>
    <t>Change the location of [Assignment: organization-defined processing and/or storage]
                  [Selection: 
                     [Assignment: organization-defined time frequency]
                  ; at random time intervals]].</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</si>
  <si>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</si>
  <si>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SC-30(4)</t>
  </si>
  <si>
    <t>Concealment and Misdirection | Misleading Information</t>
  </si>
  <si>
    <t>Employ realistic, but misleading information in [Assignment: organization-defined system components] about its security state or posture.</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</si>
  <si>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</si>
  <si>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SC-30(5)</t>
  </si>
  <si>
    <t>Concealment and Misdirection | Concealment of System Components</t>
  </si>
  <si>
    <t>Employ the following techniques to hide or conceal [Assignment: organization-defined system components]: [Assignment: organization-defined techniques].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</si>
  <si>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</si>
  <si>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Covert Channel Analysis</t>
  </si>
  <si>
    <t>a. Perform a covert channel analysis to identify those aspects of communications within the system that are potential avenues for covert [Selection (one or more): storage; timing] channels; and
b. Estimate the maximum bandwidth of those channels.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</si>
  <si>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</si>
  <si>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AC-3, AC-4, SA-8, SI-11</t>
  </si>
  <si>
    <t>SC-31(1)</t>
  </si>
  <si>
    <t>Covert Channel Analysis | Test Covert Channels for Exploitability</t>
  </si>
  <si>
    <t>Test a subset of the identified covert channels to determine the channels that are exploitable.</t>
  </si>
  <si>
    <t>SC-31(2)</t>
  </si>
  <si>
    <t>Covert Channel Analysis | Maximum Bandwidth</t>
  </si>
  <si>
    <t>Reduce the maximum bandwidth for identified covert [Selection (one or more): storage; timing] channels to [Assignment: organization-defined values].</t>
  </si>
  <si>
    <t>The complete elimination of covert channels, especially covert timing channels, is usually not possible without significant performance impacts.</t>
  </si>
  <si>
    <t>SC-31(3)</t>
  </si>
  <si>
    <t>Covert Channel Analysis | Measure Bandwidth in Operational Environments</t>
  </si>
  <si>
    <t>Measure the bandwidth of [Assignment: organization-defined subset of identified covert channels] in the operational environment of the system.</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</si>
  <si>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</si>
  <si>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System Partitioning</t>
  </si>
  <si>
    <t>Partition the system into [Assignment: organization-defined system components] residing in separate [Selection: physical; logical] domains or environments based on [Assignment: organization-defined circumstances for physical or logical separation of components].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</si>
  <si>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</si>
  <si>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AC-4, AC-6, SA-8, SC-2, SC-3, SC-7, SC-36</t>
  </si>
  <si>
    <t>SC-32(1)</t>
  </si>
  <si>
    <t>System Partitioning | Separate Physical Domains for Privileged Functions</t>
  </si>
  <si>
    <t>Partition privileged functions into separate physical domains.</t>
  </si>
  <si>
    <t>Privileged functions that operate in a single physical domain may represent a single point of failure if that domain becomes compromised or experiences a denial of service.</t>
  </si>
  <si>
    <t>SC-33</t>
  </si>
  <si>
    <t>Transmission Preparation Integrity</t>
  </si>
  <si>
    <t>SC-34</t>
  </si>
  <si>
    <t>Non-modifiable Executable Programs</t>
  </si>
  <si>
    <t>For [Assignment: organization-defined system components], load and execute:
a. The operating environment from hardware-enforced, read-only media; and
b. The following applications from hardware-enforced, read-only media: [Assignment: organization-defined applications].</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</si>
  <si>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</si>
  <si>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AC-3, SI-7, SI-14</t>
  </si>
  <si>
    <t>SC-34(1)</t>
  </si>
  <si>
    <t>Non-modifiable Executable Programs | No Writable Storage</t>
  </si>
  <si>
    <t>Employ [Assignment: organization-defined system components] with no writeable storage that is persistent across component restart or power on/off.</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</si>
  <si>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</si>
  <si>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AC-19, MP-7</t>
  </si>
  <si>
    <t>SC-34(2)</t>
  </si>
  <si>
    <t>Non-modifiable Executable Programs | Integrity Protection on Read-only Media</t>
  </si>
  <si>
    <t>Protect the integrity of information prior to storage on read-only media and control the media after such information has been recorded onto the media.</t>
  </si>
  <si>
    <t>Controls prevent the substitution of media into systems or the reprogramming of programmable read-only media prior to installation into the systems. Integrity protection controls include a combination of prevention, detection, and response.</t>
  </si>
  <si>
    <t>CM-3, CM-5, CM-9, MP-2, MP-4, MP-5, SC-28, SI-3</t>
  </si>
  <si>
    <t>SC-34(3)</t>
  </si>
  <si>
    <t>Non-modifiable Executable Programs | Hardware-based Protection</t>
  </si>
  <si>
    <t>SC-35</t>
  </si>
  <si>
    <t>External Malicious Code Identification</t>
  </si>
  <si>
    <t>Include system components that proactively seek to identify network-based malicious code or malicious websites.</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</si>
  <si>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</si>
  <si>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SC-7, SC-26, SC-44, SI-3, SI-4</t>
  </si>
  <si>
    <t>SC-36</t>
  </si>
  <si>
    <t>Distributed Processing and Storage</t>
  </si>
  <si>
    <t>Distribute the following processing and storage components across multiple [Selection: physical locations; logical domains]: [Assignment: organization-defined processing and storage components].</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</si>
  <si>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</si>
  <si>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CP-6, CP-7, PL-8, SC-32</t>
  </si>
  <si>
    <t>SC-36(1)</t>
  </si>
  <si>
    <t>Distributed Processing and Storage | Polling Techniques</t>
  </si>
  <si>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</si>
  <si>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</si>
  <si>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SC-36(2)</t>
  </si>
  <si>
    <t>Distributed Processing and Storage | Synchronization</t>
  </si>
  <si>
    <t>Synchronize the following duplicate systems or system components: [Assignment: organization-defined duplicate systems or system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</si>
  <si>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</si>
  <si>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SC-37</t>
  </si>
  <si>
    <t>Out-of-band Channels</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</si>
  <si>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</si>
  <si>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</si>
  <si>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AC-2, CM-3, CM-5, CM-7, IA-2, IA-4, IA-5, MA-4, SC-12, SI-3, SI-4, SI-7</t>
  </si>
  <si>
    <t>SC-37(1)</t>
  </si>
  <si>
    <t>Out-of-band Channels | Ensure Delivery and Transmission</t>
  </si>
  <si>
    <t>Employ [Assignment: organization-defined controls] to ensure that only [Assignment: organization-defined individuals or systems] receive the following information, system components, or devices: [Assignment: organization-defined information, system components, or devices].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</si>
  <si>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</si>
  <si>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SC-38</t>
  </si>
  <si>
    <t>Operations Security</t>
  </si>
  <si>
    <t>Employ the following operations security controls to protect key organizational information throughout the system development life cycle: [Assignment: organization-defined operations security controls].</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</si>
  <si>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</si>
  <si>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CA-2, CA-7, PL-1, PM-9, PM-12, RA-2, RA-3, RA-5, SC-7, SR-3, SR-7</t>
  </si>
  <si>
    <t>Process Isolation</t>
  </si>
  <si>
    <t>Maintain a separate execution domain for each executing system process.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</si>
  <si>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</si>
  <si>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AC-3, AC-4, AC-6, AC-25, SA-8, SC-2, SC-3, SI-16</t>
  </si>
  <si>
    <t>SC-39(1)</t>
  </si>
  <si>
    <t>Process Isolation | Hardware Separation</t>
  </si>
  <si>
    <t>Implement hardware separation mechanisms to facilitate process isolation.</t>
  </si>
  <si>
    <t>Hardware-based separation of system processes is generally less susceptible to compromise than software-based separation, thus providing greater assurance that the separation will be enforced. Hardware separation mechanisms include hardware memory management.</t>
  </si>
  <si>
    <t>SC-39(2)</t>
  </si>
  <si>
    <t>Process Isolation | Separate Execution Domain Per Thread</t>
  </si>
  <si>
    <t>Maintain a separate execution domain for each thread in [Assignment: organization-defined multi-threaded processing].</t>
  </si>
  <si>
    <t>SC-40</t>
  </si>
  <si>
    <t>Wireless Link Protection</t>
  </si>
  <si>
    <t>Protect external and internal [Assignment: organization-defined wireless links] from the following signal parameter attacks: [Assignment: organization-defined types of signal parameter attacks or references to sources for such attacks].</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</si>
  <si>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</si>
  <si>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AC-18, SC-5</t>
  </si>
  <si>
    <t>SC-40(1)</t>
  </si>
  <si>
    <t>Wireless Link Protection | Electromagnetic Interference</t>
  </si>
  <si>
    <t>Implement cryptographic mechanisms that achieve [Assignment: organization-defined level of protection] against the effects of intentional electromagnetic interference.</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</si>
  <si>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</si>
  <si>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PE-21, SC-12, SC-13</t>
  </si>
  <si>
    <t>SC-40(2)</t>
  </si>
  <si>
    <t>Wireless Link Protection | Reduce Detection Potential</t>
  </si>
  <si>
    <t>Implement cryptographic mechanisms to reduce the detection potential of wireless links to [Assignment: organization-defined level of reduction].</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</si>
  <si>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</si>
  <si>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SC-40(3)</t>
  </si>
  <si>
    <t>Wireless Link Protection | Imitative or Manipulative Communications Deception</t>
  </si>
  <si>
    <t>Implement cryptographic mechanisms to identify and reject wireless transmissions that are deliberate attempts to achieve imitative or manipulative communications deception based on signal parameters.</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</si>
  <si>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</si>
  <si>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SC-40(4)</t>
  </si>
  <si>
    <t>Wireless Link Protection | Signal Parameter Identification</t>
  </si>
  <si>
    <t>Implement cryptographic mechanisms to prevent the identification of [Assignment: organization-defined wireless transmitters] by using the transmitter signal parameters.</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</si>
  <si>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</si>
  <si>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SC-41</t>
  </si>
  <si>
    <t>Port and I/O Device Access</t>
  </si>
  <si>
    <t>[Selection: Physically; Logically] disable or remove [Assignment: organization-defined connection ports or input/output devices] on the following systems or system components: [Assignment: organization-defined systems or system components].</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</si>
  <si>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</si>
  <si>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AC-20, MP-7</t>
  </si>
  <si>
    <t>SC-42</t>
  </si>
  <si>
    <t>Sensor Capability and Data</t>
  </si>
  <si>
    <t>a. Prohibit [Selection (one or more): the use of devices possessing [Assignment: organization-defined environmental sensing capabilities] in [Assignment: organization-defined facilities, areas, or systems]
               ; the remote activation of environmental sensing capabilities on organizational systems or system components with the following exceptions; 
                  [Assignment: organization-defined exceptions where remote activation of sensors is allowed]
               ]; and
b. Provide an explicit indication of sensor use to [Assignment: organization-defined class of users].</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</si>
  <si>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</si>
  <si>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SC-42(1)</t>
  </si>
  <si>
    <t>Sensor Capability and Data | Reporting to Authorized Individuals or Roles</t>
  </si>
  <si>
    <t>Verify that the system is configured so that data or information collected by the [Assignment: organization-defined sensors] is only reported to authorized individuals or roles.</t>
  </si>
  <si>
    <t>In situations where sensors are activated by authorized individuals, it is still possible that the data or information collected by the sensors will be sent to unauthorized entities.</t>
  </si>
  <si>
    <t>SC-42(2)</t>
  </si>
  <si>
    <t>Sensor Capability and Data | Authorized Use</t>
  </si>
  <si>
    <t>Employ the following measures so that data or information collected by [Assignment: organization-defined sensors] is only used for authorized purposes: [Assignment: organization-defined measures].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</si>
  <si>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</si>
  <si>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SC-42(3)</t>
  </si>
  <si>
    <t>Sensor Capability and Data | Prohibit Use of Devices</t>
  </si>
  <si>
    <t>SC-42(4)</t>
  </si>
  <si>
    <t>Sensor Capability and Data | Notice of Collection</t>
  </si>
  <si>
    <t>Employ the following measures to facilitate an individual’s awareness that personally identifiable information is being collected by [Assignment: organization-defined sensors]: [Assignment: organization-defined measures].</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</si>
  <si>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</si>
  <si>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PT-1, PT-4, PT-5</t>
  </si>
  <si>
    <t>SC-42(5)</t>
  </si>
  <si>
    <t>Sensor Capability and Data | Collection Minimization</t>
  </si>
  <si>
    <t>Employ [Assignment: organization-defined sensors] that are configured to minimize the collection of information about individuals that is not needed.</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</si>
  <si>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</si>
  <si>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SA-8, SI-12</t>
  </si>
  <si>
    <t>SC-43</t>
  </si>
  <si>
    <t>Usage Restrictions</t>
  </si>
  <si>
    <t>a. Establish usage restrictions and implementation guidelines for the following system components: [Assignment: organization-defined system components]; and
b. Authorize, monitor, and control the use of such components within the system.</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</si>
  <si>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</si>
  <si>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AC-18, AC-19, CM-6, SC-7, SC-18</t>
  </si>
  <si>
    <t>SC-44</t>
  </si>
  <si>
    <t>Detonation Chambers</t>
  </si>
  <si>
    <t>Employ a detonation chamber capability within [Assignment: organization-defined system, system component, or location].</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</si>
  <si>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</si>
  <si>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SC-7, SC-18, SC-25, SC-26, SC-30, SC-35, SC-39, SI-3, SI-7</t>
  </si>
  <si>
    <t>SC-45</t>
  </si>
  <si>
    <t>System Time Synchronization</t>
  </si>
  <si>
    <t>Synchronize system clocks within and between systems and system components.</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</si>
  <si>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</si>
  <si>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AC-3, AU-8, IA-2, IA-8</t>
  </si>
  <si>
    <t>SC-45(1)</t>
  </si>
  <si>
    <t>System Time Synchronization | Synchronization with Authoritative Time Source</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</si>
  <si>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</si>
  <si>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Synchronization of internal system clocks with an authoritative source provides uniformity of time stamps for systems with multiple system clocks and systems connected over a network.</t>
  </si>
  <si>
    <t>SC-45(2)</t>
  </si>
  <si>
    <t>System Time Synchronization | Secondary Authoritative Time Source</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</si>
  <si>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</si>
  <si>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It may be necessary to employ geolocation information to determine that the secondary authoritative time source is in a different geographic region.</t>
  </si>
  <si>
    <t>SC-46</t>
  </si>
  <si>
    <t>Cross Domain Policy Enforcement</t>
  </si>
  <si>
    <t>Implement a policy enforcement mechanism [Selection: physically; logically] between the physical and/or network interfaces for the connecting security domains.</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</si>
  <si>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</si>
  <si>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SC-47</t>
  </si>
  <si>
    <t>Alternate Communications Paths</t>
  </si>
  <si>
    <t>Establish [Assignment: organization-defined alternate communications paths] for system operations organizational command and control.</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</si>
  <si>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</si>
  <si>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CP-2, CP-8</t>
  </si>
  <si>
    <t>SC-48</t>
  </si>
  <si>
    <t>Sensor Relocation</t>
  </si>
  <si>
    <t>Relocate [Assignment: organization-defined sensors and monitoring capabilities] to [Assignment: organization-defined locations] under the following conditions or circumstances: [Assignment: organization-defined conditions or circumstances].</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</si>
  <si>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</si>
  <si>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AU-2, SC-7, SI-4</t>
  </si>
  <si>
    <t>SC-48(1)</t>
  </si>
  <si>
    <t>Sensor Relocation | Dynamic Relocation of Sensors or Monitoring Capabilities</t>
  </si>
  <si>
    <t>Dynamically relocate [Assignment: organization-defined sensors and monitoring capabilities] to [Assignment: organization-defined locations] under the following conditions or circumstances: [Assignment: organization-defined conditions or circumstances].</t>
  </si>
  <si>
    <t>SC-49</t>
  </si>
  <si>
    <t>Hardware-enforced Separation and Policy Enforcement</t>
  </si>
  <si>
    <t>Implement hardware-enforced separation and policy enforcement mechanisms between [Assignment: organization-defined security domains].</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</si>
  <si>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</si>
  <si>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AC-4, SA-8, SC-50</t>
  </si>
  <si>
    <t>SC-50</t>
  </si>
  <si>
    <t>Software-enforced Separation and Policy Enforcement</t>
  </si>
  <si>
    <t>Implement software-enforced separation and policy enforcement mechanisms between [Assignment: organization-defined security domains].</t>
  </si>
  <si>
    <t>System owners may require additional strength of mechanism to ensure domain separation and policy enforcement for specific types of threats and environments of operation.</t>
  </si>
  <si>
    <t>AC-3, AC-4, SA-8, SC-2, SC-3, SC-49</t>
  </si>
  <si>
    <t>SC-51</t>
  </si>
  <si>
    <t>Hardware-based Protection</t>
  </si>
  <si>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</si>
  <si>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SI-1</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</si>
  <si>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</si>
  <si>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</si>
  <si>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SI-2</t>
  </si>
  <si>
    <t>Flaw Remediation</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</si>
  <si>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</si>
  <si>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</si>
  <si>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CA-5, CM-3, CM-4, CM-5, CM-6, CM-8, MA-2, RA-5, SA-8, SA-10, SA-11, SI-3, SI-5, SI-7, SI-11</t>
  </si>
  <si>
    <t>SI-2(1)</t>
  </si>
  <si>
    <t>Flaw Remediation | Central Management</t>
  </si>
  <si>
    <t>SI-2(2)</t>
  </si>
  <si>
    <t>Flaw Remediation | Automated Flaw Remediation Status</t>
  </si>
  <si>
    <t>Determine if system components have applicable security-relevant software and firmware updates installed using [Assignment: organization-defined automated mechanisms]
                  [Assignment: organization-defined frequency].</t>
  </si>
  <si>
    <t>Automated mechanisms can track and determine the status of known flaws for system components.</t>
  </si>
  <si>
    <t>SI-2(3)</t>
  </si>
  <si>
    <t>Flaw Remediation | Time to Remediate Flaws and Benchmarks for Corrective Actions</t>
  </si>
  <si>
    <t>(a) Measure the time between flaw identification and flaw remediation; and
(b) Establish the following benchmarks for taking corrective actions: [Assignment: organization-defined benchmarks].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</si>
  <si>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</si>
  <si>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SI-2(4)</t>
  </si>
  <si>
    <t>Flaw Remediation | Automated Patch Management Tools</t>
  </si>
  <si>
    <t>Employ automated patch management tools to facilitate flaw remediation to the following system components: [Assignment: organization-defined system components].</t>
  </si>
  <si>
    <t>Using automated tools to support patch management helps to ensure the timeliness and completeness of system patching operations.</t>
  </si>
  <si>
    <t>SI-2(5)</t>
  </si>
  <si>
    <t>Flaw Remediation | Automatic Software and Firmware Updates</t>
  </si>
  <si>
    <t>Install [Assignment: organization-defined security-relevant software and firmware updates] automatically to [Assignment: organization-defined system components].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</si>
  <si>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</si>
  <si>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SI-2(6)</t>
  </si>
  <si>
    <t>Flaw Remediation | Removal of Previous Versions of Software and Firmware</t>
  </si>
  <si>
    <t>Remove previous versions of [Assignment: organization-defined software and firmware components] after updated versions have been installed.</t>
  </si>
  <si>
    <t>Previous versions of software or firmware components that are not removed from the system after updates have been installed may be exploited by adversaries. Some products may automatically remove previous versions of software and firmware from the system.</t>
  </si>
  <si>
    <t>Malicious Code Protection</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</si>
  <si>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 and send alert to [Assignment: organization-defined personnel or roles] in response to malicious code detection; and
d. Address the receipt of false positives during malicious code detection and eradication and the resulting potential impact on the availability of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</si>
  <si>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</si>
  <si>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AC-4, AC-19, CM-3, CM-8, IR-4, MA-3, MA-4, PL-9, RA-5, SC-7, SC-23, SC-26, SC-28, SC-44, SI-2, SI-4, SI-7, SI-8, SI-15</t>
  </si>
  <si>
    <t>SI-3(1)</t>
  </si>
  <si>
    <t>Malicious Code Protection | Central Management</t>
  </si>
  <si>
    <t>SI-3(2)</t>
  </si>
  <si>
    <t>Malicious Code Protection | Automatic Updates</t>
  </si>
  <si>
    <t>SI-3(3)</t>
  </si>
  <si>
    <t>Malicious Code Protection | Non-privileged Users</t>
  </si>
  <si>
    <t>SI-3(4)</t>
  </si>
  <si>
    <t>Malicious Code Protection | Updates Only by Privileged Users</t>
  </si>
  <si>
    <t>Update malicious code protection mechanisms only when directed by a privileged user.</t>
  </si>
  <si>
    <t>Protection mechanisms for malicious code are typically categorized as security-related software and, as such, are only updated by organizational personnel with appropriate access privileges.</t>
  </si>
  <si>
    <t>SI-3(5)</t>
  </si>
  <si>
    <t>Malicious Code Protection | Portable Storage Devices</t>
  </si>
  <si>
    <t>SI-3(6)</t>
  </si>
  <si>
    <t>Malicious Code Protection | Testing and Verification</t>
  </si>
  <si>
    <t>(a) Test malicious code protection mechanisms [Assignment: organization-defined frequency] by introducing known benign code into the system; and
(b) Verify that the detection of the code and the associated incident reporting occur.</t>
  </si>
  <si>
    <t>CA-2, CA-7, RA-5</t>
  </si>
  <si>
    <t>SI-3(7)</t>
  </si>
  <si>
    <t>Malicious Code Protection | Nonsignature-based Detection</t>
  </si>
  <si>
    <t>SI-3(8)</t>
  </si>
  <si>
    <t>Malicious Code Protection | Detect Unauthorized Commands</t>
  </si>
  <si>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</si>
  <si>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</si>
  <si>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AU-2, AU-6, AU-12</t>
  </si>
  <si>
    <t>SI-3(9)</t>
  </si>
  <si>
    <t>Malicious Code Protection | Authenticate Remote Commands</t>
  </si>
  <si>
    <t>SI-3(10)</t>
  </si>
  <si>
    <t>Malicious Code Protection | Malicious Code Analysis</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</si>
  <si>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</si>
  <si>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</si>
  <si>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System Monitoring</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</si>
  <si>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</si>
  <si>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</si>
  <si>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AC-2, AC-3, AC-4, AC-8, AC-17, AU-2, AU-6, AU-7, AU-9, AU-12, AU-13, AU-14, CA-7, CM-3, CM-6, CM-8, CM-11, IA-10, IR-4, MA-3, MA-4, PL-9, PM-12, RA-5, RA-10, SC-5, SC-7, SC-18, SC-26, SC-31, SC-35, SC-36, SC-37, SC-43, SI-3, SI-6, SI-7, SR-9, SR-10</t>
  </si>
  <si>
    <t>SI-4(1)</t>
  </si>
  <si>
    <t>System Monitoring | System-wide Intrusion Detection System</t>
  </si>
  <si>
    <t>Connect and configure individual intrusion detection tools into a system-wide intrusion detection system.</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</si>
  <si>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</si>
  <si>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SI-4(2)</t>
  </si>
  <si>
    <t>System Monitoring | Automated Tools and Mechanisms for Real-time Analysis</t>
  </si>
  <si>
    <t>Employ automated tools and mechanisms to support near real-time analysis of events.</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</si>
  <si>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</si>
  <si>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PM-23, PM-25</t>
  </si>
  <si>
    <t>SI-4(3)</t>
  </si>
  <si>
    <t>System Monitoring | Automated Tool and Mechanism Integration</t>
  </si>
  <si>
    <t>Employ automated tools and mechanisms to integrate intrusion detection tools and mechanisms into access control and flow control mechanisms.</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</si>
  <si>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</si>
  <si>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SI-4(4)</t>
  </si>
  <si>
    <t>System Monitoring | Inbound and Outbound Communications Traffic</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</si>
  <si>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</si>
  <si>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</si>
  <si>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SI-4(5)</t>
  </si>
  <si>
    <t>System Monitoring | System-generated Alerts</t>
  </si>
  <si>
    <t>Alert [Assignment: organization-defined personnel or roles] when the following system-generated indications of compromise or potential compromise occur: [Assignment: organization-defined compromise indicators].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</si>
  <si>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</si>
  <si>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AU-4, AU-5, PE-6</t>
  </si>
  <si>
    <t>SI-4(6)</t>
  </si>
  <si>
    <t>System Monitoring | Restrict Non-privileged Users</t>
  </si>
  <si>
    <t>SI-4(7)</t>
  </si>
  <si>
    <t>System Monitoring | Automated Response to Suspicious Events</t>
  </si>
  <si>
    <t>(a) Notify [Assignment: organization-defined incident response personnel (identified by name and/or by role)] of detected suspicious events; and
(b) Take the following actions upon detection: [Assignment: organization-defined least-disruptive actions to terminate suspicious events].</t>
  </si>
  <si>
    <t>Least-disruptive actions include initiating requests for human responses.</t>
  </si>
  <si>
    <t>SI-4(8)</t>
  </si>
  <si>
    <t>System Monitoring | Protection of Monitoring Information</t>
  </si>
  <si>
    <t>SI-4(9)</t>
  </si>
  <si>
    <t>System Monitoring | Testing of Monitoring Tools and Mechanisms</t>
  </si>
  <si>
    <t>Test intrusion-monitoring tools and mechanisms [Assignment: organization-defined frequency].</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</si>
  <si>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</si>
  <si>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SI-4(10)</t>
  </si>
  <si>
    <t>System Monitoring | Visibility of Encrypted Communications</t>
  </si>
  <si>
    <t>Make provisions so that [Assignment: organization-defined encrypted communications traffic] is visible to [Assignment: organization-defined system monitoring tools and mechanisms].</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</si>
  <si>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</si>
  <si>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SI-4(11)</t>
  </si>
  <si>
    <t>System Monitoring | Analyze Communications Traffic Anomalies</t>
  </si>
  <si>
    <t>Analyze outbound communications traffic at the external interfaces to the system and selected [Assignment: organization-defined interior points within the system] to discover anomalies.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</si>
  <si>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</si>
  <si>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SI-4(12)</t>
  </si>
  <si>
    <t>System Monitoring | Automated Organization-generated Alerts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</si>
  <si>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</si>
  <si>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</si>
  <si>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SI-4(13)</t>
  </si>
  <si>
    <t>System Monitoring | Analyze Traffic and Event Patterns</t>
  </si>
  <si>
    <t>(a) Analyze communications traffic and event patterns for the system;
(b) Develop profiles representing common traffic and event patterns; and
(c) Use the traffic and event profiles in tuning system-monitoring devices.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</si>
  <si>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</si>
  <si>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SI-4(14)</t>
  </si>
  <si>
    <t>System Monitoring | Wireless Intrusion Detection</t>
  </si>
  <si>
    <t>Employ a wireless intrusion detection system to identify rogue wireless devices and to detect attack attempts and potential compromises or breaches to the system.</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</si>
  <si>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</si>
  <si>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AC-18, IA-3</t>
  </si>
  <si>
    <t>SI-4(15)</t>
  </si>
  <si>
    <t>System Monitoring | Wireless to Wireline Communications</t>
  </si>
  <si>
    <t>Employ an intrusion detection system to monitor wireless communications traffic as the traffic passes from wireless to wireline networks.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</si>
  <si>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</si>
  <si>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SI-4(16)</t>
  </si>
  <si>
    <t>System Monitoring | Correlate Monitoring Information</t>
  </si>
  <si>
    <t>Correlate information from monitoring tools and mechanisms employed throughout the system.</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</si>
  <si>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</si>
  <si>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SI-4(17)</t>
  </si>
  <si>
    <t>System Monitoring | Integrated Situational Awareness</t>
  </si>
  <si>
    <t>Correlate information from monitoring physical, cyber, and supply chain activities to achieve integrated, organization-wide situational awareness.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</si>
  <si>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</si>
  <si>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AU-16, PE-6, SR-2, SR-4, SR-6</t>
  </si>
  <si>
    <t>SI-4(18)</t>
  </si>
  <si>
    <t>System Monitoring | Analyze Traffic and Covert Exfiltration</t>
  </si>
  <si>
    <t>Analyze outbound communications traffic at external interfaces to the system and at the following interior points to detect covert exfiltration of information: [Assignment: organization-defined interior points within the system].</t>
  </si>
  <si>
    <t>Organization-defined interior points include subnetworks and subsystems. Covert means that can be used to exfiltrate information include steganography.</t>
  </si>
  <si>
    <t>SI-4(19)</t>
  </si>
  <si>
    <t>System Monitoring | Risk for Individuals</t>
  </si>
  <si>
    <t>Implement [Assignment: organization-defined additional monitoring] of individuals who have been identified by [Assignment: organization-defined sources] as posing an increased level of risk.</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</si>
  <si>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</si>
  <si>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SI-4(20)</t>
  </si>
  <si>
    <t>System Monitoring | Privileged Users</t>
  </si>
  <si>
    <t>Implement the following additional monitoring of privileged users: [Assignment: organization-defined additional monitoring].</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</si>
  <si>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</si>
  <si>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SI-4(21)</t>
  </si>
  <si>
    <t>System Monitoring | Probationary Periods</t>
  </si>
  <si>
    <t>Implement the following additional monitoring of individuals during [Assignment: organization-defined probationary period]: [Assignment: organization-defined additional monitoring].</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</si>
  <si>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</si>
  <si>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SI-4(22)</t>
  </si>
  <si>
    <t>System Monitoring | Unauthorized Network Services</t>
  </si>
  <si>
    <t>(a) Detect network services that have not been authorized or approved by [Assignment: organization-defined authorization or approval processes]; and
(b) [Selection (one or more): Audit; Alert [Assignment: organization-defined personnel or roles]
                  ] when detected.</t>
  </si>
  <si>
    <t>Unauthorized or unapproved network services include services in service-oriented architectures that lack organizational verification or validation and may therefore be unreliable or serve as malicious rogues for valid services.</t>
  </si>
  <si>
    <t>SI-4(23)</t>
  </si>
  <si>
    <t>System Monitoring | Host-based Devices</t>
  </si>
  <si>
    <t>Implement the following host-based monitoring mechanisms at [Assignment: organization-defined system components]: [Assignment: organization-defined host-based monitoring mechanisms].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</si>
  <si>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</si>
  <si>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AC-18, AC-19</t>
  </si>
  <si>
    <t>SI-4(24)</t>
  </si>
  <si>
    <t>System Monitoring | Indicators of Compromise</t>
  </si>
  <si>
    <t>Discover, collect, and distribute to [Assignment: organization-defined personnel or roles], indicators of compromise provided by [Assignment: organization-defined sources].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</si>
  <si>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</si>
  <si>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SI-4(25)</t>
  </si>
  <si>
    <t>System Monitoring | Optimize Network Traffic Analysis</t>
  </si>
  <si>
    <t>Provide visibility into network traffic at external and key internal system interfaces to optimize the effectiveness of monitoring devices.</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</si>
  <si>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</si>
  <si>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Security Alerts, Advisories, and Directives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</si>
  <si>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 
                  [Assignment: organization-defined elements within the organization]
               ; 
                  [Assignment: organization-defined external organizations]
               ]; and
d. Implement security directives in accordance with established time frames, or notify the issuing organization of the degree of noncompliance.</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</si>
  <si>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</si>
  <si>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PM-15, RA-5, SI-2</t>
  </si>
  <si>
    <t>SI-5(1)</t>
  </si>
  <si>
    <t>Security Alerts, Advisories, and Directives | Automated Alerts and Advisories</t>
  </si>
  <si>
    <t>Broadcast security alert and advisory information throughout the organization using [Assignment: organization-defined automated mechanisms].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</si>
  <si>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</si>
  <si>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SI-6</t>
  </si>
  <si>
    <t>Security and Privacy Function Verification</t>
  </si>
  <si>
    <t>a. Verify the correct operation of [Assignment: organization-defined security and privacy functions];
b. Perform the verification of the functions specified in SI-6a [Selection (one or more): 
                  [Assignment: organization-defined system transitional states]
               ; upon command by user with appropriate privilege; 
                  [Assignment: organization-defined frequency]
               ];
c. Alert [Assignment: organization-defined personnel or roles] to failed security and privacy verification tests; and
d. [Selection (one or more): Shut the system down; Restart the system; 
                  [Assignment: organization-defined alternative action(s)]
               ] when anomalies are discovered.</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</si>
  <si>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</si>
  <si>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CA-7, CM-4, CM-6, SI-7</t>
  </si>
  <si>
    <t>SI-6(1)</t>
  </si>
  <si>
    <t>Security and Privacy Function Verification | Notification of Failed Security Tests</t>
  </si>
  <si>
    <t>SI-6(2)</t>
  </si>
  <si>
    <t>Security and Privacy Function Verification | Automation Support for Distributed Testing</t>
  </si>
  <si>
    <t>Implement automated mechanisms to support the management of distributed security and privacy function testing.</t>
  </si>
  <si>
    <t>The use of automated mechanisms to support the management of distributed function testing helps to ensure the integrity, timeliness, completeness, and efficacy of such testing.</t>
  </si>
  <si>
    <t>SI-6(3)</t>
  </si>
  <si>
    <t>Security and Privacy Function Verification | Report Verification Results</t>
  </si>
  <si>
    <t>Report the results of security and privacy function verification to [Assignment: organization-defined personnel or roles].</t>
  </si>
  <si>
    <t>Organizational personnel with potential interest in the results of the verification of security and privacy functions include systems security officers, senior agency information security officers, and senior agency officials for privacy.</t>
  </si>
  <si>
    <t>SI-4, SR-4, SR-5</t>
  </si>
  <si>
    <t>Software, Firmware, and Information Integrity</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</si>
  <si>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</si>
  <si>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</si>
  <si>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AC-4, CM-3, CM-7, CM-8, MA-3, MA-4, RA-5, SA-8, SA-9, SA-10, SC-8, SC-12, SC-13, SC-28, SC-37, SI-3, SR-3, SR-4, SR-5, SR-6, SR-9, SR-10, SR-11</t>
  </si>
  <si>
    <t>SI-7(1)</t>
  </si>
  <si>
    <t>Software, Firmware, and Information Integrity | Integrity Checks</t>
  </si>
  <si>
    <t>Perform an integrity check of [Assignment: organization-defined software, firmware, and information]
                  [Selection (one or more): at startup; at [Assignment: organization-defined transitional states or security-relevant events]
                  ; 
                     [Assignment: organization-defined frequency]
                  ].</t>
  </si>
  <si>
    <t>Security-relevant events include the identification of new threats to which organizational systems are susceptible and the installation of new hardware, software, or firmware. Transitional states include system startup, restart, shutdown, and abort.</t>
  </si>
  <si>
    <t>SI-7(2)</t>
  </si>
  <si>
    <t>Software, Firmware, and Information Integrity | Automated Notifications of Integrity Violations</t>
  </si>
  <si>
    <t>Employ automated tools that provide notification to [Assignment: organization-defined personnel or roles] upon discovering discrepancies during integrity verification.</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</si>
  <si>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</si>
  <si>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SI-7(3)</t>
  </si>
  <si>
    <t>Software, Firmware, and Information Integrity | Centrally Managed Integrity Tools</t>
  </si>
  <si>
    <t>Employ centrally managed integrity verification tools.</t>
  </si>
  <si>
    <t>Centrally managed integrity verification tools provides greater consistency in the application of such tools and can facilitate more comprehensive coverage of integrity verification actions.</t>
  </si>
  <si>
    <t>AU-3, SI-2, SI-8</t>
  </si>
  <si>
    <t>SI-7(4)</t>
  </si>
  <si>
    <t>Software, Firmware, and Information Integrity | Tamper-evident Packaging</t>
  </si>
  <si>
    <t>SI-7(5)</t>
  </si>
  <si>
    <t>Software, Firmware, and Information Integrity | Automated Response to Integrity Violations</t>
  </si>
  <si>
    <t>Automatically [Selection (one or more): shut the system down; restart the system; implement [Assignment: organization-defined controls]
                  ] when integrity violations are discovered.</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</si>
  <si>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</si>
  <si>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SI-7(6)</t>
  </si>
  <si>
    <t>Software, Firmware, and Information Integrity | Cryptographic Protection</t>
  </si>
  <si>
    <t>Implement cryptographic mechanisms to detect unauthorized changes to software, firmware, and information.</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</si>
  <si>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</si>
  <si>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SI-7(7)</t>
  </si>
  <si>
    <t>Software, Firmware, and Information Integrity | Integration of Detection and Response</t>
  </si>
  <si>
    <t>Incorporate the detection of the following unauthorized changes into the organizational incident response capability: [Assignment: organization-defined security-relevant changes to the system].</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</si>
  <si>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</si>
  <si>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AU-2, AU-6, IR-4, IR-5, SI-4</t>
  </si>
  <si>
    <t>SI-7(8)</t>
  </si>
  <si>
    <t>Software, Firmware, and Information Integrity | Auditing Capability for Significant Events</t>
  </si>
  <si>
    <t>Upon detection of a potential integrity violation, provide the capability to audit the event and initiate the following actions: [Selection (one or more): generate an audit record; alert current user; alert [Assignment: organization-defined personnel or roles]
                  ; 
                     [Assignment: organization-defined other actions]
                  ].</t>
  </si>
  <si>
    <t>Organizations select response actions based on types of software, specific software, or information for which there are potential integrity violations.</t>
  </si>
  <si>
    <t>SI-7(9)</t>
  </si>
  <si>
    <t>Software, Firmware, and Information Integrity | Verify Boot Process</t>
  </si>
  <si>
    <t>Verify the integrity of the boot process of the following system components: [Assignment: organization-defined system components].</t>
  </si>
  <si>
    <t>Ensuring the integrity of boot processes is critical to starting system components in known, trustworthy states. Integrity verification mechanisms provide a level of assurance that only trusted code is executed during boot processes.</t>
  </si>
  <si>
    <t>SI-7(10)</t>
  </si>
  <si>
    <t>Software, Firmware, and Information Integrity | Protection of Boot Firmware</t>
  </si>
  <si>
    <t>Implement the following mechanisms to protect the integrity of boot firmware in [Assignment: organization-defined system components]: [Assignment: organization-defined mechanisms].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</si>
  <si>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</si>
  <si>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SI-7(11)</t>
  </si>
  <si>
    <t>Software, Firmware, and Information Integrity | Confined Environments with Limited Privileges</t>
  </si>
  <si>
    <t>SI-7(12)</t>
  </si>
  <si>
    <t>Software, Firmware, and Information Integrity | Integrity Verification</t>
  </si>
  <si>
    <t>Require that the integrity of the following user-installed software be verified prior to execution: [Assignment: organization-defined user-installed software].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</si>
  <si>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</si>
  <si>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SI-7(13)</t>
  </si>
  <si>
    <t>Software, Firmware, and Information Integrity | Code Execution in Protected Environments</t>
  </si>
  <si>
    <t>SI-7(14)</t>
  </si>
  <si>
    <t>Software, Firmware, and Information Integrity | Binary or Machine Executable Code</t>
  </si>
  <si>
    <t>SI-7(15)</t>
  </si>
  <si>
    <t>Software, Firmware, and Information Integrity | Code Authentication</t>
  </si>
  <si>
    <t>Implement cryptographic mechanisms to authenticate the following software or firmware components prior to installation: [Assignment: organization-defined software or firmware components].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</si>
  <si>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</si>
  <si>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CM-5, SC-12, SC-13</t>
  </si>
  <si>
    <t>SI-7(16)</t>
  </si>
  <si>
    <t>Software, Firmware, and Information Integrity | Time Limit on Process Execution Without Supervision</t>
  </si>
  <si>
    <t>Prohibit processes from executing without supervision for more than [Assignment: organization-defined time period].</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</si>
  <si>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</si>
  <si>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SI-7(17)</t>
  </si>
  <si>
    <t>Software, Firmware, and Information Integrity | Runtime Application Self-protection</t>
  </si>
  <si>
    <t>Implement [Assignment: organization-defined controls] for application self-protection at runtime.</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</si>
  <si>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</si>
  <si>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SI-16</t>
  </si>
  <si>
    <t>SI-8</t>
  </si>
  <si>
    <t>Spam Protection</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</si>
  <si>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</si>
  <si>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</si>
  <si>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PL-9, SC-5, SC-7, SC-38, SI-3, SI-4</t>
  </si>
  <si>
    <t>SI-8(1)</t>
  </si>
  <si>
    <t>Spam Protection | Central Management</t>
  </si>
  <si>
    <t>SI-8(2)</t>
  </si>
  <si>
    <t>Spam Protection | Automatic Updates</t>
  </si>
  <si>
    <t>Automatically update spam protection mechanisms [Assignment: organization-defined frequency].</t>
  </si>
  <si>
    <t>Using automated mechanisms to update spam protection mechanisms helps to ensure that updates occur on a regular basis and provide the latest content and protection capabilities.</t>
  </si>
  <si>
    <t>SI-8(3)</t>
  </si>
  <si>
    <t>Spam Protection | Continuous Learning Capability</t>
  </si>
  <si>
    <t>Implement spam protection mechanisms with a learning capability to more effectively identify legitimate communications traffic.</t>
  </si>
  <si>
    <t>Learning mechanisms include Bayesian filters that respond to user inputs that identify specific traffic as spam or legitimate by updating algorithm parameters and thereby more accurately separating types of traffic.</t>
  </si>
  <si>
    <t>SI-9</t>
  </si>
  <si>
    <t>Information Input Restrictions</t>
  </si>
  <si>
    <t>SI-10</t>
  </si>
  <si>
    <t>Information Input Validation</t>
  </si>
  <si>
    <t>Check the validity of the following information inputs: [Assignment: organization-defined information inputs to the system].</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</si>
  <si>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</si>
  <si>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SI-10(1)</t>
  </si>
  <si>
    <t>Information Input Validation | Manual Override Capability</t>
  </si>
  <si>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</si>
  <si>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In certain situations, such as during events that are defined in contingency plans, a manual override capability for input validation may be needed. Manual overrides are used only in limited circumstances and with the inputs defined by the organization.</t>
  </si>
  <si>
    <t>AC-3, AU-2, AU-12</t>
  </si>
  <si>
    <t>SI-10(2)</t>
  </si>
  <si>
    <t>Information Input Validation | Review and Resolve Errors</t>
  </si>
  <si>
    <t>Review and resolve input validation errors within [Assignment: organization-defined time period].</t>
  </si>
  <si>
    <t>Resolution of input validation errors includes correcting systemic causes of errors and resubmitting transactions with corrected input. Input validation errors are those related to the information inputs defined by the organization in the base control (SI-10).</t>
  </si>
  <si>
    <t>SI-10(3)</t>
  </si>
  <si>
    <t>Information Input Validation | Predictable Behavior</t>
  </si>
  <si>
    <t>Verify that the system behaves in a predictable and documented manner when invalid inputs are received.</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</si>
  <si>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</si>
  <si>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SI-10(4)</t>
  </si>
  <si>
    <t>Information Input Validation | Timing Interactions</t>
  </si>
  <si>
    <t>Account for timing interactions among system components in determining appropriate responses for invalid inputs.</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</si>
  <si>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</si>
  <si>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SI-10(5)</t>
  </si>
  <si>
    <t>Information Input Validation | Restrict Inputs to Trusted Sources and Approved Formats</t>
  </si>
  <si>
    <t>Restrict the use of information inputs to [Assignment: organization-defined trusted sources] and/or [Assignment: organization-defined formats].</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</si>
  <si>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</si>
  <si>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SI-10(6)</t>
  </si>
  <si>
    <t>Information Input Validation | Injection Prevention</t>
  </si>
  <si>
    <t>Prevent untrusted data injections.</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</si>
  <si>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</si>
  <si>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SI-11</t>
  </si>
  <si>
    <t>Error Handling</t>
  </si>
  <si>
    <t>a. Generate error messages that provide information necessary for corrective actions without revealing information that could be exploited; and
b. Reveal error messages only to [Assignment: organization-defined personnel or roles].</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</si>
  <si>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</si>
  <si>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AU-2, AU-3, SC-31, SI-2, SI-15</t>
  </si>
  <si>
    <t>SI-12</t>
  </si>
  <si>
    <t>Information Management and Retention</t>
  </si>
  <si>
    <t>Manage and retain information within the system and information output from the system in accordance with applicable laws, executive orders, directives, regulations, policies, standards, guidelines and operational requirements.</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</si>
  <si>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</si>
  <si>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AC-1, AT-1, AU-1, CA-1, CM-1, CP-1, IA-1, IR-1, MA-1, MP-1, PE-1, PL-1, PM-1, PS-1, PT-1, RA-1, SA-1, SC-1, SI-1, SR-1, AC-16, AU-5, AU-11, CA-2, CA-3, CA-5, CA-6, CA-7, CA-9, CM-5, CM-9, CP-2, IR-8, MP-2, MP-3, MP-4, MP-6, PL-2, PL-4, PM-4, PM-8, PM-9, PS-2, PS-6, PT-2, PT-3, RA-2, RA-3, SA-5, SA-8, SR-2</t>
  </si>
  <si>
    <t>SI-12(1)</t>
  </si>
  <si>
    <t>Information Management and Retention | Limit Personally Identifiable Information Elements</t>
  </si>
  <si>
    <t>Limit personally identifiable information being processed in the information life cycle to the following elements of PII: [Assignment: organization-defined elements of personally identifiable information].</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</si>
  <si>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</si>
  <si>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PM-25, PT-2, PT-3, RA-3</t>
  </si>
  <si>
    <t>SI-12(2)</t>
  </si>
  <si>
    <t>Information Management and Retention | Minimize Personally Identifiable Information in Testing, Training, and Research</t>
  </si>
  <si>
    <t>Use the following techniques to minimize the use of personally identifiable information for research, testing, or training: [Assignment: organization-defined techniques].</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</si>
  <si>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</si>
  <si>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PM-22, PM-25, SI-19</t>
  </si>
  <si>
    <t>SI-12(3)</t>
  </si>
  <si>
    <t>Information Management and Retention | Information Disposal</t>
  </si>
  <si>
    <t>Use the following techniques to dispose of, destroy, or erase information following the retention period: [Assignment: organization-defined techniques].</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</si>
  <si>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</si>
  <si>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SI-13</t>
  </si>
  <si>
    <t>Predictable Failure Prevention</t>
  </si>
  <si>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</si>
  <si>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</si>
  <si>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CP-2, CP-10, CP-13, MA-2, MA-6, SA-8, SC-6</t>
  </si>
  <si>
    <t>SI-13(1)</t>
  </si>
  <si>
    <t>Predictable Failure Prevention | Transferring Component Responsibilities</t>
  </si>
  <si>
    <t>Take system components out of service by transferring component responsibilities to substitute components no later than [Assignment: organization-defined fraction or percentage] of mean time to failure.</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</si>
  <si>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</si>
  <si>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SI-13(2)</t>
  </si>
  <si>
    <t>Predictable Failure Prevention | Time Limit on Process Execution Without Supervision</t>
  </si>
  <si>
    <t>SI-13(3)</t>
  </si>
  <si>
    <t>Predictable Failure Prevention | Manual Transfer Between Components</t>
  </si>
  <si>
    <t>Manually initiate transfers between active and standby system components when the use of the active component reaches [Assignment: organization-defined percentage] of the mean time to failure.</t>
  </si>
  <si>
    <t>For example, if the MTTF for a system component is 100 days and the MTTF percentage defined by the organization is 90 percent, the manual transfer would occur after 90 days.</t>
  </si>
  <si>
    <t>SI-13(4)</t>
  </si>
  <si>
    <t>Predictable Failure Prevention | Standby Component Installation and Notification</t>
  </si>
  <si>
    <t>If system component failures are detected:
(a) Ensure that the standby components are successfully and transparently installed within [Assignment: organization-defined time period]; and
(b) [Selection (one or more): Activate [Assignment: organization-defined alarm]
                  ; Automatically shut down the system; 
                     [Assignment: organization-defined action]
                  ].</t>
  </si>
  <si>
    <t>Automatic or manual transfer of components from standby to active mode can occur upon the detection of component failures.</t>
  </si>
  <si>
    <t>SI-13(5)</t>
  </si>
  <si>
    <t>Predictable Failure Prevention | Failover Capability</t>
  </si>
  <si>
    <t>Provide [Selection: real-time; near real-time]
                  [Assignment: organization-defined failover capability] for the system.</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</si>
  <si>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</si>
  <si>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CP-6, CP-7, CP-9</t>
  </si>
  <si>
    <t>SI-14</t>
  </si>
  <si>
    <t>Non-persistence</t>
  </si>
  <si>
    <t>Implement non-persistent [Assignment: organization-defined system components and services] that are initiated in a known state and terminated [Selection (one or more): upon end of session of use; periodically at [Assignment: organization-defined frequency]
               ].</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</si>
  <si>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</si>
  <si>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SC-30, SC-34, SI-21</t>
  </si>
  <si>
    <t>SI-14(1)</t>
  </si>
  <si>
    <t>Non-persistence | Refresh from Trusted Sources</t>
  </si>
  <si>
    <t>Obtain software and data employed during system component and service refreshes from the following trusted sources: [Assignment: organization-defined trusted sources].</t>
  </si>
  <si>
    <t>Trusted sources include software and data from write-once, read-only media or from selected offline secure storage facilities.</t>
  </si>
  <si>
    <t>SI-14(2)</t>
  </si>
  <si>
    <t>Non-persistence | Non-persistent Information</t>
  </si>
  <si>
    <t>(a) [Selection: Refresh [Assignment: organization-defined information]
                     [Assignment: organization-defined frequency]
                  ; Generate [Assignment: organization-defined information] on demand]; and
(b) Delete information when no longer needed.</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</si>
  <si>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</si>
  <si>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SI-14(3)</t>
  </si>
  <si>
    <t>Non-persistence | Non-persistent Connectivity</t>
  </si>
  <si>
    <t>Establish connections to the system on demand and terminate connections after [Selection: completion of a request; a period of non-use].</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</si>
  <si>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</si>
  <si>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SI-15</t>
  </si>
  <si>
    <t>Information Output Filtering</t>
  </si>
  <si>
    <t>Validate information output from the following software programs and/or applications to ensure that the information is consistent with the expected content: [Assignment: organization-defined software programs and/or applications].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</si>
  <si>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</si>
  <si>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SI-3, SI-4, SI-11</t>
  </si>
  <si>
    <t>Memory Protection</t>
  </si>
  <si>
    <t>Implement the following controls to protect the system memory from unauthorized code execution: [Assignment: organization-defined controls].</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</si>
  <si>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</si>
  <si>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AC-25, SC-3, SI-7</t>
  </si>
  <si>
    <t>SI-17</t>
  </si>
  <si>
    <t>Fail-safe Procedures</t>
  </si>
  <si>
    <t>Implement the indicated fail-safe procedures when the indicated failures occur: [Assignment: organization-defined list of failure conditions and associated fail-safe procedures].</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</si>
  <si>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</si>
  <si>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CP-12, CP-13, SC-24, SI-13</t>
  </si>
  <si>
    <t>SI-18</t>
  </si>
  <si>
    <t>Personally Identifiable Information Quality Operations</t>
  </si>
  <si>
    <t>a. Check the accuracy, relevance, timeliness, and completeness of personally identifiable information across the information life cycle [Assignment: organization-defined frequency]; and
b. Correct or delete inaccurate or outdated personally identifiable information.</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</si>
  <si>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</si>
  <si>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PM-22, PM-24, SI-4</t>
  </si>
  <si>
    <t>SI-18(1)</t>
  </si>
  <si>
    <t>Personally Identifiable Information Quality Operations | Automation Support</t>
  </si>
  <si>
    <t>Correct or delete personally identifiable information that is inaccurate or outdated, incorrectly determined regarding impact, or incorrectly de-identified using [Assignment: organization-defined automated mechanisms].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</si>
  <si>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</si>
  <si>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PM-18, PM-22, RA-8</t>
  </si>
  <si>
    <t>SI-18(2)</t>
  </si>
  <si>
    <t>Personally Identifiable Information Quality Operations | Data Tags</t>
  </si>
  <si>
    <t>Employ data tags to automate the correction or deletion of personally identifiable information across the information life cycle within organizational systems.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</si>
  <si>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</si>
  <si>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AC-3, AC-16, SC-16</t>
  </si>
  <si>
    <t>SI-18(3)</t>
  </si>
  <si>
    <t>Personally Identifiable Information Quality Operations | Collection</t>
  </si>
  <si>
    <t>Collect personally identifiable information directly from the individual.</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</si>
  <si>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</si>
  <si>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SI-18(4)</t>
  </si>
  <si>
    <t>Personally Identifiable Information Quality Operations | Individual Requests</t>
  </si>
  <si>
    <t>Correct or delete personally identifiable information upon request by individuals or their designated representatives.</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</si>
  <si>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</si>
  <si>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SI-18(5)</t>
  </si>
  <si>
    <t>Personally Identifiable Information Quality Operations | Notice of Correction or Deletion</t>
  </si>
  <si>
    <t>Notify [Assignment: organization-defined recipients of personally identifiable information] and individuals that the personally identifiable information has been corrected or deleted.</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</si>
  <si>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</si>
  <si>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SI-19</t>
  </si>
  <si>
    <t>De-identification</t>
  </si>
  <si>
    <t>a. Remove the following elements of personally identifiable information from datasets: [Assignment: organization-defined elements of personally identifiable information]; and
b. Evaluate [Assignment: organization-defined frequency] for effectiveness of de-identification.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</si>
  <si>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</si>
  <si>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MP-6, PM-22, PM-23, PM-24, RA-2, SI-12</t>
  </si>
  <si>
    <t>SI-19(1)</t>
  </si>
  <si>
    <t>De-identification | Collection</t>
  </si>
  <si>
    <t>De-identify the dataset upon collection by not collecting personally identifiable information.</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</si>
  <si>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</si>
  <si>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SI-19(2)</t>
  </si>
  <si>
    <t>De-identification | Archiving</t>
  </si>
  <si>
    <t>Prohibit archiving of personally identifiable information elements if those elements in a dataset will not be needed after the dataset is archived.</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</si>
  <si>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</si>
  <si>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SI-19(3)</t>
  </si>
  <si>
    <t>De-identification | Release</t>
  </si>
  <si>
    <t>Remove personally identifiable information elements from a dataset prior to its release if those elements in the dataset do not need to be part of the data release.</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</si>
  <si>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</si>
  <si>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SI-19(4)</t>
  </si>
  <si>
    <t>De-identification | Removal, Masking, Encryption, Hashing, or Replacement of Direct Identifiers</t>
  </si>
  <si>
    <t>Remove, mask, encrypt, hash, or replace direct identifiers in a dataset.</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</si>
  <si>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</si>
  <si>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SI-19(5)</t>
  </si>
  <si>
    <t>De-identification | Statistical Disclosure Control</t>
  </si>
  <si>
    <t>Manipulate numerical data, contingency tables, and statistical findings so that no individual or organization is identifiable in the results of the analysis.</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</si>
  <si>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</si>
  <si>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SI-19(6)</t>
  </si>
  <si>
    <t>De-identification | Differential Privacy</t>
  </si>
  <si>
    <t>Prevent disclosure of personally identifiable information by adding non-deterministic noise to the results of mathematical operations before the results are reported.</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</si>
  <si>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</si>
  <si>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SI-19(7)</t>
  </si>
  <si>
    <t>De-identification | Validated Algorithms and Software</t>
  </si>
  <si>
    <t>Perform de-identification using validated algorithms and software that is validated to implement the algorithms.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</si>
  <si>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</si>
  <si>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SI-19(8)</t>
  </si>
  <si>
    <t>De-identification | Motivated Intruder</t>
  </si>
  <si>
    <t>Perform a motivated intruder test on the de-identified dataset to determine if the identified data remains or if the de-identified data can be re-identified.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</si>
  <si>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</si>
  <si>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SI-20</t>
  </si>
  <si>
    <t>Tainting</t>
  </si>
  <si>
    <t>Embed data or capabilities in the following systems or system components to determine if organizational data has been exfiltrated or improperly removed from the organization: [Assignment: organization-defined systems or system components].</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</si>
  <si>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</si>
  <si>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SI-21</t>
  </si>
  <si>
    <t>Information Refresh</t>
  </si>
  <si>
    <t>Refresh [Assignment: organization-defined information] at [Assignment: organization-defined frequencies] or generate the information on demand and delete the information when no longer needed.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</si>
  <si>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</si>
  <si>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SI-22</t>
  </si>
  <si>
    <t>Information Diversity</t>
  </si>
  <si>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</si>
  <si>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</si>
  <si>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SI-23</t>
  </si>
  <si>
    <t>Information Fragmentation</t>
  </si>
  <si>
    <t>Based on [Assignment: organization-defined circumstances]:
a. Fragment the following information: [Assignment: organization-defined information]; and
b. Distribute the fragmented information across the following systems or system components: [Assignment: Assignment organization-defined systems or system components].</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</si>
  <si>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</si>
  <si>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SR-1</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</si>
  <si>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</si>
  <si>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</si>
  <si>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PM-9, PM-30, PS-8, SI-12</t>
  </si>
  <si>
    <t>Supply Chain Risk Management Plan</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</si>
  <si>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</si>
  <si>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</si>
  <si>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CA-2, CP-4, IR-4, MA-2, MA-6, PE-16, PL-2, PM-9, PM-30, RA-3, RA-7, SA-8, SI-4</t>
  </si>
  <si>
    <t>SR-2(1)</t>
  </si>
  <si>
    <t>Supply Chain Risk Management Plan | Establish Scrm Team</t>
  </si>
  <si>
    <t>Establish a supply chain risk management team consisting of [Assignment: organization-defined personnel, roles, and responsibilities] to lead and support the following SCRM activities: [Assignment: organization-defined supply chain risk management activities].</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</si>
  <si>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</si>
  <si>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SR-3</t>
  </si>
  <si>
    <t>Supply Chain Controls and Processes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</si>
  <si>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
               ].</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</si>
  <si>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</si>
  <si>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CA-2, MA-2, MA-6, PE-3, PE-16, PL-8, PM-30, SA-2, SA-3, SA-4, SA-5, SA-8, SA-9, SA-10, SA-15, SC-7, SC-29, SC-30, SC-38, SI-7, SR-6, SR-9, SR-11</t>
  </si>
  <si>
    <t>SR-3(1)</t>
  </si>
  <si>
    <t>Supply Chain Controls and Processes | Diverse Supply Base</t>
  </si>
  <si>
    <t>Employ a diverse set of sources for the following system components and services:  [Assignment: organization-defined system components and services].</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</si>
  <si>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</si>
  <si>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SR-3(2)</t>
  </si>
  <si>
    <t>Supply Chain Controls and Processes | Limitation of Harm</t>
  </si>
  <si>
    <t>Employ the following controls to limit harm from potential adversaries identifying and targeting the organizational supply chain: [Assignment: organization-defined controls].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</si>
  <si>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</si>
  <si>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SR-3(3)</t>
  </si>
  <si>
    <t>Supply Chain Controls and Processes | Sub-tier Flow Down</t>
  </si>
  <si>
    <t>Ensure that the controls included in the contracts of prime contractors are also included in the contracts of subcontractors.</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</si>
  <si>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</si>
  <si>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SR-5, SR-8</t>
  </si>
  <si>
    <t>SR-4</t>
  </si>
  <si>
    <t>Provenance</t>
  </si>
  <si>
    <t>Document, monitor, and maintain valid provenance of the following systems, system components, and associated data: [Assignment: organization-defined systems, system components, and associated data].</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</si>
  <si>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</si>
  <si>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CM-8, MA-2, MA-6, RA-9, SA-3, SA-8, SI-4</t>
  </si>
  <si>
    <t>SR-4(1)</t>
  </si>
  <si>
    <t>Provenance | Identity</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</si>
  <si>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</si>
  <si>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</si>
  <si>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IA-2, IA-8, PE-16</t>
  </si>
  <si>
    <t>SR-4(2)</t>
  </si>
  <si>
    <t>Provenance | Track and Trace</t>
  </si>
  <si>
    <t>Establish and maintain unique identification of the following systems and critical system components for tracking through the supply chain: [Assignment: organization-defined systems and critical system components].</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</si>
  <si>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</si>
  <si>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IA-2, IA-8, PE-16, PL-2</t>
  </si>
  <si>
    <t>SR-4(3)</t>
  </si>
  <si>
    <t>Provenance | Validate as Genuine and Not Altered</t>
  </si>
  <si>
    <t>Employ the following controls to validate that the system or system component received is genuine and has not been altered: [Assignment: organization-defined controls].</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</si>
  <si>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</si>
  <si>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AT-3, SR-9, SR-10, SR-11</t>
  </si>
  <si>
    <t>SR-4(4)</t>
  </si>
  <si>
    <t>Provenance | Supply Chain Integrity — Pedigree</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</si>
  <si>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</si>
  <si>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</si>
  <si>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SR-5</t>
  </si>
  <si>
    <t>Acquisition Strategies, Tools, and Methods</t>
  </si>
  <si>
    <t>Employ the following acquisition strategies, contract tools, and procurement methods to protect against, identify, and mitigate supply chain risks: [Assignment: organization-defined acquisition strategies, contract tools, and procurement methods].</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</si>
  <si>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</si>
  <si>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AT-3, SA-2, SA-3, SA-4, SA-5, SA-8, SA-9, SA-10, SA-15, SR-6, SR-9, SR-10, SR-11</t>
  </si>
  <si>
    <t>SR-5(1)</t>
  </si>
  <si>
    <t>Acquisition Strategies, Tools, and Methods | Adequate Supply</t>
  </si>
  <si>
    <t>Employ the following controls to ensure an adequate supply of [Assignment: organization-defined critical system components]: [Assignment: organization-defined controls].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</si>
  <si>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</si>
  <si>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SR-5(2)</t>
  </si>
  <si>
    <t>Acquisition Strategies, Tools, and Methods | Assessments Prior to Selection, Acceptance, Modification, or Update</t>
  </si>
  <si>
    <t>Assess the system, system component, or system service prior to selection, acceptance, modification, or update.</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</si>
  <si>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</si>
  <si>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CA-8, RA-5, SA-11, SI-7, SR-9</t>
  </si>
  <si>
    <t>SR-6</t>
  </si>
  <si>
    <t>Supplier Assessments and Reviews</t>
  </si>
  <si>
    <t>Assess and review the supply chain-related risks associated with suppliers or contractors and the system, system component, or system service they provide [Assignment: organization-defined frequency].</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</si>
  <si>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</si>
  <si>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SR-3, SR-5</t>
  </si>
  <si>
    <t>SR-6(1)</t>
  </si>
  <si>
    <t>Supplier Assessments and Reviews | Testing and Analysis</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</si>
  <si>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</si>
  <si>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</si>
  <si>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CA-8, SI-4</t>
  </si>
  <si>
    <t>SR-7</t>
  </si>
  <si>
    <t>Supply Chain Operations Security</t>
  </si>
  <si>
    <t>Employ the following Operations Security (OPSEC) controls to protect supply chain-related information for the system, system component, or system service: [Assignment: organization-defined Operations Security (OPSEC) controls].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</si>
  <si>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</si>
  <si>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Notification Agreements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</si>
  <si>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
               ].</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</si>
  <si>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</si>
  <si>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IR-4, IR-6, IR-8</t>
  </si>
  <si>
    <t>SR-9</t>
  </si>
  <si>
    <t>Implement a tamper protection program for the system, system component, or system service.</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</si>
  <si>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</si>
  <si>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PE-3, PM-30, SA-15, SI-4, SI-7, SR-3, SR-4, SR-5, SR-10, SR-11</t>
  </si>
  <si>
    <t>SR-9(1)</t>
  </si>
  <si>
    <t>Tamper Resistance and Detection | Multiple Stages of System Development Life Cycle</t>
  </si>
  <si>
    <t>Employ anti-tamper technologies, tools, and techniques throughout the system development life cycle.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</si>
  <si>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</si>
  <si>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SR-10</t>
  </si>
  <si>
    <t>Inspection of Systems or Components</t>
  </si>
  <si>
    <t>Inspect the following systems or system components [Selection (one or more): at random; at [Assignment: organization-defined frequency], upon [Assignment: organization-defined indications of need for inspection]
               ] to detect tampering: [Assignment: organization-defined systems or system components].</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</si>
  <si>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</si>
  <si>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AT-3, PM-30, SI-4, SI-7, SR-3, SR-4, SR-5, SR-9, SR-11</t>
  </si>
  <si>
    <t>SR-11</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</si>
  <si>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 
                  [Assignment: organization-defined personnel or roles]
               ].</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</si>
  <si>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</si>
  <si>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PE-3, SA-4, SI-7, SR-9, SR-10</t>
  </si>
  <si>
    <t>SR-11(1)</t>
  </si>
  <si>
    <t>Train [Assignment: organization-defined personnel or roles] to detect counterfeit system components (including hardware, software, and firmware).</t>
  </si>
  <si>
    <t>SR-11(2)</t>
  </si>
  <si>
    <t>Maintain configuration control over the following system components awaiting service or repair and serviced or repaired components awaiting return to service: [Assignment: organization-defined system components].</t>
  </si>
  <si>
    <t>CM-3, MA-2, MA-4, SA-10</t>
  </si>
  <si>
    <t>SR-11(3)</t>
  </si>
  <si>
    <t>Scan for counterfeit system components [Assignment: organization-defined frequency].</t>
  </si>
  <si>
    <t>The type of component determines the type of scanning to be conducted (e.g., web application scanning if the component is a web application).</t>
  </si>
  <si>
    <t>SR-12</t>
  </si>
  <si>
    <t>Component Disposal</t>
  </si>
  <si>
    <t>Dispose of [Assignment: organization-defined data, documentation, tools, or system components] using the following techniques and methods: [Assignment: organization-defined techniques and methods].</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</si>
  <si>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</si>
  <si>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TSC Ref. #</t>
  </si>
  <si>
    <t>Points of Focus</t>
  </si>
  <si>
    <t>CONTROL ENVIRONMENT</t>
  </si>
  <si>
    <t>CC 1.1</t>
  </si>
  <si>
    <t>COSO Principle 1: The entity demonstrates a commitment to integrity and ethical values.</t>
  </si>
  <si>
    <t>CC 1.1.1</t>
  </si>
  <si>
    <t>CC 1.1.3</t>
  </si>
  <si>
    <t>CC 1.1.4</t>
  </si>
  <si>
    <t>CC 1.1.5</t>
  </si>
  <si>
    <t>CC 1.2</t>
  </si>
  <si>
    <t>COSO Principle 2: The board of directors demonstrates independence from management and exercises oversight of the development and performance of internal control.</t>
  </si>
  <si>
    <t>CC 1.2.1</t>
  </si>
  <si>
    <t>CC 1.2.2</t>
  </si>
  <si>
    <t>CC 1.2.3</t>
  </si>
  <si>
    <t>CC 1.2.4</t>
  </si>
  <si>
    <t>CC 1.3</t>
  </si>
  <si>
    <t>COSO Principle 3: Management establishes, with board oversight, structures, reporting lines, and appropriate authorities and responsibilities in the pursuit of objectives.</t>
  </si>
  <si>
    <t>CC 1.3.1</t>
  </si>
  <si>
    <t>CC 1.3.2</t>
  </si>
  <si>
    <t>CC 1.3.3</t>
  </si>
  <si>
    <t>CC 1.3.4</t>
  </si>
  <si>
    <t>CC 1.3.5</t>
  </si>
  <si>
    <t>CC 1.4</t>
  </si>
  <si>
    <t>COSO Principle 4: The entity demonstrates a commitment to attract, develop, and retain competent individuals in alignment with objectives.</t>
  </si>
  <si>
    <t>CC 1.4.1</t>
  </si>
  <si>
    <t>CC 1.4.2</t>
  </si>
  <si>
    <t>CC 1.4.3</t>
  </si>
  <si>
    <t>CC 1.4.4</t>
  </si>
  <si>
    <t>CC 1.4.5</t>
  </si>
  <si>
    <t>CC 1.4.6</t>
  </si>
  <si>
    <t>CC 1.4.7</t>
  </si>
  <si>
    <t>CC 1.5</t>
  </si>
  <si>
    <t>COSO Principle 5: The entity holds individuals accountable for their internal control responsibilities in the pursuit of objectives.</t>
  </si>
  <si>
    <t>CC 1.5.1</t>
  </si>
  <si>
    <t>CC 1.5.2</t>
  </si>
  <si>
    <t>CC 1.5.3</t>
  </si>
  <si>
    <t>CC 1.5.4</t>
  </si>
  <si>
    <t>CC 1.5.5</t>
  </si>
  <si>
    <t xml:space="preserve">COMMUNICATION AND INFORMATION </t>
  </si>
  <si>
    <t>CC 2.1</t>
  </si>
  <si>
    <t>COSO Principle 13: The entity obtains or generates and uses relevant, quality information to support the functioning of internal control.</t>
  </si>
  <si>
    <t xml:space="preserve">COSO Principle 14: The entity internally communicates information, including objectives and responsibilities for internal control, necessary to support the functioning of internal control. </t>
  </si>
  <si>
    <t xml:space="preserve">COSO Principle 15: The entity communicates with external parties regarding matters affecting the functioning of internal control. </t>
  </si>
  <si>
    <t xml:space="preserve">RISK ASSESSMENT </t>
  </si>
  <si>
    <t>Operations Ojectives</t>
  </si>
  <si>
    <t>External Financial Reporting Objectives</t>
  </si>
  <si>
    <t>External Nonfinancial Reporting Objectives</t>
  </si>
  <si>
    <t>Internal Reporting Objectives</t>
  </si>
  <si>
    <t>Compliance Objectives</t>
  </si>
  <si>
    <t xml:space="preserve">COSO Principle 7: The entity identifies risks to the achievement of its objectives across the entity and analyzes risks as a basis for determining how the risks should be managed. </t>
  </si>
  <si>
    <t xml:space="preserve">COSO Principle 9: The entity identifies and assesses changes that could significantly impact the system of internal control. </t>
  </si>
  <si>
    <t>MONITORING ACTIVITIES</t>
  </si>
  <si>
    <t xml:space="preserve">COSO Principle 16: The entity selects, develops, and performs ongoing and/or separate evaluations to ascertain whether the components of internal control are present and functioning. </t>
  </si>
  <si>
    <t xml:space="preserve">COSO Principle 17: The entity evaluates and communicates internal control deficiencies in a timely manner to those parties responsible for taking corrective action, including senior management and the board of directors, as appropriate. </t>
  </si>
  <si>
    <t xml:space="preserve">CONTROL ACTIVITIES </t>
  </si>
  <si>
    <t>COSO Principle 10: The entity selects and develops control activities that contribute to the mitigation of risks to the achievement of objectives to acceptable levels.</t>
  </si>
  <si>
    <t>COSO Principle 11: The entity also selects and develops general control activities over technology to support the achievement of objectives.</t>
  </si>
  <si>
    <t xml:space="preserve">COSO Principle 12: The entity deploys control activities through policies that establish what is expected and in procedures that put policies into action. </t>
  </si>
  <si>
    <t>Logical and Physical Access Controls</t>
  </si>
  <si>
    <t xml:space="preserve">The entity implements logical access security software, infrastructure, and architectures over protected information assets to protect them from security events to meet the entity's objectives. </t>
  </si>
  <si>
    <t xml:space="preserve">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 </t>
  </si>
  <si>
    <t xml:space="preserve">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 </t>
  </si>
  <si>
    <t xml:space="preserve">The entity restricts physical access to facilities and protected information assets (for example, data center facilities,  back-up media storage, and other sensitive locations) to authorized personnel to meet the entity’s objectives. </t>
  </si>
  <si>
    <t xml:space="preserve">The entity discontinues logical and physical protections over physical assets only after the ability to read or recover data and software from those assets has been diminished and is no longer required to meet the entity’s objectives.    </t>
  </si>
  <si>
    <t xml:space="preserve">The entity implements logical access security measures to protect against threats from sources outside its system boundaries.  </t>
  </si>
  <si>
    <t xml:space="preserve">The entity restricts the transmission, movement, and removal of information to authorized internal and external users and processes, and protects it during transmission, movement, or removal to meet the entity’s objectives.   </t>
  </si>
  <si>
    <t xml:space="preserve">The entity implements controls to prevent or detect and act upon the introduction of unauthorized or malicious software to meet the entity’s objectives. </t>
  </si>
  <si>
    <t>System Operations</t>
  </si>
  <si>
    <t xml:space="preserve">To meet its objectives, the entity uses detection and monitoring procedures to identify (1) changes to configurations that result in the introduction of new vulnerabilities, and (2) susceptibilities to newly discovered vulnerabilities. </t>
  </si>
  <si>
    <t xml:space="preserve">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 </t>
  </si>
  <si>
    <t xml:space="preserve">The entity evaluates security events to determine whether they could or have resulted in a failure of the entity to meet its objectives (security incidents) and, if so, takes actions to prevent or address such failures. </t>
  </si>
  <si>
    <t xml:space="preserve">The entity responds to identified security incidents by executing a defined incident response program to understand, contain, remediate, and communicate security incidents, as appropriate.  </t>
  </si>
  <si>
    <t>Restores Operations—Procedures are in place to restore data and business operations to an interim state that permits the achievement of entity objectives.</t>
  </si>
  <si>
    <t xml:space="preserve">The entity identifies, develops, and implements activities to recover from identified security incidents. </t>
  </si>
  <si>
    <t xml:space="preserve">Change Management </t>
  </si>
  <si>
    <t>Risk Mitigation</t>
  </si>
  <si>
    <t xml:space="preserve">The entity identifies, selects, and develops risk mitigation activities for risks arising from potential business disruptions. </t>
  </si>
  <si>
    <t xml:space="preserve">The entity assesses and manages risks associated with vendors and business partners. </t>
  </si>
  <si>
    <t>ADDITIONAL CRITERIA FOR AVAILABILITY</t>
  </si>
  <si>
    <t xml:space="preserve">The entity maintains, monitors, and evaluates current processing capacity and use of system components (infrastructure, data, and software) to manage capacity demand and to enable the implementation of additional capacity to help meet its objectives. </t>
  </si>
  <si>
    <t xml:space="preserve">The entity authorizes, designs, develops or acquires, implements, operates, approves, maintains, and monitors environmental protections, software, data back-up processes, and recovery infrastructure to meet its objectives.  </t>
  </si>
  <si>
    <t xml:space="preserve">The entity tests recovery plan procedures supporting system recovery to meet its objectives.  </t>
  </si>
  <si>
    <t xml:space="preserve">ADDITIONAL CRITERIA FOR CONFIDENTIALITY </t>
  </si>
  <si>
    <t xml:space="preserve">The entity identifies and maintains confidential information to meet the entity’s objectives related to confidentiality. </t>
  </si>
  <si>
    <t xml:space="preserve">The entity disposes of confidential information to meet the entity’s objectives related to confidentiality.  </t>
  </si>
  <si>
    <t xml:space="preserve">ADDITIONAL CRITERIA FOR PROCESSING INTEGRITY </t>
  </si>
  <si>
    <t>The entity obtains or generates, uses, and communicates relevant, quality information regarding the objectives related to processing, including definitions of data processed and product and service specifications, to support the use of products and services.</t>
  </si>
  <si>
    <t>(1)    The definition of the data is available to the users of the data</t>
  </si>
  <si>
    <t>(2)    The definition of the data includes the following information:</t>
  </si>
  <si>
    <t>—    The population of events or instances included in the data</t>
  </si>
  <si>
    <t>—    The nature of each element (for example, field) of the data (that is, the event or instance to which the data element relates, for example, transaction price of a sale of XYZ Corporation stock for the last trade in that stock on a given day)</t>
  </si>
  <si>
    <t>—    Source(s) of the data</t>
  </si>
  <si>
    <t>—    The unit(s) of measurement of data elements (for example, fields)</t>
  </si>
  <si>
    <t>—    The accuracy/correctness/precision of measurement</t>
  </si>
  <si>
    <t>—    The uncertainty or confidence interval inherent in each data element and in the population of those elements</t>
  </si>
  <si>
    <t>—    The date the data was observed or the period of time during which the events relevant to the data occurred</t>
  </si>
  <si>
    <t>—    The factors in addition to the date and period of time used to determine the inclusion and exclusion of items in the data elements and population</t>
  </si>
  <si>
    <t>(3)    The definition is complete and accurate.</t>
  </si>
  <si>
    <t xml:space="preserve">(4)    The description of the data identifies any information that is necessary to understand each data element and the population in a manner consistent with its definition and intended purpose (meta-data) that has not been included within the data.  </t>
  </si>
  <si>
    <t>The entity implements policies and procedures over system inputs, including controls over completeness and accuracy, to result in products, services, and reporting to meet the entity’s objectives.</t>
  </si>
  <si>
    <t>The entity implements policies and procedures over system processing to result in products, services, and reporting to meet the entity’s objectives.</t>
  </si>
  <si>
    <t>The entity implements policies and procedures to make available or deliver output completely, accurately, and timely in accordance with specifications to meet the entity’s objectives.</t>
  </si>
  <si>
    <t>The entity implements policies and procedures to store inputs, items in processing, and outputs completely, accurately, and timely in accordance with system specifications to meet the entity’s objectives.</t>
  </si>
  <si>
    <t xml:space="preserve">ADDITIONAL CRITERIA FOR PRIVACY  </t>
  </si>
  <si>
    <t xml:space="preserve">Privacy Criteria Related to Notice and Communication of Objectives Related to Privacy </t>
  </si>
  <si>
    <t>The entity provides notice to data subjects about its privacy practices to meet the entity’s objectives related to privacy. The notice is updated and communicated to data subjects in a timely manner for changes to the entity’s privacy practices, including changes in the use of personal information, to meet the entity’s objectives related to privacy.</t>
  </si>
  <si>
    <t>—    Purpose for collecting personal information</t>
  </si>
  <si>
    <t>—    Choice and consent</t>
  </si>
  <si>
    <t>—    Types of personal information collected</t>
  </si>
  <si>
    <t>—    Methods of collection (for example, use of cookies or other tracking techniques)</t>
  </si>
  <si>
    <t>—    Use, retention, and disposal</t>
  </si>
  <si>
    <t>—    Access</t>
  </si>
  <si>
    <t>—    Disclosure to third parties</t>
  </si>
  <si>
    <t>—    Security for privacy</t>
  </si>
  <si>
    <t>—    Quality, including data subjects’ responsibilities for quality</t>
  </si>
  <si>
    <t>If personal information is collected from sources other than the individual, such sources are described in the privacy notice.</t>
  </si>
  <si>
    <t>Privacy Criteria Related to Choice and Consent</t>
  </si>
  <si>
    <t>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entity’s objectives related to privacy. The entity’s basis for determining implicit consent for the collection, use, retention, disclosure, and disposal of personal information is documented.</t>
  </si>
  <si>
    <t>Privacy Criteria Related to Collection</t>
  </si>
  <si>
    <t>Personal information is collected consistent with the entity’s objectives related to privacy.</t>
  </si>
  <si>
    <t>For information requiring explicit consent, the entity communicates the need for such consent, as well as the consequences of a failure to provide consent for the request for personal information, and obtains the consent prior to the collection of the information to meet the entity’s objectives related to privacy.</t>
  </si>
  <si>
    <t>Privacy Criteria Related to Use, Retention, and Disposal</t>
  </si>
  <si>
    <t>The entity limits the use of personal information to the purposes identified in the entity’s objectives related to privacy.</t>
  </si>
  <si>
    <t>The entity retains personal information consistent with the entity’s objectives related to privacy.</t>
  </si>
  <si>
    <t>The entity securely disposes of personal information to meet the entity’s objectives related to privacy.</t>
  </si>
  <si>
    <t>Privacy Criteria Related to Access</t>
  </si>
  <si>
    <t xml:space="preserve">The entity grants identified and authenticated data subjects the ability to access their stored personal information for review and, upon request, provides physical or electronic copies of that information to data subjects to meet the entity’s objectives related to privacy. If access is denied, data subjects are informed of the denial and reason for such denial, as required, to meet the entity’s objectives related to privacy. </t>
  </si>
  <si>
    <t>The entity corrects, amends, or appends personal information based on information provided by data subjects and communicates such information to third parties, as committed or required, to meet the entity’s objectives related to privacy. If a request for correction is denied, data subjects are informed of the denial and reason for such denial to meet the entity’s objectives related to privacy.</t>
  </si>
  <si>
    <t xml:space="preserve">Privacy Criteria Related to Disclosure and Notification </t>
  </si>
  <si>
    <t>The entity discloses personal information to third parties with the explicit consent of data subjects, and such consent is obtained prior to disclosure to meet the entity’s objectives related to privacy.</t>
  </si>
  <si>
    <t>The entity creates and retains a complete, accurate, and timely record of authorized disclosures of personal information to meet the entity’s objectives related to privacy.</t>
  </si>
  <si>
    <t>The entity creates and retains a complete, accurate, and timely record of detected or reported unauthorized disclosures (including breaches) of personal information to meet the entity’s objectives related to privacy.</t>
  </si>
  <si>
    <t xml:space="preserve">The entity obtains privacy commitments from vendors and other third parties who have access to personal information to meet the entity’s objectives related to privacy. The entity assesses those parties’ compliance on a periodic and as-needed basis and takes corrective action, if necessary. </t>
  </si>
  <si>
    <t>The entity obtains commitments from vendors and other third parties with access to personal information to notify the entity in the event of actual or suspected unauthorized disclosures of personal information. Such notifications are reported to appropriate personnel and acted on in accordance with established incident response procedures to meet the entity’s objectives related to privacy.</t>
  </si>
  <si>
    <t>The entity provides notification of breaches and incidents to affected data subjects, regulators, and others to meet the entity’s objectives related to privacy.</t>
  </si>
  <si>
    <t>The entity provides data subjects with an accounting of the personal information held and disclosure of the data subjects’ personal information, upon the data subjects’ request, to meet the entity’s objectives related to privacy.</t>
  </si>
  <si>
    <t xml:space="preserve">Privacy Criteria Related to Quality </t>
  </si>
  <si>
    <t xml:space="preserve">The entity collects and maintains accurate, up-to-date, complete, and relevant personal information to meet the entity’s objectives related to privacy. </t>
  </si>
  <si>
    <t xml:space="preserve">Privacy Criteria Related to Monitoring and Enforcement </t>
  </si>
  <si>
    <t xml:space="preserve">The entity implements a process for receiving, addressing, resolving, and communicating the resolution of inquiries, complaints, and disputes from data subjects and others and periodically monitors compliance to meet the entity’s objectives related to privacy. Corrections and other necessary actions related to identified deficiencies are made or taken in a timely manner. </t>
  </si>
  <si>
    <t>Sets the Tone at the Top—The board of directors and management, at all levels, demonstrate through their directives, actions, and behavior the importance of integrity and ethical values to support the functioning of the system of internal control.</t>
  </si>
  <si>
    <t>Establishes Standards of Conduct—The expectations of the board of directors and senior management concerning integrity and ethical values are defined in the entity’s standards of conduct and understood at all levels of the entity and by outsourced service providers and business partners.</t>
  </si>
  <si>
    <t>Evaluates Adherence to Standards of Conduct—Processes are in place to evaluate the performance of individuals and teams against the entity’s expected standards of conduct.</t>
  </si>
  <si>
    <t>Addresses Deviations in a Timely Manner—Deviations from the entity’s expected standards of conduct are identified and remedied in a timely and consistent manner.</t>
  </si>
  <si>
    <t xml:space="preserve">Considers Contractors and Vendor Employees in Demonstrating Its Commitment—Management and the board of directors consider the use of contractors and vendor employees in its processes for establishing standards of conduct, evaluating adherence to those standards, and addressing deviations in a timely manner. </t>
  </si>
  <si>
    <t>Establishes Oversight Responsibilities—The board of directors identifies and accepts its oversight responsibilities in relation to established requirements and expectations.</t>
  </si>
  <si>
    <t>Applies Relevant Expertise—The board of directors defines, maintains, and periodically evaluates the skills and expertise needed among its members to enable them to ask probing questions of senior management and take commensurate action.</t>
  </si>
  <si>
    <t>Operates Independently—The board of directors has sufficient members who are independent from management and objective in evaluations and decision making.</t>
  </si>
  <si>
    <t>Supplements Board Expertise—The board of directors supplements its expertise relevant to security, availability, processing integrity, confidentiality, and privacy, as needed, through the use of a subcommittee or consultants.</t>
  </si>
  <si>
    <t>Considers All Structures of the Entity—Management and the board of directors consider the multiple structures used (including operating units, legal entities, geographic distribution, and outsourced service providers) to support the achievement of objectives.</t>
  </si>
  <si>
    <t>Establishes Reporting Lines—Management designs and evaluates lines of reporting for each entity structure to enable execution of authorities and responsibilities and flow of information to manage the activities of the entity.</t>
  </si>
  <si>
    <t>Defines, Assigns, and Limits Authorities and Responsibilities—Management and the board of directors delegate authority, define responsibilities, and use appropriate processes and technology to assign responsibility and segregate duties as necessary at the various levels of the organization.</t>
  </si>
  <si>
    <t xml:space="preserve">Addresses Specific Requirements When Defining Authorities and Responsibilities—Management and the board of directors consider requirements relevant to security, availability, processing integrity, confidentiality, and privacy when defining authorities and responsibilities. </t>
  </si>
  <si>
    <t xml:space="preserve">Considers Interactions With External Parties When Establishing Structures, Reporting Lines, Authorities, and Responsibilities—Management and the board of directors consider the need for the entity to interact with and monitor the activities of external parties when establishing structures, reporting lines, authorities, and responsibilities. </t>
  </si>
  <si>
    <t>Establishes Policies and Practices—Policies and practices reflect expectations of competence necessary to support the achievement of objectives.</t>
  </si>
  <si>
    <t>Evaluates Competence and Addresses Shortcomings—The board of directors and management evaluate competence across the entity and in outsourced service providers in relation to established policies and practices and act as necessary to address shortcomings.</t>
  </si>
  <si>
    <t>Attracts, Develops, and Retains Individuals—The entity provides the mentoring and training needed to attract, develop, and retain sufficient and competent personnel and outsourced service providers to support the achievement of objectives.</t>
  </si>
  <si>
    <t>Plans and Prepares for Succession—Senior management and the board of directors develop contingency plans for assignments of responsibility important for internal control.</t>
  </si>
  <si>
    <t xml:space="preserve">Considers the Background of Individuals—The entity considers the background of potential and existing personnel, contractors, and vendor employees when determining whether to employ and retain the individuals. </t>
  </si>
  <si>
    <t xml:space="preserve">Considers the Technical Competency of Individuals—The entity considers the technical competency of potential and existing personnel, contractors, and vendor employees when determining whether to employ and retain the individuals. </t>
  </si>
  <si>
    <t>Provides Training to Maintain Technical Competencies— The entity provides training programs, including continuing education and training, to ensure skill sets and technical competency of existing personnel, contractors, and vendor employees are developed and maintained.</t>
  </si>
  <si>
    <t>Enforces Accountability Through Structures, Authorities, and Responsibilities—Management and the board of directors establish the mechanisms to communicate and hold individuals accountable for performance of internal control responsibilities across the entity and implement corrective action as necessary.</t>
  </si>
  <si>
    <t>Establishes Performance Measures, Incentives, and Rewards—Management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t>
  </si>
  <si>
    <t>Evaluates Performance Measures, Incentives, and Rewards for Ongoing Relevance—Management and the board of directors align incentives and rewards with the fulfillment of internal control responsibilities in the achievement of objectives.</t>
  </si>
  <si>
    <t>Considers Excessive Pressures—Management and the board of directors evaluate and adjust pressures associated with the achievement of objectives as they assign responsibilities, develop performance measures, and evaluate performance.</t>
  </si>
  <si>
    <t>Evaluates Performance and Rewards or Disciplines Individuals—Management and the board of directors evaluate performance of internal control responsibilities, including adherence to standards of conduct and expected levels of competence, and provide rewards or exercise disciplinary action, as appropriate.</t>
  </si>
  <si>
    <t>Identifies Information Requirements—A process is in place to identify the information required and expected to support the functioning of the other components of internal control and the achievement of the entity’s objectives.</t>
  </si>
  <si>
    <t>Captures Internal and External Sources of Data—Information systems capture internal and external sources of data.</t>
  </si>
  <si>
    <t>Processes Relevant Data Into Information—Information systems process and transform relevant data into information.</t>
  </si>
  <si>
    <t xml:space="preserve">Maintains Quality Throughout Processing—Information systems produce information that is timely, current, accurate, complete, accessible, protected, verifiable, and retained. Information is reviewed to assess its relevance in supporting the internal control components. </t>
  </si>
  <si>
    <t>Communicates Internal Control Information—A process is in place to communicate required information to enable all personnel to understand and carry out their internal control responsibilities.</t>
  </si>
  <si>
    <t>Communicates With the Board of Directors—Communication exists between management and the board of directors so that both have information needed to fulfill their roles with respect to the entity’s objectives.</t>
  </si>
  <si>
    <t>Provides Separate Communication Lines—Separate communication channels, such as whistle-blower hotlines, are in place and serve as fail-safe mechanisms to enable anonymous or confidential communication when normal channels are inoperative or ineffective.</t>
  </si>
  <si>
    <t>Selects Relevant Method of Communication—The method of communication considers the timing, audience, and nature of the information.</t>
  </si>
  <si>
    <t xml:space="preserve">Communicates Responsibilities—Entity personnel with responsibility for designing, developing, implementing, operating, maintaining, or monitoring system controls receive communications about their responsibilities, including changes in their responsibilities, and have the information necessary to carry out those responsibilities. </t>
  </si>
  <si>
    <t>Communicates Information on Reporting Failures, Incidents, Concerns, and Other Matters—Entity personnel are provided with information on how to report systems failures, incidents, concerns, and other complaints to personnel.</t>
  </si>
  <si>
    <t xml:space="preserve">Communicates Objectives and Changes to Objectives —The entity communicates its objectives and changes to those objectives to personnel in a timely manner. </t>
  </si>
  <si>
    <t xml:space="preserve">Communicates Information to Improve Security Knowledge and Awareness—The entity communicates information to improve security knowledge and awareness and to model appropriate security behaviors to personnel through a security awareness training program. </t>
  </si>
  <si>
    <t>Communicates Information About System Operation and Boundaries—The entity prepares and communicates information about the design and operation of the system and its boundaries to authorized personnel to enable them to understand their role in the system and the results of system operation.</t>
  </si>
  <si>
    <t xml:space="preserve">Communicates System Objectives—The entity communicates its objectives to personnel to enable them to carry out their responsibilities. </t>
  </si>
  <si>
    <t xml:space="preserve">Communicates System Changes—System changes that affect responsibilities or the achievement of the entity's objectives are communicated in a timely manner. </t>
  </si>
  <si>
    <t>Communicates to External Parties—Processes are in place to communicate relevant and timely information to external parties, including shareholders, partners, owners, regulators, customers, financial analysts, and other external parties.</t>
  </si>
  <si>
    <t>Enables Inbound Communications—Open communication channels allow input from customers, consumers, suppliers, external auditors, regulators, financial analysts, and others, providing management and the board of directors with relevant information.</t>
  </si>
  <si>
    <t>Communicates With the Board of Directors—Relevant information resulting from assessments conducted by external parties is communicated to the board of directors.</t>
  </si>
  <si>
    <t xml:space="preserve">Selects Relevant Method of Communication—The method of communication considers the timing, audience, and nature of the communication and legal, regulatory, and fiduciary requirements and expectations. </t>
  </si>
  <si>
    <t xml:space="preserve">Communicates Objectives Related to Confidentiality and Changes to Objectives— The entity communicates, to external users, vendors, business partners and others whose products and services are part of the system, objectives and changes to objectives related to confidentiality.  </t>
  </si>
  <si>
    <t xml:space="preserve">Communicates Objectives Related to Privacy and Changes to Objectives—The entity communicates, to external users, vendors, business partners and others whose products and services are part of the system, objectives related to privacy and changes to those objectives. </t>
  </si>
  <si>
    <t xml:space="preserve">Communicates Information About System Operation and Boundaries—The entity prepares and communicates information about the design and operation of the system and its boundaries to authorized external users to permit users to understand their role in the system and the results of system operation. </t>
  </si>
  <si>
    <t xml:space="preserve">Communicates System Objectives—The entity communicates its system objectives to appropriate external users. </t>
  </si>
  <si>
    <t>Communicates System Responsibilities—External users with responsibility for designing, developing, implementing, operating, maintaining, and monitoring system controls receive communications about their responsibilities and have the information necessary to carry out those responsibilities.</t>
  </si>
  <si>
    <t xml:space="preserve">Communicates Information on Reporting System Failures, Incidents, Concerns, and Other Matters—External users are provided with information on how to report systems failures, incidents, concerns, and other complaints to appropriate personnel. </t>
  </si>
  <si>
    <t xml:space="preserve">COSO Principle 6: The entity specifies objectives with sufficient clarity to enable the identification and assessment of risks relating to objectives. </t>
  </si>
  <si>
    <t>Reflects Management's Choices—Operations objectives reflect management's choices about structure, industry considerations, and performance of the entity.</t>
  </si>
  <si>
    <t>Considers Tolerances for Risk—Management considers the acceptable levels of variation relative to the achievement of operations objectives.</t>
  </si>
  <si>
    <t>Includes Operations and Financial Performance Goals—The organization reflects the desired level of operations and financial performance for the entity within operations objectives.</t>
  </si>
  <si>
    <t>Forms a Basis for Committing of Resources—Management uses operations objectives as a basis for allocating resources needed to attain desired operations and financial performance.</t>
  </si>
  <si>
    <t>Complies With Applicable Accounting Standards—Financial reporting objectives are consistent with accounting principles suitable and available for that entity. The accounting principles selected are appropriate in the circumstances.</t>
  </si>
  <si>
    <t>Considers Materiality—Management considers materiality in financial statement presentation.</t>
  </si>
  <si>
    <t>Reflects Entity Activities—External reporting reflects the underlying transactions and events to show qualitative characteristics and assertions.</t>
  </si>
  <si>
    <t>Complies With Externally Established Frameworks—Management establishes objectives consistent with laws and regulations or standards and frameworks of recognized external organizations.</t>
  </si>
  <si>
    <t>Considers the Required Level of Precision—Management reflects the required level of precision and accuracy suitable for user needs and based on criteria established by third parties in nonfinancial reporting.</t>
  </si>
  <si>
    <t>Reflects Entity Activities—External reporting reflects the underlying transactions and events within a range of acceptable limits.</t>
  </si>
  <si>
    <t>Reflects Management's Choices—Internal reporting provides management with accurate and complete information regarding management's choices and information needed in managing the entity.</t>
  </si>
  <si>
    <t>Considers the Required Level of Precision—Management reflects the required level of precision and accuracy suitable for user needs in nonfinancial reporting objectives and materiality within financial reporting objectives.</t>
  </si>
  <si>
    <t>Reflects Entity Activities—Internal reporting reflects the underlying transactions and events within a range of acceptable limits.</t>
  </si>
  <si>
    <t>Reflects External Laws and Regulations—Laws and regulations establish minimum standards of conduct, which the entity integrates into compliance objectives.</t>
  </si>
  <si>
    <t>Establishes Sub-objectives to Support Objectives—Management identifies sub-objectives related to security, availability, processing integrity, confidentiality, and privacy to support the achievement of the entity’s objectives related to reporting, operations, and compliance.</t>
  </si>
  <si>
    <t>Includes Entity, Subsidiary, Division, Operating Unit, and Functional Levels—The entity identifies and assesses risk at the entity, subsidiary, division, operating unit, and functional levels relevant to the achievement of objectives.</t>
  </si>
  <si>
    <t>Analyzes Internal and External Factors—Risk identification considers both internal and external factors and their impact on the achievement of objectives.</t>
  </si>
  <si>
    <t>Involves Appropriate Levels of Management—The entity puts into place effective risk assessment mechanisms that involve appropriate levels of management.</t>
  </si>
  <si>
    <t xml:space="preserve">Estimates Significance of Risks Identified—Identified risks are analyzed through a process that includes estimating the potential significance of the risk. </t>
  </si>
  <si>
    <t>Determines How to Respond to Risks—Risk assessment includes considering how the risk should be managed and whether to accept, avoid, reduce, or share the risk.</t>
  </si>
  <si>
    <t>Identifies and Assesses Criticality of Information Assets and Identifies Threats and Vulnerabilities—The entity's risk identification and assessment process includes (1) identifying information assets, including physical devices and systems, virtual devices, software, data and data flows, external information systems, and organizational roles; (2) assessing the criticality of those information assets; (3) identifying the threats to the assets from intentional (including malicious) and unintentional acts and environmental events; and (4) identifying the vulnerabilities of the identified assets.</t>
  </si>
  <si>
    <t xml:space="preserve">Analyzes Threats and Vulnerabilities From Vendors, Business Partners, and Other Parties—The entity's risk assessment process includes the analysis of potential threats and vulnerabilities arising from vendors providing goods and services, as well as threats and vulnerabilities arising from business partners, customers, and others with access to the entity's information systems. </t>
  </si>
  <si>
    <t>Considers the Significance of the Risk—The entity’s consideration of the potential significance of the identified risks includes (1) determining the criticality of identified assets in meeting objectives; (2) assessing the impact of identified threats and vulnerabilities in meeting objectives; (3) assessing the likelihood of identified threats; and (4) determining the risk associated with assets based on asset criticality, threat impact, and likelihood.</t>
  </si>
  <si>
    <t xml:space="preserve">COSO Principle 8: The entity considers the potential for fraud in assessing risks to the achievement of objectives. </t>
  </si>
  <si>
    <t>Considers Various Types of Fraud—The assessment of fraud considers fraudulent reporting, possible loss of assets, and corruption resulting from the various ways that fraud and misconduct can occur.</t>
  </si>
  <si>
    <t>Assesses Incentives and Pressures—The assessment of fraud risks considers incentives and pressures.</t>
  </si>
  <si>
    <t>Assesses Opportunities—The assessment of fraud risk considers opportunities for unauthorized acquisition, use, or disposal of assets, altering the entity’s reporting records, or committing other inappropriate acts.</t>
  </si>
  <si>
    <t>Assesses Attitudes and Rationalizations—The assessment of fraud risk considers how management and other personnel might engage in or justify inappropriate actions.</t>
  </si>
  <si>
    <t xml:space="preserve">Considers the Risks Related to the Use of IT and Access to Information—The assessment of fraud risks includes consideration of threats and vulnerabilities that arise specifically from the use of IT and access to information. </t>
  </si>
  <si>
    <t>Assesses Changes in the External Environment—The risk identification process considers changes to the regulatory, economic, and physical environment in which the entity operates.</t>
  </si>
  <si>
    <t>Assesses Changes in the Business Model—The entity considers the potential impacts of new business lines, dramatically altered compositions of existing business lines, acquired or divested business operations on the system of internal control, rapid growth, changing reliance on foreign geographies, and new technologies.</t>
  </si>
  <si>
    <t>Assesses Changes in Leadership—The entity considers changes in management and respective attitudes and philosophies on the system of internal control.</t>
  </si>
  <si>
    <t xml:space="preserve">Assess Changes in Systems and Technology—The risk identification process considers changes arising from changes in the entity’s systems and changes in the technology environment. </t>
  </si>
  <si>
    <t xml:space="preserve">Assess Changes in Vendor and Business Partner Relationships—The risk identification process considers changes in vendor and business partner relationships. </t>
  </si>
  <si>
    <t>Considers a Mix of Ongoing and Separate Evaluations—Management includes a balance of ongoing and separate evaluations.</t>
  </si>
  <si>
    <t>Considers Rate of Change—Management considers the rate of change in business and business processes when selecting and developing ongoing and separate evaluations.</t>
  </si>
  <si>
    <t>Establishes Baseline Understanding—The design and current state of an internal control system are used to establish a baseline for ongoing and separate evaluations.</t>
  </si>
  <si>
    <t>Uses Knowledgeable Personnel—Evaluators performing ongoing and separate evaluations have sufficient knowledge to understand what is being evaluated.</t>
  </si>
  <si>
    <t>Integrates With Business Processes—Ongoing evaluations are built into the business processes and adjust to changing conditions.</t>
  </si>
  <si>
    <t>Adjusts Scope and Frequency—Management varies the scope and frequency of separate evaluations depending on risk.</t>
  </si>
  <si>
    <t>Objectively Evaluates—Separate evaluations are performed periodically to provide objective feedback.</t>
  </si>
  <si>
    <t xml:space="preserve">Considers Different Types of Ongoing and Separate Evaluations—Management uses a variety of different types of ongoing and separate evaluations, including penetration testing, independent certification made against established specifications (for example, ISO certifications), and internal audit assessments.  </t>
  </si>
  <si>
    <t>Assesses Results—Management and the board of directors, as appropriate, assess results of ongoing and separate evaluations.</t>
  </si>
  <si>
    <t>Communicates Deficiencies—Deficiencies are communicated to parties responsible for taking corrective action and to senior management and the board of directors, as appropriate.</t>
  </si>
  <si>
    <t>Monitors Corrective Action—Management tracks whether deficiencies are remedied on a timely basis.</t>
  </si>
  <si>
    <t xml:space="preserve">Integrates With Risk Assessment—Control activities help ensure that risk responses that address and mitigate risks are carried out.  </t>
  </si>
  <si>
    <t>Considers Entity-Specific Factors—Management considers how the environment, complexity, nature, and scope of its operations, as well as the specific characteristics of its organization, affect the selection and development of control activities.</t>
  </si>
  <si>
    <t>Determines Relevant Business Processes—Management determines which relevant business processes require control activities.</t>
  </si>
  <si>
    <t>Evaluates a Mix of Control Activity Types—Control activities include a range and variety of controls and may include a balance of approaches to mitigate risks, considering both manual and automated controls, and preventive and detective controls.</t>
  </si>
  <si>
    <t>Considers at What Level Activities Are Applied—Management considers control activities at various levels in the entity.</t>
  </si>
  <si>
    <t>Addresses Segregation of Duties—Management segregates incompatible duties, and where such segregation is not practical, management selects and develops alternative control activities.</t>
  </si>
  <si>
    <t>Determines Dependency Between the Use of Technology in Business Processes and Technology General Controls—Management understands and determines the dependency and linkage between business processes, automated control activities, and technology general controls.</t>
  </si>
  <si>
    <t>Establishes Relevant Technology Infrastructure Control Activities—Management selects and develops control activities over the technology infrastructure, which are designed and implemented to help ensure the completeness, accuracy, and availability of technology processing.</t>
  </si>
  <si>
    <t>Establishes Relevant Security Management Process Controls Activities—Management selects and develops control activities that are designed and implemented to restrict technology access rights to authorized users commensurate with their job responsibilities and to protect the entity’s assets from external threats.</t>
  </si>
  <si>
    <t>Establishes Relevant Technology Acquisition, Development, and Maintenance Process Control Activities—Management selects and develops control activities over the acquisition, development, and maintenance of technology and its infrastructure to achieve management’s objectives.</t>
  </si>
  <si>
    <t>Establishes Policies and Procedures to Support Deployment of Management ‘s Directives—Management establishes control activities that are built into business processes and employees’ day-to-day activities through policies establishing what is expected and relevant procedures specifying actions.</t>
  </si>
  <si>
    <t>Establishes Responsibility and Accountability for Executing Policies and Procedures—Management establishes responsibility and accountability for control activities with management (or other designated personnel) of the business unit or function in which the relevant risks reside.</t>
  </si>
  <si>
    <t>Performs in a Timely Manner—Responsible personnel perform control activities in a timely manner as defined by the policies and procedures.</t>
  </si>
  <si>
    <t>Takes Corrective Action—Responsible personnel investigate and act on matters identified as a result of executing control activities.</t>
  </si>
  <si>
    <t>Performs Using Competent Personnel—Competent personnel with sufficient authority perform control activities with diligence and continuing focus.</t>
  </si>
  <si>
    <t>Reassesses Policies and Procedures—Management periodically reviews control activities to determine their continued relevance and refreshes them when necessary.</t>
  </si>
  <si>
    <t xml:space="preserve">Identifies and Manages the Inventory of Information Assets—The entity identifies, inventories, classifies, and manages information assets.  </t>
  </si>
  <si>
    <t xml:space="preserve">Restricts  Logical Access—Logical access to information assets, including hardware, data (at-rest, during processing, or in transmission), software, administrative authorities, mobile devices, output, and offline system components is restricted through the use of access control software and rule sets. </t>
  </si>
  <si>
    <t xml:space="preserve">Identifies and Authenticates Users—Persons, infrastructure and software are identified and authenticated prior to accessing information assets, whether locally or remotely. </t>
  </si>
  <si>
    <t xml:space="preserve">Considers Network Segmentation—Network segmentation permits unrelated portions of the entity's information system to be isolated from each other. </t>
  </si>
  <si>
    <t xml:space="preserve">Manages Points of Access—Points of access by outside entities and the types of data that flow through the points of access are identified, inventoried, and managed. The types of individuals and systems using each point of access are identified, documented, and managed. </t>
  </si>
  <si>
    <t xml:space="preserve">Restricts Access to Information Assets—Combinations of data classification, separate data structures, port restrictions, access protocol restrictions, user identification, and digital certificates are used to establish access control rules for information assets.  </t>
  </si>
  <si>
    <t>Manages Identification and Authentication—Identification and authentication requirements are established, documented, and managed for individuals and systems accessing entity information, infrastructure and software.</t>
  </si>
  <si>
    <t xml:space="preserve">Manages Credentials for Infrastructure and Software—New internal and external infrastructure and software  are registered, authorized, and documented prior to being granted access credentials and implemented on the network or access point. Credentials are removed and access is disabled when access is no longer required or the infrastructure and software are no longer in use. </t>
  </si>
  <si>
    <t>Uses Encryption to Protect Data—The entity uses encryption to supplement other measures used to protect data-at-rest, when such protections are deemed appropriate based on assessed risk.</t>
  </si>
  <si>
    <t>Protects Encryption Keys—Processes are in place to protect encryption keys during generation, storage, use, and destruction.</t>
  </si>
  <si>
    <t>Controls Access Credentials to Protected Assets—Information asset access credentials are created based on an authorization from the system's asset owner or authorized custodian.</t>
  </si>
  <si>
    <t>Removes Access to Protected Assets When Appropriate—Processes are in place to remove credential access when an individual no longer requires such access.</t>
  </si>
  <si>
    <t xml:space="preserve">Reviews Appropriateness of Access Credentials—The appropriateness of access credentials is reviewed on a periodic basis for unnecessary and inappropriate individuals with credentials. </t>
  </si>
  <si>
    <t>Creates or Modifies Access to Protected Information Assets—Processes are in place to create or modify access to protected information assets based on authorization  from the asset’s owner.</t>
  </si>
  <si>
    <t>Removes Access to Protected Information Assets—Processes are in place to remove access to protected information assets when an individual no longer requires access.</t>
  </si>
  <si>
    <t>Uses Role-Based Access Controls—Role-based access control is utilized to support segregation of incompatible functions.</t>
  </si>
  <si>
    <t>Creates or Modifies Physical Access—Processes are in place to create or modify physical access to facilities such as data centers, office spaces, and work areas, based on authorization from the system's asset owner.</t>
  </si>
  <si>
    <t>Removes Physical Access—Processes are in place to remove access to physical resources when an individual no longer requires access.</t>
  </si>
  <si>
    <t>Reviews Physical Access—Processes are in place to periodically review physical access to ensure consistency with job responsibilities.</t>
  </si>
  <si>
    <t>Identifies Data and Software for Disposal—Procedures are in place to identify data and software stored on equipment to be disposed and to render such data and software unreadable.</t>
  </si>
  <si>
    <t>Removes Data and Software From Entity Control—Procedures are in place to remove data and software stored on equipment to be removed from the physical control of the entity and to render such data and software unreadable.</t>
  </si>
  <si>
    <t xml:space="preserve">Restricts Access—The types of activities that can occur through a communication channel (for example, FTP site, router port) are restricted. </t>
  </si>
  <si>
    <t>Protects Identification and Authentication Credentials—Identification and authentication credentials are protected during transmission outside its system boundaries.</t>
  </si>
  <si>
    <t>Requires Additional Authentication or Credentials—Additional authentication information or credentials are required when accessing the system from outside its boundaries.</t>
  </si>
  <si>
    <t>Implements Boundary Protection Systems—Boundary protection systems (for example, firewalls, demilitarized zones, and intrusion detection systems) are implemented to protect external access points from attempts and unauthorized access and are monitored to detect such attempts.</t>
  </si>
  <si>
    <t>Restricts the Ability to Perform Transmission—Data loss prevention processes and technologies are used to restrict ability to authorize and execute transmission, movement and removal of information.</t>
  </si>
  <si>
    <t>Uses Encryption Technologies or Secure Communication Channels to Protect Data—Encryption technologies or secured communication channels are used to protect transmission of data and other communications beyond connectivity access points.</t>
  </si>
  <si>
    <t>Protects Removal Media—Encryption technologies and physical asset protections are used for removable media (such as USB drives and back-up tapes), as appropriate.</t>
  </si>
  <si>
    <t>Protects Mobile Devices—Processes are in place to protect mobile devices (such as laptops, smart phones and tablets) that serve as information assets.</t>
  </si>
  <si>
    <t>Restricts Application and Software Installation—The ability to install applications and software is restricted to authorized individuals.</t>
  </si>
  <si>
    <t>Detects Unauthorized Changes to Software and Configuration Parameters—Processes are in place to detect changes to software and configuration parameters that may be indicative of unauthorized or malicious software.</t>
  </si>
  <si>
    <t xml:space="preserve">Uses a Defined Change Control Process—A management-defined change control process is used for the implementation of software. </t>
  </si>
  <si>
    <t>Uses Antivirus and Anti-Malware Software—Antivirus and anti-malware software is implemented and maintained to provide for the interception or detection and remediation of malware.</t>
  </si>
  <si>
    <t xml:space="preserve">Scans Information Assets from Outside the Entity for Malware and Other Unauthorized Software—Procedures are in place to scan information assets that have been transferred or returned to the entity’s custody for malware and other unauthorized software and to remove any items detected prior to its implementation on the network. </t>
  </si>
  <si>
    <t xml:space="preserve">Uses Defined Configuration Standards—Management has defined configuration standards. </t>
  </si>
  <si>
    <t xml:space="preserve">Monitors Infrastructure and Software—The entity monitors infrastructure and software for noncompliance with the standards, which could threaten the achievement of the entity's objectives.  </t>
  </si>
  <si>
    <t xml:space="preserve">Implements Change-Detection Mechanisms—The IT system includes a change-detection mechanism (for example, file integrity monitoring tools) to alert personnel to unauthorized modifications of critical system files, configuration files, or content files. </t>
  </si>
  <si>
    <t xml:space="preserve">Detects Unknown or Unauthorized Components—Procedures are in place to detect the introduction of unknown or unauthorized components.  </t>
  </si>
  <si>
    <t>Conducts Vulnerability Scans—The entity conducts vulnerability scans designed to identify potential vulnerabilities or misconfigurations on a periodic basis and after any significant change in the environment and takes action to remediate identified deficiencies on a timely basis.</t>
  </si>
  <si>
    <t xml:space="preserve">Implements Detection Policies, Procedures, and Tools—Detection policies and procedures are defined and implemented, and detection tools are implemented on Infrastructure and software to identify anomalies in the operation or unusual activity on systems. Procedures may include (1) a defined governance process for security event detection and management that includes provision of resources; (2) use of intelligence sources to identify newly discovered threats and vulnerabilities; and (3) logging of unusual system activities. </t>
  </si>
  <si>
    <t xml:space="preserve">Designs Detection Measures—Detection measures are designed to identify anomalies that could result from actual or attempted (1) compromise of physical barriers; (2) unauthorized actions of authorized personnel; (3) use of compromised identification and authentication credentials; (4) unauthorized access from outside the system boundaries; (5) compromise of authorized external parties; and (6) implementation or connection of unauthorized hardware and software. </t>
  </si>
  <si>
    <t>Implements Filters to Analyze Anomalies—Management has implemented procedures to filter, summarize, and analyze anomalies to identify security events.</t>
  </si>
  <si>
    <t>Monitors Detection Tools for Effective Operation—Management has implemented processes to monitor the effectiveness of detection tools.</t>
  </si>
  <si>
    <t xml:space="preserve">Responds to Security Incidents—Procedures are in place for responding to security incidents and evaluating the effectiveness of those policies and procedures on a periodic basis. </t>
  </si>
  <si>
    <t>Communicates and Reviews Detected Security Events—Detected security events are communicated to and reviewed by the individuals responsible for the management of the security program and actions are taken, if necessary.</t>
  </si>
  <si>
    <t>Develops and Implements Procedures to Analyze Security Incidents—Procedures are in place to analyze security incidents and determine system impact.</t>
  </si>
  <si>
    <t xml:space="preserve">Assesses the Impact on Personal Information—Detected security events are evaluated to determine whether they could or did result in the unauthorized disclosure or use of personal information and whether there has been a failure to comply with applicable laws or regulations. </t>
  </si>
  <si>
    <t xml:space="preserve">Determines Personal Information Used or Disclosed—When an unauthorized use or disclosure of personal information has occurred, the affected information is identified.  </t>
  </si>
  <si>
    <t>Assigns Roles and Responsibilities—Roles and responsibilities for the design, implementation, maintenance, and execution of the incident response program are assigned, including the use of external resources when necessary.</t>
  </si>
  <si>
    <t xml:space="preserve">Contains Security Incidents—Procedures are in place to contain security incidents that actively threaten entity objectives. </t>
  </si>
  <si>
    <t>Mitigates Ongoing Security Incidents—Procedures are in place to mitigate the effects of ongoing security incidents.</t>
  </si>
  <si>
    <t xml:space="preserve">Ends Threats Posed by Security Incidents—Procedures are in place to end the threats posed by security incidents through closure of the vulnerability, removal of unauthorized access, and other remediation actions. </t>
  </si>
  <si>
    <t xml:space="preserve">Develops and Implements Communication Protocols for Security Incidents—Protocols for communicating security incidents and actions taken to affected parties are developed and implemented to meet the entity's objectives. </t>
  </si>
  <si>
    <t xml:space="preserve">Obtains Understanding of Nature of Incident and Determines Containment Strategy—An understanding of the nature (for example, the method by which the incident occurred and the affected system resources) and severity of the security incident is obtained to determine the appropriate containment strategy, including (1) a determination of the appropriate response time frame, and (2) the determination and execution of the containment approach. </t>
  </si>
  <si>
    <t xml:space="preserve">Remediates Identified Vulnerabilities—Identified vulnerabilities are remediated through the development and execution of remediation activities.  </t>
  </si>
  <si>
    <t xml:space="preserve">Communicates Remediation Activities—Remediation activities are documented and communicated in accordance with the incident response program. </t>
  </si>
  <si>
    <t xml:space="preserve">Evaluates the Effectiveness of Incident Response—The design of incident response activities is evaluated for effectiveness on a periodic basis.  </t>
  </si>
  <si>
    <t>Periodically Evaluates Incidents—Periodically, management reviews incidents related to security, availability, processing integrity, confidentiality, and privacy and identifies the need for system changes based on incident patterns and root causes.</t>
  </si>
  <si>
    <t xml:space="preserve">Communicates Unauthorized Use and Disclosure—Events that resulted in unauthorized use or disclosure of personal information are communicated to the data subjects, legal and regulatory authorities, and others as required.  </t>
  </si>
  <si>
    <t xml:space="preserve">Application of Sanctions—The conduct of individuals and organizations operating under the authority of the entity and involved in the unauthorized use or disclosure of personal information is evaluated and, if appropriate, sanctioned in accordance with entity policies and legal and regulatory requirements.  </t>
  </si>
  <si>
    <t xml:space="preserve">Restores the Affected Environment—The activities restore the affected environment to functional operation by rebuilding systems, updating software, installing patches, and changing configurations, as needed. </t>
  </si>
  <si>
    <t xml:space="preserve">Communicates Information About the Event—Communications about the nature of the incident, recovery actions taken, and activities required for the prevention of future security events are made to management and others as appropriate (internal and external).   </t>
  </si>
  <si>
    <t xml:space="preserve">Determines Root Cause of the Event—The root cause of the event is determined. </t>
  </si>
  <si>
    <t xml:space="preserve">Implements Changes to Prevent and Detect Recurrences—Additional architecture or changes to preventive and detective controls, or both, are implemented to prevent and detect recurrences on a timely basis.  </t>
  </si>
  <si>
    <t xml:space="preserve">Improves Response and Recovery Procedures—Lessons learned are analyzed, and the incident response plan and recovery procedures are improved. </t>
  </si>
  <si>
    <t>Implements Incident Recovery Plan Testing—Incident recovery plan testing is performed on a periodic basis. The testing includes (1) development of testing scenarios based on threat likelihood and magnitude; (2) consideration of relevant system components from across the entity that can impair availability; (3) scenarios that consider the potential for the lack of availability of key personnel; and (4) revision of continuity plans and systems based on test results.</t>
  </si>
  <si>
    <t xml:space="preserve">The entity authorizes, designs, develops or acquires, configures, documents, tests, approves, and implements changes to infrastructure, data, software, and procedures to meet its objectives.  </t>
  </si>
  <si>
    <t xml:space="preserve">Manages Changes Throughout the System Lifecycle—A process for managing system changes throughout the lifecycle of the system and its components (infrastructure, data, software and procedures) is used to support system availability and processing integrity. </t>
  </si>
  <si>
    <t>Authorizes Changes—A process is in place to authorize system changes prior to development.</t>
  </si>
  <si>
    <t>Designs and Develops Changes—A process is in place to design and develop system changes.</t>
  </si>
  <si>
    <t xml:space="preserve">Documents Changes—A process is in place to document system changes to support ongoing maintenance of the system and to support system users in performing their responsibilities. </t>
  </si>
  <si>
    <t xml:space="preserve">Tracks System Changes—A process is in place to track system changes prior to implementation. </t>
  </si>
  <si>
    <t xml:space="preserve">Configures Software—A process is in place to select and implement the configuration parameters used to control the functionality of software. </t>
  </si>
  <si>
    <t xml:space="preserve">Tests System Changes—A process is in place to test system changes prior to implementation. </t>
  </si>
  <si>
    <t xml:space="preserve">Approves System Changes—A process is in place to approve system changes prior to implementation.  </t>
  </si>
  <si>
    <t>Deploys System Changes—A process is in place to implement system changes.</t>
  </si>
  <si>
    <t>Identifies and Evaluates System Changes—Objectives affected by system changes are identified, and the ability of the modified system to meet the objectives is evaluated throughout the system development life cycle.</t>
  </si>
  <si>
    <t xml:space="preserve">Identifies Changes in Infrastructure, Data, Software, and Procedures Required to Remediate Incidents—Changes in infrastructure, data, software, and procedures required to remediate incidents to continue to meet objectives are identified, and the change process is initiated upon identification. </t>
  </si>
  <si>
    <t>Creates Baseline Configuration of IT Technology—A baseline configuration of IT and control systems is created and maintained.</t>
  </si>
  <si>
    <t xml:space="preserve">Provides for Changes Necessary in Emergency Situations —A process is in place for authorizing, designing, testing, approving and implementing changes necessary in emergency situations (that is, changes that need to be implemented in an urgent timeframe). </t>
  </si>
  <si>
    <t xml:space="preserve">Protects Confidential Information—The entity protects confidential information during system design, development, testing, implementation, and change processes to meet the entity’s objectives related to confidentiality.  </t>
  </si>
  <si>
    <t xml:space="preserve">Protects Personal Information—The entity protects personal information during system design, development, testing, implementation, and change processes to meet the entity’s objectives related to privacy.  </t>
  </si>
  <si>
    <t xml:space="preserve">Considers Mitigation of Risks of Business Disruption—Risk mitigation activities include the development of planned policies, procedures, communications, and alternative processing solutions to respond to, mitigate, and recover from security events that disrupt business operations. Those policies and procedures include monitoring processes and information and communications to meet the entity's objectives during response, mitigation, and recovery efforts.  </t>
  </si>
  <si>
    <t>Considers the Use of Insurance to Mitigate Financial Impact Risks—The risk management activities consider the use of insurance to offset the financial impact of loss events that would otherwise impair the ability of the entity to meet its objectives.</t>
  </si>
  <si>
    <t xml:space="preserve">Establishes Requirements for Vendor and Business Partner Engagements—The entity establishes specific requirements for a vendor and business partner engagement that includes (1) scope of services and product specifications, (2) roles and responsibilities, (3) compliance requirements, and (4) service levels. </t>
  </si>
  <si>
    <t xml:space="preserve">Assesses Vendor and Business Partner Risks—The entity assesses, on a periodic basis, the risks that vendors and business partners (and those entities’ vendors and business partners) represent to the achievement of the entity's objectives.  </t>
  </si>
  <si>
    <t xml:space="preserve">Assigns Responsibility and Accountability for Managing Vendors and Business Partners—The entity assigns responsibility and accountability for the management of risks associated with vendors and business partners. </t>
  </si>
  <si>
    <t xml:space="preserve">Establishes Communication Protocols for Vendors and Business Partners—The entity establishes communication and resolution protocols for service or product issues related to vendors and business partners.  </t>
  </si>
  <si>
    <t xml:space="preserve">Establishes Exception Handling Procedures From Vendors and Business Partners —The entity establishes exception handling procedures for service or product issues related to vendors and business partners. </t>
  </si>
  <si>
    <t xml:space="preserve">Assesses Vendor and Business Partner Performance—The entity periodically assesses the performance of vendors and business partners. </t>
  </si>
  <si>
    <t xml:space="preserve">Implements Procedures for Addressing Issues Identified During Vendor and Business Partner Assessments—The entity implements procedures for addressing issues identified with vendor and business partner relationships.   </t>
  </si>
  <si>
    <t>Implements Procedures for Terminating Vendor and Business Partner Relationships — The entity implements procedures for terminating vendor and business partner relationships.</t>
  </si>
  <si>
    <t xml:space="preserve">Obtains Confidentiality Commitments from Vendors and Business Partners—The entity obtains confidentiality commitments that are consistent with the entity’s confidentiality commitments and requirements from vendors and business partners who have access to confidential information. </t>
  </si>
  <si>
    <t xml:space="preserve">Assesses Compliance With Confidentiality Commitments of Vendors and Business Partners — On a periodic and as-needed basis, the entity assesses compliance by vendors and business partners with the entity’s confidentiality commitments and requirements. </t>
  </si>
  <si>
    <t xml:space="preserve">Obtains Privacy Commitments from Vendors and Business Partners—The entity obtains privacy commitments, consistent with the entity’s privacy commitments and requirements, from vendors and business partners who have access to personal information. </t>
  </si>
  <si>
    <t>Assesses Compliance with Privacy Commitments of Vendors and Business Partners— On a periodic and as-needed basis, the entity assesses compliance by vendors and business partners with the entity’s privacy commitments and requirements and takes corrective action as necessary.</t>
  </si>
  <si>
    <t xml:space="preserve">Measures Current Usage—The use of the system components is measured to establish a baseline for capacity management and to use when evaluating the risk of impaired availability due to capacity constraints. </t>
  </si>
  <si>
    <t xml:space="preserve">Forecasts Capacity—The expected average and peak use of system components is forecasted and compared to system capacity and associated tolerances. Forecasting considers capacity in the event of the failure of system components that constrain capacity. </t>
  </si>
  <si>
    <t xml:space="preserve">Makes Changes Based on Forecasts—The system change management process is initiated when forecasted usage exceeds capacity tolerances. </t>
  </si>
  <si>
    <t xml:space="preserve">Identifies Environmental Threats—As part of the risk assessment process, management identifies environmental threats that could impair the availability of the system, including threats resulting from adverse weather, failure of environmental control systems, electrical discharge, fire, and water.  </t>
  </si>
  <si>
    <t xml:space="preserve">Designs Detection Measures—Detection measures are implemented to identify anomalies that could result from environmental threat events. </t>
  </si>
  <si>
    <t xml:space="preserve">Implements and Maintains Environmental Protection Mechanisms— Management implements and maintains environmental protection mechanisms to prevent and mitigate against environmental events.  </t>
  </si>
  <si>
    <t>Implements Alerts to Analyze Anomalies—Management implements alerts that are communicated to personnel for analysis to identify environmental threat events.</t>
  </si>
  <si>
    <t>Responds to Environmental Threat Events—Procedures are in place for responding to environmental threat events and for evaluating the effectiveness of those policies and procedures on a periodic basis. This includes automatic mitigation systems (for example, uninterruptable power system and generator back-up subsystem).</t>
  </si>
  <si>
    <t>Communicates and Reviews Detected Environmental Threat Events—Detected environmental threat events are communicated to and reviewed by the individuals responsible for the management of the system, and actions are taken, if necessary.</t>
  </si>
  <si>
    <t xml:space="preserve">Determines Data Requiring Backup—Data is evaluated to determine whether backup is required. </t>
  </si>
  <si>
    <t xml:space="preserve">Performs Data Backup—Procedures are in place for backing up data, monitoring to detect back-up failures, and initiating corrective action when such failures occur. </t>
  </si>
  <si>
    <t xml:space="preserve">Addresses Offsite Storage—Back-up data is stored in a location at a distance from its principal storage location sufficient that the likelihood of a security or environmental threat event affecting both sets of data is reduced to an appropriate level.  </t>
  </si>
  <si>
    <t xml:space="preserve">Implements Alternate Processing Infrastructure—Measures are implemented for migrating processing to alternate infrastructure in the event normal processing infrastructure becomes unavailable.  </t>
  </si>
  <si>
    <t>Implements Business Continuity Plan Testing—Business continuity plan testing is performed on a periodic basis. The testing includes (1) development of testing scenarios based on threat likelihood and magnitude; (2) consideration of system components from across the entity that can impair the availability; (3) scenarios that consider the potential for the lack of availability of key personnel; and (4) revision of continuity plans and systems based on test results.</t>
  </si>
  <si>
    <t xml:space="preserve">Tests Integrity and Completeness of Back-Up Data—The integrity and completeness of back-up information is tested on a periodic basis. </t>
  </si>
  <si>
    <t>Identifies Confidential information—Procedures are in place to identify and designate confidential information when it is received or created and to determine the period over which the confidential information is to be retained.</t>
  </si>
  <si>
    <t xml:space="preserve">Protects Confidential Information from Destruction—Procedures are in place to protect confidential information from erasure or destruction during the specified retention period of the information. </t>
  </si>
  <si>
    <t xml:space="preserve">Identifies Confidential Information for Destruction—Procedures are in place to identify confidential information requiring destruction when the end of the retention period is reached. </t>
  </si>
  <si>
    <t>Destroys Confidential Information—Procedures are in place to erase or otherwise destroy confidential information that has been identified for destruction.</t>
  </si>
  <si>
    <t xml:space="preserve">Identifies Information Specifications—The entity identifies information specifications required to support the use of products and services.  </t>
  </si>
  <si>
    <t>Defines Data Necessary to Support a Product or Service—When data is provided as part of a service or product or as part of a reporting obligation related to a product or service:</t>
  </si>
  <si>
    <t>Defines Characteristics of Processing Inputs—The characteristics of processing inputs that are necessary to meet requirements are defined.</t>
  </si>
  <si>
    <t>Evaluates Processing Inputs—Processing inputs are evaluated for compliance with defined input requirements.</t>
  </si>
  <si>
    <t>Creates and Maintains Records of System Inputs—Records of system input activities are created and maintained completely and accurately in a timely manner.</t>
  </si>
  <si>
    <t>Defines Processing Specifications—The processing specifications that are necessary to meet product or service requirements are defined.</t>
  </si>
  <si>
    <t>Defines Processing Activities—Processing activities are defined to result in products or services that meet specifications.</t>
  </si>
  <si>
    <t xml:space="preserve">Detects and Corrects Production Errors—Errors in the production process are detected and corrected in a timely manner. </t>
  </si>
  <si>
    <t>Records System Processing Activities—System processing activities are recorded completely and accurately in a timely manner.</t>
  </si>
  <si>
    <t xml:space="preserve">Processes Inputs—Inputs are processed completely, accurately, and timely as authorized in accordance with defined processing activities. </t>
  </si>
  <si>
    <t xml:space="preserve">Protects Output—Output is protected when stored or delivered, or both, to prevent theft, destruction, corruption, or deterioration that would prevent output from meeting specifications. </t>
  </si>
  <si>
    <t>Distributes Output Only to Intended Parties—Output is distributed or made available only to intended parties.</t>
  </si>
  <si>
    <t xml:space="preserve">Distributes Output Completely and Accurately—Procedures are in place to provide for the completeness, accuracy, and timeliness of distributed output. </t>
  </si>
  <si>
    <t>Creates and Maintains Records of System Output Activities—Records of system output activities are created and maintained completely and accurately in a timely manner.</t>
  </si>
  <si>
    <t>Protects Stored Items—Stored items are protected to prevent theft, corruption, destruction, or deterioration that would prevent output from meeting specifications.</t>
  </si>
  <si>
    <t xml:space="preserve">Archives and Protects System Records—System records are archived, and archives are protected against theft, corruption, destruction, or deterioration that would prevent them from being used. </t>
  </si>
  <si>
    <t xml:space="preserve">Stores Data Completely and Accurately—Procedures are in place to provide for the complete, accurate, and timely storage of data. </t>
  </si>
  <si>
    <t>Creates and Maintains Records of System Storage Activities—Records of system storage activities are created and maintained completely and accurately in a timely manner.</t>
  </si>
  <si>
    <t>Communicates to Data Subjects—Notice is provided to data subjects regarding the following:</t>
  </si>
  <si>
    <t>—    Monitoring and enforcement</t>
  </si>
  <si>
    <t>Provides Notice to Data Subjects—Notice is provided to data subjects (1) at or before the time personal information is collected or as soon as practical thereafter, (2) at or before the entity changes its privacy notice or as soon as practical thereafter, or (3) before personal information is used for new purposes not previously identified.</t>
  </si>
  <si>
    <t>Covers Entities and Activities in Notice —An objective description of the entities and activities covered is included in the entity’s privacy notice.</t>
  </si>
  <si>
    <t>Uses Clear and Conspicuous Language—The entity’s privacy notice is conspicuous and uses clear language.</t>
  </si>
  <si>
    <t>Communicates to Data Subjects—Data subjects are informed (a) about the choices available to them with respect to the collection, use, and disclosure of personal information and (b) that implicit or explicit consent is required to collect, use, and disclose personal information, unless a law or regulation specifically requires or allows otherwise.</t>
  </si>
  <si>
    <t>Communicates Consequences of Denying or Withdrawing Consent—When personal information is collected, data subjects are informed of the consequences of refusing to provide personal information or denying or withdrawing consent to use personal information for purposes identified in the notice.</t>
  </si>
  <si>
    <t>Obtains Implicit or Explicit Consent—Implicit or explicit consent is obtained from data subjects at or before the time personal information is collected or soon thereafter. The individual’s preferences expressed in his or her consent are confirmed and implemented.</t>
  </si>
  <si>
    <t>Documents and Obtains Consent for New Purposes and Uses—If information that was previously collected is to be used for purposes not previously identified in the privacy notice, the new purpose is documented, the data subject is notified, and implicit or explicit consent is obtained prior to such new use or purpose.</t>
  </si>
  <si>
    <t>Obtains Explicit Consent for Sensitive Information—Explicit consent is obtained directly from the data subject when sensitive personal information is collected, used, or disclosed, unless a law or regulation specifically requires otherwise.</t>
  </si>
  <si>
    <t xml:space="preserve">Obtains Consent for Data Transfers—Consent is obtained before personal information is transferred to or from an individual’s computer or other similar device. </t>
  </si>
  <si>
    <t>Limits the Collection of Personal Information—The collection of personal information is limited to that necessary to meet the entity’s objectives.</t>
  </si>
  <si>
    <t>Collects Information by Fair and Lawful Means—Methods of collecting personal information are reviewed by management before they are implemented to confirm that personal information is obtained (a) fairly, without intimidation or deception, and (b) lawfully, adhering to all relevant rules of law, whether derived from statute or common law, relating to the collection of personal information.</t>
  </si>
  <si>
    <t>Collects Information From Reliable Sources—Management confirms that third parties from whom personal information is collected (that is, sources other than the individual) are reliable sources that collect information fairly and lawfully.</t>
  </si>
  <si>
    <t xml:space="preserve">Informs Data Subjects When Additional Information Is Acquired—Data subjects are informed if the entity develops or acquires additional information about them for its use. </t>
  </si>
  <si>
    <t xml:space="preserve">Documents Explicit Consent to Retain Information–Documentation of explicit consent for the collection, use, or disclosure of sensitive personal information is retained in accordance with objectives related to privacy. </t>
  </si>
  <si>
    <t>Uses Personal Information for Intended Purposes—Personal information is used only for the intended purposes for which it was collected and only when implicit or explicit consent has been obtained unless a law or regulation specifically requires otherwise.</t>
  </si>
  <si>
    <t>Retains Personal Information—Personal information is retained for no longer than necessary to fulfill the stated purposes, unless a law or regulation specifically requires otherwise.</t>
  </si>
  <si>
    <t xml:space="preserve">Protects Personal Information—Policies and procedures have been implemented to protect personal information from erasure or destruction during the specified retention period of the information. </t>
  </si>
  <si>
    <t xml:space="preserve">Captures, Identifies, and Flags Requests for Deletion—Requests for deletion of personal information are captured, and information related to the requests is identified and flagged for destruction to meet the entity’s objectives related to privacy. </t>
  </si>
  <si>
    <t>Disposes of, Destroys, and Redacts Personal Information—Personal information no longer retained is anonymized, disposed of, or destroyed in a manner that prevents loss, theft, misuse, or unauthorized access.</t>
  </si>
  <si>
    <t>Destroys Personal Information—Policies and procedures are implemented to erase or otherwise destroy personal information that has been identified for destruction.</t>
  </si>
  <si>
    <t>·       Authenticates Data Subjects’ Identity—The identity of data subjects who request access to their personal information is authenticated before they are given access to that information.</t>
  </si>
  <si>
    <t>Permits Data Subjects Access to Their Personal Information—Data subjects are able to determine whether the entity maintains personal information about them and, upon request, may obtain access to their personal information.</t>
  </si>
  <si>
    <t>Provides Understandable Personal Information Within Reasonable Time—Personal information is provided to data subjects in an understandable form, in a reasonable time frame, and at a reasonable cost, if any.</t>
  </si>
  <si>
    <t>·       Informs Data Subjects If Access Is Denied—When data subjects are denied access to their personal information, the entity informs them of the denial and the reason for the denial in a timely manner, unless prohibited by law or regulation.</t>
  </si>
  <si>
    <t xml:space="preserve">Communicates Denial of Access Requests—Data subjects are informed, in writing, of the reason a request for access to their personal information was denied, the source of the entity’s legal right to deny such access, if applicable, and the individual’s right, if any, to challenge such denial, as specifically permitted or required by law or regulation. </t>
  </si>
  <si>
    <t>Permits Data Subjects to Update or Correct Personal Information—Data subjects are able to update or correct personal information held by the entity. The entity provides such updated or corrected information to third parties that were previously provided with the data subject’s personal information consistent with the entity’s objective related to privacy.</t>
  </si>
  <si>
    <t>Communicates Denial of Correction Requests—Data subjects are informed, in writing, about the reason a request for correction of personal information was denied and how they may appeal.</t>
  </si>
  <si>
    <t>Communicates Privacy Policies to Third Parties—Privacy policies or other specific instructions or requirements for handling personal information are communicated to third parties to whom personal information is disclosed.</t>
  </si>
  <si>
    <t>Discloses Personal Information Only When Appropriate—Personal information is disclosed to third parties only for the purposes for which it was collected or created and only when implicit or explicit consent has been obtained from the data subject, unless a law or regulation specifically requires otherwise.</t>
  </si>
  <si>
    <t>Discloses Personal Information Only to Appropriate Third Parties—Personal information is disclosed only to third parties who have agreements with the entity to protect personal information in a manner consistent with the relevant aspects of the entity’s privacy notice or other specific instructions or requirements. The entity has procedures in place to evaluate that the third parties have effective controls to meet the terms of the agreement, instructions, or requirements.</t>
  </si>
  <si>
    <t>Discloses Information to Third Parties for New Purposes and Uses—Personal information is disclosed to third parties for new purposes or uses only with the prior implicit or explicit consent of data subjects.</t>
  </si>
  <si>
    <t xml:space="preserve">Creates and Retains Record of Authorized Disclosures—The entity creates and maintains a record of authorized disclosures of personal information that is complete, accurate, and timely. </t>
  </si>
  <si>
    <t>Creates and Retains Record of Detected or Reported Unauthorized Disclosures—The entity creates and maintains a record of detected or reported unauthorized disclosures of personal information that is complete, accurate, and timely.</t>
  </si>
  <si>
    <t>·       Remediates Misuse of Personal Information by a Third Party —The entity takes remedial action in response to misuse of personal information by a third party to whom the entity has transferred such information.</t>
  </si>
  <si>
    <t>Remediates Misuse of Personal Information by a Third Party—The entity takes remedial action in response to misuse of personal information by a third party to whom the entity has transferred such information.</t>
  </si>
  <si>
    <t>Reports Actual or Suspected Unauthorized Disclosures—A process exists for obtaining commitments from vendors and other third parties to report to the entity actual or suspected unauthorized disclosures of personal information.</t>
  </si>
  <si>
    <t xml:space="preserve">Provides Notice of Breaches and Incidents—The entity has a process for providing notice of breaches and incidents to affected data subjects, regulators, and others to meet the entity’s objectives related to privacy.  </t>
  </si>
  <si>
    <t>Identifies Types of Personal Information and Handling Process—The types of personal information and sensitive personal information and the related processes, systems, and third parties involved in the handling of such information are identified.</t>
  </si>
  <si>
    <t>Captures, Identifies, and Communicates Requests for Information—Requests for an accounting of personal information held and disclosures of the data subjects’ personal information are captured, and information related to the requests is identified and communicated to data subjects to meet the entity’s objectives related to privacy.</t>
  </si>
  <si>
    <t>Ensures Accuracy and Completeness of Personal Information—Personal information is accurate and complete for the purposes for which it is to be used.</t>
  </si>
  <si>
    <t>Ensures Relevance of Personal Information—Personal information is relevant to the purposes for which it is to be used.</t>
  </si>
  <si>
    <t>Communicates to Data Subjects—Data subjects are informed about how to contact the entity with inquiries, complaints, and disputes.</t>
  </si>
  <si>
    <t>Addresses Inquiries, Complaints, and Disputes—A process is in place to address inquiries, complaints, and disputes.</t>
  </si>
  <si>
    <t>Documents and Communicates Dispute Resolution and Recourse—Each complaint is addressed, and the resolution is documented and communicated to the individual.</t>
  </si>
  <si>
    <t>Documents and Reports Compliance Review Results—Compliance with objectives related to privacy are reviewed and documented, and the results of such reviews are reported to management. If problems are identified, remediation plans are developed and implemented.</t>
  </si>
  <si>
    <t>Documents and Reports Instances of Noncompliance—Instances of noncompliance with objectives related to privacy are documented and reported and, if needed, corrective and disciplinary measures are taken on a timely basis.</t>
  </si>
  <si>
    <t>Performs Ongoing Monitoring—Ongoing procedures are performed for monitoring the effectiveness of controls over personal information and for taking timely corrective actions when necessary.</t>
  </si>
  <si>
    <t>CC 1</t>
  </si>
  <si>
    <t>CC 1.1.2</t>
  </si>
  <si>
    <t>CC 2</t>
  </si>
  <si>
    <t>CC 2.1.1</t>
  </si>
  <si>
    <t>CC 2.1.2</t>
  </si>
  <si>
    <t>CC 2.1.3</t>
  </si>
  <si>
    <t>CC 2.1.4</t>
  </si>
  <si>
    <t>CC 2.2</t>
  </si>
  <si>
    <t>CC 2.2.1</t>
  </si>
  <si>
    <t>CC 2.2.2</t>
  </si>
  <si>
    <t>CC 2.2.3</t>
  </si>
  <si>
    <t>CC 2.2.4</t>
  </si>
  <si>
    <t>CC 2.2.5</t>
  </si>
  <si>
    <t>CC 2.2.6</t>
  </si>
  <si>
    <t>CC 2.2.7</t>
  </si>
  <si>
    <t>CC 2.2.8</t>
  </si>
  <si>
    <t>CC 2.2.9</t>
  </si>
  <si>
    <t>CC 2.2.10</t>
  </si>
  <si>
    <t>CC 2.2.11</t>
  </si>
  <si>
    <t>CC 2.3</t>
  </si>
  <si>
    <t>CC 2.3.1</t>
  </si>
  <si>
    <t>CC 2.3.2</t>
  </si>
  <si>
    <t>CC 2.3.3</t>
  </si>
  <si>
    <t>CC 2.3.4</t>
  </si>
  <si>
    <t>CC 2.3.5</t>
  </si>
  <si>
    <t>CC 2.3.6</t>
  </si>
  <si>
    <t>CC 2.3.7</t>
  </si>
  <si>
    <t>CC 2.3.8</t>
  </si>
  <si>
    <t>CC 2.3.9</t>
  </si>
  <si>
    <t>CC 2.3.10</t>
  </si>
  <si>
    <t>CC 2.3.11</t>
  </si>
  <si>
    <t>CC 3</t>
  </si>
  <si>
    <t>CC 3.1.2</t>
  </si>
  <si>
    <t>CC 3.1</t>
  </si>
  <si>
    <t>CC 3.1.3</t>
  </si>
  <si>
    <t>CC 3.1.1</t>
  </si>
  <si>
    <t>CC 3.1.4</t>
  </si>
  <si>
    <t>CC 3.1.5</t>
  </si>
  <si>
    <t>CC 3.1.6</t>
  </si>
  <si>
    <t>CC 3.1.7</t>
  </si>
  <si>
    <t>CC 3.1.8</t>
  </si>
  <si>
    <t>CC 3.1.9</t>
  </si>
  <si>
    <t>CC 3.1.10</t>
  </si>
  <si>
    <t>CC 3.1.11</t>
  </si>
  <si>
    <t>CC 3.1.12</t>
  </si>
  <si>
    <t>CC 3.1.13</t>
  </si>
  <si>
    <t>CC 3.1.14</t>
  </si>
  <si>
    <t>CC 3.1.15</t>
  </si>
  <si>
    <t>CC 3.1.16</t>
  </si>
  <si>
    <t>CC 3.1.17</t>
  </si>
  <si>
    <t>CC 3.1.18</t>
  </si>
  <si>
    <t>CC 3.1.19</t>
  </si>
  <si>
    <t>CC 3.1.20</t>
  </si>
  <si>
    <t>CC 3.1.21</t>
  </si>
  <si>
    <t>CC 3.2</t>
  </si>
  <si>
    <t>CC 3.2.1</t>
  </si>
  <si>
    <t>CC 3.2.2</t>
  </si>
  <si>
    <t>CC 3.2.3</t>
  </si>
  <si>
    <t>CC 3.2.4</t>
  </si>
  <si>
    <t>CC 3.2.5</t>
  </si>
  <si>
    <t>CC 3.2.6</t>
  </si>
  <si>
    <t>CC 3.2.7</t>
  </si>
  <si>
    <t>CC 3.2.8</t>
  </si>
  <si>
    <t>CC 3.3</t>
  </si>
  <si>
    <t>CC 3.3.1</t>
  </si>
  <si>
    <t>CC 3.3.2</t>
  </si>
  <si>
    <t>CC 3.3.3</t>
  </si>
  <si>
    <t>CC 3.3.4</t>
  </si>
  <si>
    <t>CC 3.3.5</t>
  </si>
  <si>
    <t>CC 3.4</t>
  </si>
  <si>
    <t>CC 3.4.1</t>
  </si>
  <si>
    <t>CC 3.4.2</t>
  </si>
  <si>
    <t>CC 3.4.3</t>
  </si>
  <si>
    <t>CC 3.4.4</t>
  </si>
  <si>
    <t>CC 3.4.5</t>
  </si>
  <si>
    <t>CC 4</t>
  </si>
  <si>
    <t>CC 4.1</t>
  </si>
  <si>
    <t>CC 4.1.1</t>
  </si>
  <si>
    <t>CC 4.1.2</t>
  </si>
  <si>
    <t>CC 4.1.3</t>
  </si>
  <si>
    <t>CC 4.1.4</t>
  </si>
  <si>
    <t>CC 4.1.5</t>
  </si>
  <si>
    <t>CC 4.1.6</t>
  </si>
  <si>
    <t>CC 4.1.7</t>
  </si>
  <si>
    <t>CC 4.1.8</t>
  </si>
  <si>
    <t>CC 4.2</t>
  </si>
  <si>
    <t>CC 4.2.1</t>
  </si>
  <si>
    <t>CC 4.2.2</t>
  </si>
  <si>
    <t>CC 4.2.3</t>
  </si>
  <si>
    <t>CC 5</t>
  </si>
  <si>
    <t>CC 5.1</t>
  </si>
  <si>
    <t>CC 5.1.1</t>
  </si>
  <si>
    <t>CC 5.1.2</t>
  </si>
  <si>
    <t>CC 5.1.3</t>
  </si>
  <si>
    <t>CC 5.1.4</t>
  </si>
  <si>
    <t>CC 5.1.5</t>
  </si>
  <si>
    <t>CC 5.1.6</t>
  </si>
  <si>
    <t>CC 5.2</t>
  </si>
  <si>
    <t>CC 5.2.1</t>
  </si>
  <si>
    <t>CC 5.2.2</t>
  </si>
  <si>
    <t>CC 5.2.3</t>
  </si>
  <si>
    <t>CC 5.2.4</t>
  </si>
  <si>
    <t>CC 5.3</t>
  </si>
  <si>
    <t>CC 5.3.1</t>
  </si>
  <si>
    <t>CC 5.3.2</t>
  </si>
  <si>
    <t>CC 5.3.3</t>
  </si>
  <si>
    <t>CC 5.3.4</t>
  </si>
  <si>
    <t>CC 5.3.5</t>
  </si>
  <si>
    <t>CC 5.3.6</t>
  </si>
  <si>
    <t>CC 6</t>
  </si>
  <si>
    <t>CC 6.1</t>
  </si>
  <si>
    <t>CC 6.1.1</t>
  </si>
  <si>
    <t>CC 6.1.2</t>
  </si>
  <si>
    <t>CC 6.1.3</t>
  </si>
  <si>
    <t>CC 6.1.4</t>
  </si>
  <si>
    <t>CC 6.1.5</t>
  </si>
  <si>
    <t>CC 6.1.6</t>
  </si>
  <si>
    <t>CC 6.1.7</t>
  </si>
  <si>
    <t>CC 6.1.8</t>
  </si>
  <si>
    <t>CC 6.1.9</t>
  </si>
  <si>
    <t>CC 6.1.10</t>
  </si>
  <si>
    <t xml:space="preserve">CC 6.2  </t>
  </si>
  <si>
    <t xml:space="preserve">CC 6.3 </t>
  </si>
  <si>
    <t xml:space="preserve">CC 6.4  </t>
  </si>
  <si>
    <t xml:space="preserve">CC 6.5  </t>
  </si>
  <si>
    <t>CC 6.6</t>
  </si>
  <si>
    <t xml:space="preserve">CC 6.7 </t>
  </si>
  <si>
    <t xml:space="preserve">CC 6.8 </t>
  </si>
  <si>
    <t>CC 7.1</t>
  </si>
  <si>
    <t>CC 7.2</t>
  </si>
  <si>
    <t>CC 7.3</t>
  </si>
  <si>
    <t>CC 7.4</t>
  </si>
  <si>
    <t xml:space="preserve">CC 7.5 </t>
  </si>
  <si>
    <t xml:space="preserve">CC 8.1  </t>
  </si>
  <si>
    <t>CC 9</t>
  </si>
  <si>
    <t xml:space="preserve">CC 9.1  </t>
  </si>
  <si>
    <t>CC 9.2</t>
  </si>
  <si>
    <t>CC 6.2.1</t>
  </si>
  <si>
    <t>CC 6.2.2</t>
  </si>
  <si>
    <t>CC 6.2.3</t>
  </si>
  <si>
    <t>CC 6.3.1</t>
  </si>
  <si>
    <t>CC 6.3.2</t>
  </si>
  <si>
    <t>CC 6.3.3</t>
  </si>
  <si>
    <t>CC 6.4.1</t>
  </si>
  <si>
    <t>CC 6.4.2</t>
  </si>
  <si>
    <t>CC 6.4.3</t>
  </si>
  <si>
    <t>CC 6.5.1</t>
  </si>
  <si>
    <t>CC 6.5.2</t>
  </si>
  <si>
    <t>CC 6.6.1</t>
  </si>
  <si>
    <t>CC 6.6.2</t>
  </si>
  <si>
    <t>CC 6.6.3</t>
  </si>
  <si>
    <t>CC 6.6.4</t>
  </si>
  <si>
    <t>CC 6.7.1</t>
  </si>
  <si>
    <t>CC 6.7.2</t>
  </si>
  <si>
    <t>CC 6.7.3</t>
  </si>
  <si>
    <t>CC 6.7.4</t>
  </si>
  <si>
    <t>CC 6.8.1</t>
  </si>
  <si>
    <t>CC 6.8.2</t>
  </si>
  <si>
    <t>CC 6.8.3</t>
  </si>
  <si>
    <t>CC 6.8.4</t>
  </si>
  <si>
    <t>CC 6.8.5</t>
  </si>
  <si>
    <t>CC 7</t>
  </si>
  <si>
    <t>CC 7.1.1</t>
  </si>
  <si>
    <t>CC 7.1.2</t>
  </si>
  <si>
    <t>CC 7.1.3</t>
  </si>
  <si>
    <t>CC 7.1.4</t>
  </si>
  <si>
    <t>CC 7.1.5</t>
  </si>
  <si>
    <t>CC 7.2.1</t>
  </si>
  <si>
    <t>CC 7.2.2</t>
  </si>
  <si>
    <t>CC 7.2.3</t>
  </si>
  <si>
    <t>CC 7.2.4</t>
  </si>
  <si>
    <t>CC 7.3.1</t>
  </si>
  <si>
    <t>CC 7.3.2</t>
  </si>
  <si>
    <t>CC 7.3.3</t>
  </si>
  <si>
    <t>CC 7.3.4</t>
  </si>
  <si>
    <t>CC 7.3.5</t>
  </si>
  <si>
    <t>CC 7.4.1</t>
  </si>
  <si>
    <t>CC 7.4.2</t>
  </si>
  <si>
    <t>CC 7.4.3</t>
  </si>
  <si>
    <t>CC 7.4.4</t>
  </si>
  <si>
    <t>CC 7.4.5</t>
  </si>
  <si>
    <t>CC 7.4.6</t>
  </si>
  <si>
    <t>CC 7.4.7</t>
  </si>
  <si>
    <t>CC 7.4.8</t>
  </si>
  <si>
    <t>CC 7.4.9</t>
  </si>
  <si>
    <t>CC 7.4.10</t>
  </si>
  <si>
    <t>CC 7.4.11</t>
  </si>
  <si>
    <t>CC 7.4.12</t>
  </si>
  <si>
    <t>CC 7.4.13</t>
  </si>
  <si>
    <t>CC 7.5.1</t>
  </si>
  <si>
    <t>CC 7.5.2</t>
  </si>
  <si>
    <t>CC 7.5.3</t>
  </si>
  <si>
    <t>CC 7.5.4</t>
  </si>
  <si>
    <t>CC 7.5.5</t>
  </si>
  <si>
    <t>CC 7.5.6</t>
  </si>
  <si>
    <t>CC 8</t>
  </si>
  <si>
    <t>CC 8.1.1</t>
  </si>
  <si>
    <t>CC 8.1.2</t>
  </si>
  <si>
    <t>CC 8.1.3</t>
  </si>
  <si>
    <t>CC 8.1.4</t>
  </si>
  <si>
    <t>CC 8.1.5</t>
  </si>
  <si>
    <t>CC 8.1.6</t>
  </si>
  <si>
    <t>CC 8.1.7</t>
  </si>
  <si>
    <t>CC 8.1.8</t>
  </si>
  <si>
    <t>CC 8.1.9</t>
  </si>
  <si>
    <t>CC 8.1.10</t>
  </si>
  <si>
    <t>CC 8.1.11</t>
  </si>
  <si>
    <t>CC 8.1.12</t>
  </si>
  <si>
    <t>CC 8.1.13</t>
  </si>
  <si>
    <t>CC 8.1.14</t>
  </si>
  <si>
    <t>CC 8.1.15</t>
  </si>
  <si>
    <t>CC 9.1.1</t>
  </si>
  <si>
    <t>CC 9.1.2</t>
  </si>
  <si>
    <t>CC 9.2.1</t>
  </si>
  <si>
    <t>CC 9.2.2</t>
  </si>
  <si>
    <t>CC 9.2.3</t>
  </si>
  <si>
    <t>CC 9.2.4</t>
  </si>
  <si>
    <t>CC 9.2.5</t>
  </si>
  <si>
    <t>CC 9.2.6</t>
  </si>
  <si>
    <t>CC 9.2.7</t>
  </si>
  <si>
    <t>CC 9.2.8</t>
  </si>
  <si>
    <t>CC 9.2.9</t>
  </si>
  <si>
    <t>CC 9.2.10</t>
  </si>
  <si>
    <t>CC 9.2.11</t>
  </si>
  <si>
    <t>CC 9.2.12</t>
  </si>
  <si>
    <t>CC PI 1.1.1</t>
  </si>
  <si>
    <t>CC PI 1.1.2</t>
  </si>
  <si>
    <t>CC PI 1.1</t>
  </si>
  <si>
    <t>CC PI 1.1.3</t>
  </si>
  <si>
    <t>CC PI 1.1.4</t>
  </si>
  <si>
    <t>CC PI 1.1.5</t>
  </si>
  <si>
    <t>CC PI 1.1.6</t>
  </si>
  <si>
    <t>CC PI 1.1.7</t>
  </si>
  <si>
    <t>CC PI 1.1.8</t>
  </si>
  <si>
    <t>CC PI 1.1.9</t>
  </si>
  <si>
    <t>CC PI 1.1.10</t>
  </si>
  <si>
    <t>CC PI 1.1.11</t>
  </si>
  <si>
    <t>CC PI 1.1.12</t>
  </si>
  <si>
    <t>CC PI 1.1.13</t>
  </si>
  <si>
    <t>CC PI 1.1.14</t>
  </si>
  <si>
    <t>CC CO</t>
  </si>
  <si>
    <t xml:space="preserve">CC CO 1.1 </t>
  </si>
  <si>
    <t>CC CO 1.1.1</t>
  </si>
  <si>
    <t>CC CO 1.1.2</t>
  </si>
  <si>
    <t xml:space="preserve">CC CO 1.2  </t>
  </si>
  <si>
    <t>CC CO 1.2.1</t>
  </si>
  <si>
    <t>CC CO 1.2.2</t>
  </si>
  <si>
    <t>CC A</t>
  </si>
  <si>
    <t>CC A 1.1</t>
  </si>
  <si>
    <t>CC A 1.1.1</t>
  </si>
  <si>
    <t>CC A 1.1.2</t>
  </si>
  <si>
    <t>CC A 1.1.3</t>
  </si>
  <si>
    <t>CC A 1.2</t>
  </si>
  <si>
    <t>CC A 1.2.1</t>
  </si>
  <si>
    <t>CC A 1.2.2</t>
  </si>
  <si>
    <t>CC A 1.2.3</t>
  </si>
  <si>
    <t>CC A 1.2.4</t>
  </si>
  <si>
    <t>CC A 1.2.5</t>
  </si>
  <si>
    <t>CC A 1.2.6</t>
  </si>
  <si>
    <t>CC A 1.2.7</t>
  </si>
  <si>
    <t>CC A 1.2.8</t>
  </si>
  <si>
    <t>CC A 1.2.9</t>
  </si>
  <si>
    <t>CC A 1.2.10</t>
  </si>
  <si>
    <t>CC A 1.3</t>
  </si>
  <si>
    <t>CC A 1.3.1</t>
  </si>
  <si>
    <t>CC A 1.3.2</t>
  </si>
  <si>
    <t>Control Reference</t>
  </si>
  <si>
    <t>NIST CSF</t>
  </si>
  <si>
    <t>PR.AT-4</t>
  </si>
  <si>
    <t>ID.AM-6</t>
  </si>
  <si>
    <t>PR.IP-11</t>
  </si>
  <si>
    <t>PR.AT-1</t>
  </si>
  <si>
    <t>PR.IP-8</t>
  </si>
  <si>
    <t>PR.AT-3</t>
  </si>
  <si>
    <t>PR.AT-1, PR.AT-2</t>
  </si>
  <si>
    <t>PR.AT-1, PR.AT-2, PR.AT-5</t>
  </si>
  <si>
    <t>CONTROLS Library</t>
  </si>
  <si>
    <t>VC001</t>
  </si>
  <si>
    <t>Control Name</t>
  </si>
  <si>
    <t>Description</t>
  </si>
  <si>
    <t>Control
ID</t>
  </si>
  <si>
    <t>Type</t>
  </si>
  <si>
    <t>Preventative</t>
  </si>
  <si>
    <t>Detective</t>
  </si>
  <si>
    <t>Corrective</t>
  </si>
  <si>
    <t>Deterrent</t>
  </si>
  <si>
    <t>Recovery</t>
  </si>
  <si>
    <t>Compensating</t>
  </si>
  <si>
    <t>Administrative</t>
  </si>
  <si>
    <t>Function</t>
  </si>
  <si>
    <t>Control FUNCTION</t>
  </si>
  <si>
    <t>Control TYPE</t>
  </si>
  <si>
    <t>Frequency</t>
  </si>
  <si>
    <t>Owner</t>
  </si>
  <si>
    <t>Risk Mapping</t>
  </si>
  <si>
    <t>DATE
Implementation</t>
  </si>
  <si>
    <t>N/A</t>
  </si>
  <si>
    <t>1d</t>
  </si>
  <si>
    <t>1wk</t>
  </si>
  <si>
    <t>2wk</t>
  </si>
  <si>
    <t>1mo</t>
  </si>
  <si>
    <t>Qtr.</t>
  </si>
  <si>
    <t>6mo</t>
  </si>
  <si>
    <t>1yr</t>
  </si>
  <si>
    <t>Draft</t>
  </si>
  <si>
    <t>Approved</t>
  </si>
  <si>
    <t>Implemented</t>
  </si>
  <si>
    <t>Owners</t>
  </si>
  <si>
    <t>RISK KEY</t>
  </si>
  <si>
    <t>CONTROLS KEY</t>
  </si>
  <si>
    <t>Owner 3</t>
  </si>
  <si>
    <t>Owner 4</t>
  </si>
  <si>
    <t>Owner 5</t>
  </si>
  <si>
    <t>VC002</t>
  </si>
  <si>
    <t>VC003</t>
  </si>
  <si>
    <t>VC004</t>
  </si>
  <si>
    <t>VC005</t>
  </si>
  <si>
    <t>VC006</t>
  </si>
  <si>
    <t>VC007</t>
  </si>
  <si>
    <t>VC008</t>
  </si>
  <si>
    <t>VC009</t>
  </si>
  <si>
    <t>VC010</t>
  </si>
  <si>
    <t>VC011</t>
  </si>
  <si>
    <t>VC012</t>
  </si>
  <si>
    <t>VC013</t>
  </si>
  <si>
    <t>VC014</t>
  </si>
  <si>
    <t>VC015</t>
  </si>
  <si>
    <t>VC016</t>
  </si>
  <si>
    <t>VC017</t>
  </si>
  <si>
    <t>VC018</t>
  </si>
  <si>
    <t>VC019</t>
  </si>
  <si>
    <t>VC020</t>
  </si>
  <si>
    <t>VC021</t>
  </si>
  <si>
    <t>VC022</t>
  </si>
  <si>
    <t>VC023</t>
  </si>
  <si>
    <t>VC024</t>
  </si>
  <si>
    <t>VC025</t>
  </si>
  <si>
    <t>VC026</t>
  </si>
  <si>
    <t>VC027</t>
  </si>
  <si>
    <t>VC028</t>
  </si>
  <si>
    <t>VC029</t>
  </si>
  <si>
    <t>VC030</t>
  </si>
  <si>
    <t>VC031</t>
  </si>
  <si>
    <t>VC032</t>
  </si>
  <si>
    <t>VC033</t>
  </si>
  <si>
    <t>VC034</t>
  </si>
  <si>
    <t>VC035</t>
  </si>
  <si>
    <t>VC036</t>
  </si>
  <si>
    <t>VC037</t>
  </si>
  <si>
    <t>VC038</t>
  </si>
  <si>
    <t>VC039</t>
  </si>
  <si>
    <t>VC040</t>
  </si>
  <si>
    <t>VC041</t>
  </si>
  <si>
    <t>VC042</t>
  </si>
  <si>
    <t>VC043</t>
  </si>
  <si>
    <t>VC044</t>
  </si>
  <si>
    <t>VC045</t>
  </si>
  <si>
    <t>VC046</t>
  </si>
  <si>
    <t>VC047</t>
  </si>
  <si>
    <t>VC048</t>
  </si>
  <si>
    <t>VC049</t>
  </si>
  <si>
    <t>VC050</t>
  </si>
  <si>
    <t>Risk Scale</t>
  </si>
  <si>
    <t>Negligble Impact</t>
  </si>
  <si>
    <t>Minor Impact</t>
  </si>
  <si>
    <t>Catastrophic</t>
  </si>
  <si>
    <t>Critical Impact</t>
  </si>
  <si>
    <t>Substanative Impact</t>
  </si>
  <si>
    <t>Improbable</t>
  </si>
  <si>
    <t>Probable</t>
  </si>
  <si>
    <t>Possible</t>
  </si>
  <si>
    <t>Almost Certain</t>
  </si>
  <si>
    <t>Unlikely</t>
  </si>
  <si>
    <t>Risk Rating</t>
  </si>
  <si>
    <t>SCORE Risk</t>
  </si>
  <si>
    <t>SCORE Impact</t>
  </si>
  <si>
    <t>DATE
Review or Validation</t>
  </si>
  <si>
    <t>ID.GV-2</t>
  </si>
  <si>
    <t>CC PI 1.2</t>
  </si>
  <si>
    <t>CC PI 1.2.1</t>
  </si>
  <si>
    <t>CC PI 1.2.2</t>
  </si>
  <si>
    <t>CC PI 1.2.3</t>
  </si>
  <si>
    <t>CC PI 1.3</t>
  </si>
  <si>
    <t>TSC REF</t>
  </si>
  <si>
    <t>Trust Services Criteria</t>
  </si>
  <si>
    <t>POINTS OF FOCUS</t>
  </si>
  <si>
    <t>NIST REF</t>
  </si>
  <si>
    <r>
      <t>Sets the Tone at the Top</t>
    </r>
    <r>
      <rPr>
        <sz val="9"/>
        <color theme="1"/>
        <rFont val="Calibri"/>
        <family val="2"/>
        <scheme val="minor"/>
      </rPr>
      <t>—The board of directors and management, at all levels, demonstrate through their directives, actions, and behavior the importance of integrity and ethical values to support the functioning of the system of internal control.</t>
    </r>
  </si>
  <si>
    <r>
      <t>Establishes Standards of Conduct</t>
    </r>
    <r>
      <rPr>
        <sz val="9"/>
        <color theme="1"/>
        <rFont val="Calibri"/>
        <family val="2"/>
        <scheme val="minor"/>
      </rPr>
      <t>—The expectations of the board of directors and senior management concerning integrity and ethical values are defined in the entity’s standards of conduct and understood at all levels of the entity and by outsourced service providers and business partners.</t>
    </r>
  </si>
  <si>
    <r>
      <t>Evaluates Adherence to Standards of Conduct</t>
    </r>
    <r>
      <rPr>
        <sz val="9"/>
        <color theme="1"/>
        <rFont val="Calibri"/>
        <family val="2"/>
        <scheme val="minor"/>
      </rPr>
      <t>—Processes are in place to evaluate the performance of individuals and teams against the entity’s expected standards of conduct.</t>
    </r>
  </si>
  <si>
    <r>
      <t>Addresses Deviations in a Timely Manner</t>
    </r>
    <r>
      <rPr>
        <sz val="9"/>
        <color theme="1"/>
        <rFont val="Calibri"/>
        <family val="2"/>
        <scheme val="minor"/>
      </rPr>
      <t>—Deviations from the entity’s expected standards of conduct are identified and remedied in a timely and consistent manner.</t>
    </r>
  </si>
  <si>
    <r>
      <t>Considers Contractors and Vendor Employees in Demonstrating Its Commitment—</t>
    </r>
    <r>
      <rPr>
        <i/>
        <sz val="9"/>
        <color theme="1"/>
        <rFont val="Calibri"/>
        <family val="2"/>
        <scheme val="minor"/>
      </rPr>
      <t>Management and the board of directors consider the use of contractors and vendor employees in its processes for establishing standards of conduct, evaluating adherence to those standards, and addressing deviations in a timely manner.</t>
    </r>
    <r>
      <rPr>
        <i/>
        <u/>
        <sz val="9"/>
        <color theme="1"/>
        <rFont val="Calibri"/>
        <family val="2"/>
        <scheme val="minor"/>
      </rPr>
      <t xml:space="preserve"> </t>
    </r>
  </si>
  <si>
    <r>
      <t>Establishes Oversight Responsibilities</t>
    </r>
    <r>
      <rPr>
        <sz val="9"/>
        <color rgb="FF000000"/>
        <rFont val="Calibri"/>
        <family val="2"/>
        <scheme val="minor"/>
      </rPr>
      <t>—The board of directors identifies and accepts its oversight responsibilities in relation to established requirements and expectations.</t>
    </r>
  </si>
  <si>
    <r>
      <t>Applies Relevant Expertise</t>
    </r>
    <r>
      <rPr>
        <i/>
        <sz val="9"/>
        <color rgb="FF000000"/>
        <rFont val="Calibri"/>
        <family val="2"/>
        <scheme val="minor"/>
      </rPr>
      <t>—</t>
    </r>
    <r>
      <rPr>
        <sz val="9"/>
        <color rgb="FF000000"/>
        <rFont val="Calibri"/>
        <family val="2"/>
        <scheme val="minor"/>
      </rPr>
      <t>The board of directors defines, maintains, and periodically evaluates the skills and expertise needed among its members to enable them to ask probing questions of senior management and take commensurate action.</t>
    </r>
  </si>
  <si>
    <r>
      <t>Operates Independently</t>
    </r>
    <r>
      <rPr>
        <i/>
        <sz val="9"/>
        <color rgb="FF000000"/>
        <rFont val="Calibri"/>
        <family val="2"/>
        <scheme val="minor"/>
      </rPr>
      <t>—</t>
    </r>
    <r>
      <rPr>
        <sz val="9"/>
        <color rgb="FF000000"/>
        <rFont val="Calibri"/>
        <family val="2"/>
        <scheme val="minor"/>
      </rPr>
      <t>The board of directors has sufficient members who are independent from management and objective in evaluations and decision making.</t>
    </r>
  </si>
  <si>
    <r>
      <rPr>
        <i/>
        <u/>
        <sz val="9"/>
        <color rgb="FF000000"/>
        <rFont val="Calibri"/>
        <family val="2"/>
        <scheme val="minor"/>
      </rPr>
      <t>Supplements Board Expertise</t>
    </r>
    <r>
      <rPr>
        <i/>
        <sz val="9"/>
        <color rgb="FF000000"/>
        <rFont val="Calibri"/>
        <family val="2"/>
        <scheme val="minor"/>
      </rPr>
      <t>—The board of directors supplements its expertise relevant to security, availability, processing integrity, confidentiality, and privacy, as needed, through the use of a subcommittee or consultants.</t>
    </r>
  </si>
  <si>
    <r>
      <t>Considers All Structures of the Entity</t>
    </r>
    <r>
      <rPr>
        <i/>
        <sz val="9"/>
        <color rgb="FF000000"/>
        <rFont val="Calibri"/>
        <family val="2"/>
        <scheme val="minor"/>
      </rPr>
      <t>—</t>
    </r>
    <r>
      <rPr>
        <sz val="9"/>
        <color rgb="FF000000"/>
        <rFont val="Calibri"/>
        <family val="2"/>
        <scheme val="minor"/>
      </rPr>
      <t>Management and the board of directors consider the multiple structures used (including operating units, legal entities, geographic distribution, and outsourced service providers) to support the achievement of objectives.</t>
    </r>
  </si>
  <si>
    <r>
      <t>Establishes Reporting Lines</t>
    </r>
    <r>
      <rPr>
        <i/>
        <sz val="9"/>
        <color rgb="FF000000"/>
        <rFont val="Calibri"/>
        <family val="2"/>
        <scheme val="minor"/>
      </rPr>
      <t>—</t>
    </r>
    <r>
      <rPr>
        <sz val="9"/>
        <color rgb="FF000000"/>
        <rFont val="Calibri"/>
        <family val="2"/>
        <scheme val="minor"/>
      </rPr>
      <t>Management designs and evaluates lines of reporting for each entity structure to enable execution of authorities and responsibilities and flow of information to manage the activities of the entity.</t>
    </r>
  </si>
  <si>
    <r>
      <t>Defines, Assigns, and Limits Authorities and Responsibilities</t>
    </r>
    <r>
      <rPr>
        <sz val="9"/>
        <color rgb="FF000000"/>
        <rFont val="Calibri"/>
        <family val="2"/>
        <scheme val="minor"/>
      </rPr>
      <t>—Management and the board of directors delegate authority, define responsibilities, and use appropriate processes and technology to assign responsibility and segregate duties as necessary at the various levels of the organization.</t>
    </r>
  </si>
  <si>
    <r>
      <t>Addresses Specific Requirements When Defining Authorities and Responsibilities</t>
    </r>
    <r>
      <rPr>
        <i/>
        <sz val="9"/>
        <color rgb="FF000000"/>
        <rFont val="Calibri"/>
        <family val="2"/>
        <scheme val="minor"/>
      </rPr>
      <t xml:space="preserve">—Management and the board of directors consider requirements relevant to security, availability, processing integrity, confidentiality, and privacy when defining authorities and responsibilities. </t>
    </r>
  </si>
  <si>
    <r>
      <t>Considers Interactions With External Parties When Establishing Structures, Reporting Lines, Authorities, and Responsibilities</t>
    </r>
    <r>
      <rPr>
        <i/>
        <sz val="9"/>
        <color rgb="FF000000"/>
        <rFont val="Calibri"/>
        <family val="2"/>
        <scheme val="minor"/>
      </rPr>
      <t xml:space="preserve">—Management and the board of directors consider the need for the entity to interact with and monitor the activities of external parties when establishing structures, reporting lines, authorities, and responsibilities. </t>
    </r>
  </si>
  <si>
    <r>
      <t>Establishes Policies and Practices</t>
    </r>
    <r>
      <rPr>
        <sz val="9"/>
        <color rgb="FF000000"/>
        <rFont val="Calibri"/>
        <family val="2"/>
        <scheme val="minor"/>
      </rPr>
      <t>—Policies and practices reflect expectations of competence necessary to support the achievement of objectives</t>
    </r>
    <r>
      <rPr>
        <sz val="9"/>
        <color theme="1"/>
        <rFont val="Calibri"/>
        <family val="2"/>
        <scheme val="minor"/>
      </rPr>
      <t>.</t>
    </r>
  </si>
  <si>
    <r>
      <t>Evaluates Competence and Addresses Shortcomings</t>
    </r>
    <r>
      <rPr>
        <sz val="9"/>
        <color rgb="FF000000"/>
        <rFont val="Calibri"/>
        <family val="2"/>
        <scheme val="minor"/>
      </rPr>
      <t>—The board of directors and management evaluate competence across the entity and in outsourced service providers in relation to established policies and practices and act as necessary to address shortcomings.</t>
    </r>
  </si>
  <si>
    <r>
      <t>Attracts, Develops, and Retains Individuals</t>
    </r>
    <r>
      <rPr>
        <sz val="9"/>
        <color rgb="FF000000"/>
        <rFont val="Calibri"/>
        <family val="2"/>
        <scheme val="minor"/>
      </rPr>
      <t>—The entity provides the mentoring and training needed to attract, develop, and retain sufficient and competent personnel and outsourced service providers to support the achievement of objectives.</t>
    </r>
  </si>
  <si>
    <r>
      <t>Plans and Prepares for Succession</t>
    </r>
    <r>
      <rPr>
        <sz val="9"/>
        <color rgb="FF000000"/>
        <rFont val="Calibri"/>
        <family val="2"/>
        <scheme val="minor"/>
      </rPr>
      <t>—Senior management and the board of directors develop contingency plans for assignments of responsibility important for internal control.</t>
    </r>
  </si>
  <si>
    <r>
      <t>Considers the Background of Individuals</t>
    </r>
    <r>
      <rPr>
        <i/>
        <sz val="9"/>
        <color rgb="FF000000"/>
        <rFont val="Calibri"/>
        <family val="2"/>
        <scheme val="minor"/>
      </rPr>
      <t xml:space="preserve">—The entity considers the background of potential and existing personnel, contractors, and vendor employees when determining whether to employ and retain the individuals. </t>
    </r>
  </si>
  <si>
    <r>
      <t>Considers the Technical Competency of Individuals</t>
    </r>
    <r>
      <rPr>
        <i/>
        <sz val="9"/>
        <color rgb="FF000000"/>
        <rFont val="Calibri"/>
        <family val="2"/>
        <scheme val="minor"/>
      </rPr>
      <t xml:space="preserve">—The entity considers the technical competency of potential and existing personnel, contractors, and vendor employees when determining whether to employ and retain the individuals. </t>
    </r>
  </si>
  <si>
    <r>
      <t>Provides Training to Maintain Technical Competencies</t>
    </r>
    <r>
      <rPr>
        <i/>
        <sz val="9"/>
        <color rgb="FF000000"/>
        <rFont val="Calibri"/>
        <family val="2"/>
        <scheme val="minor"/>
      </rPr>
      <t>— The entity provides training programs, including continuing education and training, to ensure skill sets and technical competency of existing personnel, contractors, and vendor employees are developed and maintained.</t>
    </r>
  </si>
  <si>
    <r>
      <t>Enforces Accountability Through Structures, Authorities, and Responsibilities</t>
    </r>
    <r>
      <rPr>
        <sz val="9"/>
        <color rgb="FF000000"/>
        <rFont val="Calibri"/>
        <family val="2"/>
        <scheme val="minor"/>
      </rPr>
      <t>—Management and the board of directors establish the mechanisms to communicate and hold individuals accountable for performance of internal control responsibilities across the entity and implement corrective action as necessary.</t>
    </r>
  </si>
  <si>
    <r>
      <t>Establishes Performance Measures, Incentives, and Rewards</t>
    </r>
    <r>
      <rPr>
        <sz val="9"/>
        <color rgb="FF000000"/>
        <rFont val="Calibri"/>
        <family val="2"/>
        <scheme val="minor"/>
      </rPr>
      <t>—Management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t>
    </r>
  </si>
  <si>
    <r>
      <t>Evaluates Performance Measures, Incentives, and Rewards for Ongoing Relevance</t>
    </r>
    <r>
      <rPr>
        <sz val="9"/>
        <color rgb="FF000000"/>
        <rFont val="Calibri"/>
        <family val="2"/>
        <scheme val="minor"/>
      </rPr>
      <t>—Management and the board of directors align incentives and rewards with the fulfillment of internal control responsibilities in the achievement of objectives.</t>
    </r>
  </si>
  <si>
    <r>
      <t>Considers Excessive Pressures</t>
    </r>
    <r>
      <rPr>
        <sz val="9"/>
        <color rgb="FF000000"/>
        <rFont val="Calibri"/>
        <family val="2"/>
        <scheme val="minor"/>
      </rPr>
      <t>—Management and the board of directors evaluate and adjust pressures associated with the achievement of objectives as they assign responsibilities, develop performance measures, and evaluate performance.</t>
    </r>
  </si>
  <si>
    <r>
      <t>Evaluates Performance and Rewards or Disciplines Individuals</t>
    </r>
    <r>
      <rPr>
        <sz val="9"/>
        <color rgb="FF000000"/>
        <rFont val="Calibri"/>
        <family val="2"/>
        <scheme val="minor"/>
      </rPr>
      <t>—Management and the board of directors evaluate performance of internal control responsibilities, including adherence to standards of conduct and expected levels of competence, and provide rewards or exercise disciplinary action, as appropriate.</t>
    </r>
  </si>
  <si>
    <t>CC2.1</t>
  </si>
  <si>
    <r>
      <t>Identifies Information Requirements</t>
    </r>
    <r>
      <rPr>
        <i/>
        <sz val="9"/>
        <color rgb="FF000000"/>
        <rFont val="Calibri"/>
        <family val="2"/>
        <scheme val="minor"/>
      </rPr>
      <t>—</t>
    </r>
    <r>
      <rPr>
        <sz val="9"/>
        <color rgb="FF000000"/>
        <rFont val="Calibri"/>
        <family val="2"/>
        <scheme val="minor"/>
      </rPr>
      <t>A process is in place to identify the information required and expected to support the functioning of the other components of internal control and the achievement of the entity’s objectives.</t>
    </r>
  </si>
  <si>
    <r>
      <t>Captures Internal and External Sources of Data</t>
    </r>
    <r>
      <rPr>
        <sz val="9"/>
        <color rgb="FF000000"/>
        <rFont val="Calibri"/>
        <family val="2"/>
        <scheme val="minor"/>
      </rPr>
      <t>—Information systems capture internal and external sources of data.</t>
    </r>
  </si>
  <si>
    <r>
      <t>Processes Relevant Data Into Information</t>
    </r>
    <r>
      <rPr>
        <i/>
        <sz val="9"/>
        <color rgb="FF000000"/>
        <rFont val="Calibri"/>
        <family val="2"/>
        <scheme val="minor"/>
      </rPr>
      <t>—</t>
    </r>
    <r>
      <rPr>
        <sz val="9"/>
        <color rgb="FF000000"/>
        <rFont val="Calibri"/>
        <family val="2"/>
        <scheme val="minor"/>
      </rPr>
      <t>Information systems process and transform relevant data into information.</t>
    </r>
  </si>
  <si>
    <r>
      <t>Maintains Quality Throughout Processing</t>
    </r>
    <r>
      <rPr>
        <i/>
        <sz val="9"/>
        <color rgb="FF000000"/>
        <rFont val="Calibri"/>
        <family val="2"/>
        <scheme val="minor"/>
      </rPr>
      <t>—</t>
    </r>
    <r>
      <rPr>
        <sz val="9"/>
        <color rgb="FF000000"/>
        <rFont val="Calibri"/>
        <family val="2"/>
        <scheme val="minor"/>
      </rPr>
      <t xml:space="preserve">Information systems produce information that is timely, current, accurate, complete, accessible, protected, verifiable, and retained. Information is reviewed to assess its relevance in supporting the internal control components. </t>
    </r>
  </si>
  <si>
    <t>CC2.2</t>
  </si>
  <si>
    <r>
      <t>Communicates Internal Control Information</t>
    </r>
    <r>
      <rPr>
        <i/>
        <sz val="9"/>
        <color rgb="FF000000"/>
        <rFont val="Calibri"/>
        <family val="2"/>
        <scheme val="minor"/>
      </rPr>
      <t>—</t>
    </r>
    <r>
      <rPr>
        <sz val="9"/>
        <color rgb="FF000000"/>
        <rFont val="Calibri"/>
        <family val="2"/>
        <scheme val="minor"/>
      </rPr>
      <t>A process is in place to communicate required information to enable all personnel to understand and carry out their internal control responsibilities.</t>
    </r>
  </si>
  <si>
    <t>PR.AT-2</t>
  </si>
  <si>
    <t>PR.AT-5</t>
  </si>
  <si>
    <r>
      <t>Communicates With the Board of Directors</t>
    </r>
    <r>
      <rPr>
        <i/>
        <sz val="9"/>
        <color rgb="FF000000"/>
        <rFont val="Calibri"/>
        <family val="2"/>
        <scheme val="minor"/>
      </rPr>
      <t>—</t>
    </r>
    <r>
      <rPr>
        <sz val="9"/>
        <color rgb="FF000000"/>
        <rFont val="Calibri"/>
        <family val="2"/>
        <scheme val="minor"/>
      </rPr>
      <t>Communication exists between management and the board of directors so that both have information needed to fulfill their roles with respect to the entity’s objectives.</t>
    </r>
  </si>
  <si>
    <r>
      <t>Provides Separate Communication Lines</t>
    </r>
    <r>
      <rPr>
        <i/>
        <sz val="9"/>
        <color rgb="FF000000"/>
        <rFont val="Calibri"/>
        <family val="2"/>
        <scheme val="minor"/>
      </rPr>
      <t>—</t>
    </r>
    <r>
      <rPr>
        <sz val="9"/>
        <color rgb="FF000000"/>
        <rFont val="Calibri"/>
        <family val="2"/>
        <scheme val="minor"/>
      </rPr>
      <t>Separate communication channels, such as whistle-blower hotlines, are in place and serve as fail-safe mechanisms to enable anonymous or confidential communication when normal channels are inoperative or ineffective.</t>
    </r>
  </si>
  <si>
    <r>
      <t>Selects Relevant Method of Communication</t>
    </r>
    <r>
      <rPr>
        <i/>
        <sz val="9"/>
        <color rgb="FF000000"/>
        <rFont val="Calibri"/>
        <family val="2"/>
        <scheme val="minor"/>
      </rPr>
      <t>—</t>
    </r>
    <r>
      <rPr>
        <sz val="9"/>
        <color rgb="FF000000"/>
        <rFont val="Calibri"/>
        <family val="2"/>
        <scheme val="minor"/>
      </rPr>
      <t>The method of communication considers the timing, audience, and nature of the information.</t>
    </r>
  </si>
  <si>
    <r>
      <t>Communicates Responsibilities</t>
    </r>
    <r>
      <rPr>
        <i/>
        <sz val="9"/>
        <color rgb="FF000000"/>
        <rFont val="Calibri"/>
        <family val="2"/>
        <scheme val="minor"/>
      </rPr>
      <t xml:space="preserve">—Entity personnel with responsibility for designing, developing, implementing, operating, maintaining, or monitoring system controls receive communications about their responsibilities, including changes in their responsibilities, and have the information necessary to carry out those responsibilities. </t>
    </r>
  </si>
  <si>
    <r>
      <t>Communicates Information on Reporting Failures, Incidents, Concerns, and Other Matters</t>
    </r>
    <r>
      <rPr>
        <sz val="9"/>
        <color rgb="FF000000"/>
        <rFont val="Calibri"/>
        <family val="2"/>
        <scheme val="minor"/>
      </rPr>
      <t>—</t>
    </r>
    <r>
      <rPr>
        <i/>
        <sz val="9"/>
        <color rgb="FF000000"/>
        <rFont val="Calibri"/>
        <family val="2"/>
        <scheme val="minor"/>
      </rPr>
      <t>Entity personnel are provided with information on how to report systems failures, incidents, concerns, and other complaints to personnel</t>
    </r>
    <r>
      <rPr>
        <sz val="9"/>
        <color rgb="FF000000"/>
        <rFont val="Calibri"/>
        <family val="2"/>
        <scheme val="minor"/>
      </rPr>
      <t>.</t>
    </r>
  </si>
  <si>
    <r>
      <t xml:space="preserve">Communicates Objectives and Changes to Objectives </t>
    </r>
    <r>
      <rPr>
        <i/>
        <sz val="9"/>
        <color rgb="FF000000"/>
        <rFont val="Calibri"/>
        <family val="2"/>
        <scheme val="minor"/>
      </rPr>
      <t>—The entity communicates its objectives and changes to those objectives</t>
    </r>
    <r>
      <rPr>
        <i/>
        <sz val="9"/>
        <color rgb="FFC00000"/>
        <rFont val="Calibri"/>
        <family val="2"/>
        <scheme val="minor"/>
      </rPr>
      <t xml:space="preserve"> </t>
    </r>
    <r>
      <rPr>
        <i/>
        <sz val="9"/>
        <color rgb="FF000000"/>
        <rFont val="Calibri"/>
        <family val="2"/>
        <scheme val="minor"/>
      </rPr>
      <t xml:space="preserve">to personnel in a timely manner. </t>
    </r>
  </si>
  <si>
    <r>
      <t>Communicates Information to Improve Security Knowledge and Awareness</t>
    </r>
    <r>
      <rPr>
        <i/>
        <sz val="9"/>
        <color rgb="FF000000"/>
        <rFont val="Calibri"/>
        <family val="2"/>
        <scheme val="minor"/>
      </rPr>
      <t xml:space="preserve">—The entity communicates information to improve security knowledge and awareness and to model appropriate security behaviors to personnel through a security awareness training program. </t>
    </r>
  </si>
  <si>
    <r>
      <t>Communicates Information About System Operation and Boundaries</t>
    </r>
    <r>
      <rPr>
        <i/>
        <sz val="9"/>
        <color rgb="FF000000"/>
        <rFont val="Calibri"/>
        <family val="2"/>
        <scheme val="minor"/>
      </rPr>
      <t>—The entity prepares and communicates information about the design and operation of the system and its boundaries to authorized personnel to enable them to understand their role in the system and the results of system operation.</t>
    </r>
  </si>
  <si>
    <r>
      <t>Communicates System Objectives</t>
    </r>
    <r>
      <rPr>
        <i/>
        <sz val="9"/>
        <color rgb="FF000000"/>
        <rFont val="Calibri"/>
        <family val="2"/>
        <scheme val="minor"/>
      </rPr>
      <t xml:space="preserve">—The entity communicates its objectives to personnel to enable them to carry out their responsibilities. </t>
    </r>
  </si>
  <si>
    <t xml:space="preserve"> </t>
  </si>
  <si>
    <r>
      <t>Communicates System Changes</t>
    </r>
    <r>
      <rPr>
        <i/>
        <sz val="9"/>
        <color rgb="FF000000"/>
        <rFont val="Calibri"/>
        <family val="2"/>
        <scheme val="minor"/>
      </rPr>
      <t xml:space="preserve">—System changes that affect responsibilities or the achievement of the entity's objectives are communicated in a timely manner. </t>
    </r>
  </si>
  <si>
    <t>CC2.3</t>
  </si>
  <si>
    <r>
      <t>Communicates to External Parties</t>
    </r>
    <r>
      <rPr>
        <i/>
        <sz val="9"/>
        <color rgb="FF000000"/>
        <rFont val="Calibri"/>
        <family val="2"/>
        <scheme val="minor"/>
      </rPr>
      <t>—</t>
    </r>
    <r>
      <rPr>
        <sz val="9"/>
        <color rgb="FF000000"/>
        <rFont val="Calibri"/>
        <family val="2"/>
        <scheme val="minor"/>
      </rPr>
      <t>Processes are in place to communicate relevant and timely information to external parties, including shareholders, partners, owners, regulators, customers, financial analysts, and other external parties.</t>
    </r>
  </si>
  <si>
    <r>
      <t>Enables Inbound Communications</t>
    </r>
    <r>
      <rPr>
        <i/>
        <sz val="9"/>
        <color rgb="FF000000"/>
        <rFont val="Calibri"/>
        <family val="2"/>
        <scheme val="minor"/>
      </rPr>
      <t>—</t>
    </r>
    <r>
      <rPr>
        <sz val="9"/>
        <color rgb="FF000000"/>
        <rFont val="Calibri"/>
        <family val="2"/>
        <scheme val="minor"/>
      </rPr>
      <t>Open communication channels allow input from customers, consumers, suppliers, external auditors, regulators, financial analysts, and others, providing management and the board of directors with relevant information.</t>
    </r>
  </si>
  <si>
    <r>
      <t>Communicates With the Board of Directors</t>
    </r>
    <r>
      <rPr>
        <i/>
        <sz val="9"/>
        <color rgb="FF000000"/>
        <rFont val="Calibri"/>
        <family val="2"/>
        <scheme val="minor"/>
      </rPr>
      <t>—</t>
    </r>
    <r>
      <rPr>
        <sz val="9"/>
        <color rgb="FF000000"/>
        <rFont val="Calibri"/>
        <family val="2"/>
        <scheme val="minor"/>
      </rPr>
      <t>Relevant information resulting from assessments conducted by external parties is communicated to the board of directors.</t>
    </r>
  </si>
  <si>
    <r>
      <t>Selects Relevant Method of Communication</t>
    </r>
    <r>
      <rPr>
        <i/>
        <sz val="9"/>
        <color rgb="FF000000"/>
        <rFont val="Calibri"/>
        <family val="2"/>
        <scheme val="minor"/>
      </rPr>
      <t>—</t>
    </r>
    <r>
      <rPr>
        <sz val="9"/>
        <color rgb="FF000000"/>
        <rFont val="Calibri"/>
        <family val="2"/>
        <scheme val="minor"/>
      </rPr>
      <t xml:space="preserve">The method of communication considers the timing, audience, and nature of the communication and legal, regulatory, and fiduciary requirements and expectations. </t>
    </r>
  </si>
  <si>
    <r>
      <t>Communicates Objectives Related to Confidentiality and Changes to Objectives</t>
    </r>
    <r>
      <rPr>
        <i/>
        <sz val="9"/>
        <color rgb="FF000000"/>
        <rFont val="Calibri"/>
        <family val="2"/>
        <scheme val="minor"/>
      </rPr>
      <t xml:space="preserve">— The entity communicates, to external users, vendors, business partners and others whose products and services are part of the system, objectives and changes to objectives related to confidentiality.  </t>
    </r>
  </si>
  <si>
    <r>
      <t>Communicates Objectives Related to Privacy and Changes to Objectives</t>
    </r>
    <r>
      <rPr>
        <i/>
        <sz val="9"/>
        <color rgb="FF000000"/>
        <rFont val="Calibri"/>
        <family val="2"/>
        <scheme val="minor"/>
      </rPr>
      <t xml:space="preserve">—The entity communicates, to external users, vendors, business partners and others whose products and services are part of the system, objectives related to privacy and changes to those objectives. </t>
    </r>
  </si>
  <si>
    <r>
      <t>Communicates Information About System Operation and Boundaries</t>
    </r>
    <r>
      <rPr>
        <i/>
        <sz val="9"/>
        <color theme="1"/>
        <rFont val="Calibri"/>
        <family val="2"/>
        <scheme val="minor"/>
      </rPr>
      <t xml:space="preserve">—The entity prepares and communicates information about the design and operation of the system and its boundaries to authorized external users to permit users to understand their role in the system and the results of system operation. </t>
    </r>
  </si>
  <si>
    <r>
      <t>Communicates System Objectives</t>
    </r>
    <r>
      <rPr>
        <i/>
        <sz val="9"/>
        <rFont val="Calibri"/>
        <family val="2"/>
        <scheme val="minor"/>
      </rPr>
      <t xml:space="preserve">—The entity communicates its system objectives to appropriate external users. </t>
    </r>
  </si>
  <si>
    <r>
      <t>Communicates System Responsibilities</t>
    </r>
    <r>
      <rPr>
        <i/>
        <sz val="9"/>
        <color theme="1"/>
        <rFont val="Calibri"/>
        <family val="2"/>
        <scheme val="minor"/>
      </rPr>
      <t>—External users with responsibility for designing, developing, implementing, operating, maintaining, and monitoring system controls receive communications about their responsibilities and have the information necessary to carry out those responsibilities.</t>
    </r>
  </si>
  <si>
    <r>
      <t>Communicates Information on Reporting System Failures, Incidents, Concerns, and Other Matters</t>
    </r>
    <r>
      <rPr>
        <i/>
        <sz val="9"/>
        <color theme="1"/>
        <rFont val="Calibri"/>
        <family val="2"/>
        <scheme val="minor"/>
      </rPr>
      <t xml:space="preserve">—External users are provided with information on how to report systems failures, incidents, concerns, and other complaints to appropriate personnel. </t>
    </r>
  </si>
  <si>
    <t>CC3.1</t>
  </si>
  <si>
    <r>
      <t>COSO Principle 6: The entity specifies objectives with sufficient clarity to enable the identification and assessment of risks relating to objectives.</t>
    </r>
    <r>
      <rPr>
        <sz val="9"/>
        <color rgb="FFFF0000"/>
        <rFont val="Calibri"/>
        <family val="2"/>
        <scheme val="minor"/>
      </rPr>
      <t xml:space="preserve"> </t>
    </r>
  </si>
  <si>
    <r>
      <t>Reflects Management's Choices</t>
    </r>
    <r>
      <rPr>
        <sz val="9"/>
        <color rgb="FF000000"/>
        <rFont val="Calibri"/>
        <family val="2"/>
        <scheme val="minor"/>
      </rPr>
      <t>—Operations objectives reflect management's choices about structure, industry considerations, and performance of the entity.</t>
    </r>
  </si>
  <si>
    <t>ID.BE-1</t>
  </si>
  <si>
    <t>ID.BE-2</t>
  </si>
  <si>
    <t>ID.BE-3</t>
  </si>
  <si>
    <t>ID.BE-4</t>
  </si>
  <si>
    <t>ID.BE-5</t>
  </si>
  <si>
    <r>
      <t>Considers Tolerances for Risk</t>
    </r>
    <r>
      <rPr>
        <sz val="9"/>
        <color rgb="FF000000"/>
        <rFont val="Calibri"/>
        <family val="2"/>
        <scheme val="minor"/>
      </rPr>
      <t>—Management considers the acceptable levels of variation relative to the achievement of operations objectives.</t>
    </r>
  </si>
  <si>
    <t>ID.RM-2</t>
  </si>
  <si>
    <t>ID.RM-3</t>
  </si>
  <si>
    <r>
      <t>Includes Operations and Financial Performance Goals—</t>
    </r>
    <r>
      <rPr>
        <sz val="9"/>
        <color rgb="FF000000"/>
        <rFont val="Calibri"/>
        <family val="2"/>
        <scheme val="minor"/>
      </rPr>
      <t>The organization reflects the desired level of operations and financial performance for the entity within operations objectives.</t>
    </r>
  </si>
  <si>
    <t>ID.GV-4</t>
  </si>
  <si>
    <r>
      <t>Forms a Basis for Committing of Resources</t>
    </r>
    <r>
      <rPr>
        <sz val="9"/>
        <color rgb="FF000000"/>
        <rFont val="Calibri"/>
        <family val="2"/>
        <scheme val="minor"/>
      </rPr>
      <t>—Management uses operations objectives as a basis for allocating resources needed to attain desired operations and financial performance.</t>
    </r>
  </si>
  <si>
    <r>
      <t>Complies With Applicable Accounting Standards</t>
    </r>
    <r>
      <rPr>
        <sz val="9"/>
        <color rgb="FF252525"/>
        <rFont val="Calibri"/>
        <family val="2"/>
        <scheme val="minor"/>
      </rPr>
      <t>—Financial reporting objectives are consistent with accounting principles suitable and available for that entity. The accounting principles selected are appropriate in the circumstances.</t>
    </r>
  </si>
  <si>
    <r>
      <t>Considers Materiality</t>
    </r>
    <r>
      <rPr>
        <sz val="9"/>
        <color rgb="FF252525"/>
        <rFont val="Calibri"/>
        <family val="2"/>
        <scheme val="minor"/>
      </rPr>
      <t>—Management considers materiality in financial statement presentation.</t>
    </r>
  </si>
  <si>
    <r>
      <t>Reflects Entity Activities</t>
    </r>
    <r>
      <rPr>
        <sz val="9"/>
        <color rgb="FF252525"/>
        <rFont val="Calibri"/>
        <family val="2"/>
        <scheme val="minor"/>
      </rPr>
      <t>—External reporting reflects the underlying transactions and events to show qualitative characteristics and assertions.</t>
    </r>
  </si>
  <si>
    <r>
      <t>Complies With Externally Established</t>
    </r>
    <r>
      <rPr>
        <i/>
        <u/>
        <sz val="9"/>
        <color rgb="FF252525"/>
        <rFont val="Calibri"/>
        <family val="2"/>
        <scheme val="minor"/>
      </rPr>
      <t xml:space="preserve"> </t>
    </r>
    <r>
      <rPr>
        <u/>
        <sz val="9"/>
        <color rgb="FF252525"/>
        <rFont val="Calibri"/>
        <family val="2"/>
        <scheme val="minor"/>
      </rPr>
      <t>Frameworks</t>
    </r>
    <r>
      <rPr>
        <sz val="9"/>
        <color rgb="FF252525"/>
        <rFont val="Calibri"/>
        <family val="2"/>
        <scheme val="minor"/>
      </rPr>
      <t>—Management establishes objectives consistent with laws and regulations or standards and frameworks of recognized external organizations.</t>
    </r>
  </si>
  <si>
    <r>
      <t>Considers the Required Level of Precision</t>
    </r>
    <r>
      <rPr>
        <sz val="9"/>
        <color rgb="FF252525"/>
        <rFont val="Calibri"/>
        <family val="2"/>
        <scheme val="minor"/>
      </rPr>
      <t>—Management reflects the required level of precision and accuracy suitable for user needs and based on criteria established by third parties in nonfinancial reporting.</t>
    </r>
  </si>
  <si>
    <r>
      <t>Reflects Entity Activities</t>
    </r>
    <r>
      <rPr>
        <sz val="9"/>
        <color rgb="FF252525"/>
        <rFont val="Calibri"/>
        <family val="2"/>
        <scheme val="minor"/>
      </rPr>
      <t>—External reporting reflects the underlying transactions and events within a range of acceptable limits.</t>
    </r>
  </si>
  <si>
    <r>
      <t>Reflects Management's Choices</t>
    </r>
    <r>
      <rPr>
        <sz val="9"/>
        <color rgb="FF000000"/>
        <rFont val="Calibri"/>
        <family val="2"/>
        <scheme val="minor"/>
      </rPr>
      <t>—Internal reporting provides management with accurate and complete information regarding management's choices and information needed in managing the entity.</t>
    </r>
  </si>
  <si>
    <r>
      <t>Considers the Required Level of Precision</t>
    </r>
    <r>
      <rPr>
        <sz val="9"/>
        <color rgb="FF000000"/>
        <rFont val="Calibri"/>
        <family val="2"/>
        <scheme val="minor"/>
      </rPr>
      <t>—Management reflects the required level of precision and accuracy suitable for user needs in nonfinancial reporting objectives and materiality within financial reporting objectives.</t>
    </r>
  </si>
  <si>
    <r>
      <t>Reflects Entity Activities</t>
    </r>
    <r>
      <rPr>
        <sz val="9"/>
        <color rgb="FF000000"/>
        <rFont val="Calibri"/>
        <family val="2"/>
        <scheme val="minor"/>
      </rPr>
      <t>—Internal reporting reflects the underlying transactions and events within a range of acceptable limits.</t>
    </r>
  </si>
  <si>
    <r>
      <t>Reflects External Laws and Regulations</t>
    </r>
    <r>
      <rPr>
        <sz val="9"/>
        <color rgb="FF000000"/>
        <rFont val="Calibri"/>
        <family val="2"/>
        <scheme val="minor"/>
      </rPr>
      <t>—Laws and regulations establish minimum standards of conduct, which the entity integrates into compliance objectives.</t>
    </r>
  </si>
  <si>
    <t>ID.GV-3</t>
  </si>
  <si>
    <r>
      <t>Establishes Sub-objectives to Support Objectives</t>
    </r>
    <r>
      <rPr>
        <i/>
        <sz val="9"/>
        <color rgb="FF000000"/>
        <rFont val="Calibri"/>
        <family val="2"/>
        <scheme val="minor"/>
      </rPr>
      <t>—Management identifies sub-objectives related to security, availability, processing integrity, confidentiality, and privacy to support the achievement of the entity’s objectives related to reporting, operations, and compliance.</t>
    </r>
  </si>
  <si>
    <t>CC3.2</t>
  </si>
  <si>
    <r>
      <t>Includes Entity, Subsidiary, Division, Operating Unit, and Functional Levels</t>
    </r>
    <r>
      <rPr>
        <sz val="9"/>
        <color rgb="FF000000"/>
        <rFont val="Calibri"/>
        <family val="2"/>
        <scheme val="minor"/>
      </rPr>
      <t>—The entity identifies and assesses risk at the entity, subsidiary, division, operating unit, and functional levels relevant to the achievement of objectives.</t>
    </r>
  </si>
  <si>
    <t>ID.RA-1</t>
  </si>
  <si>
    <t>ID.RA-2</t>
  </si>
  <si>
    <r>
      <t>Analyzes Internal and External Factors</t>
    </r>
    <r>
      <rPr>
        <i/>
        <sz val="9"/>
        <color rgb="FF000000"/>
        <rFont val="Calibri"/>
        <family val="2"/>
        <scheme val="minor"/>
      </rPr>
      <t>—</t>
    </r>
    <r>
      <rPr>
        <sz val="9"/>
        <color rgb="FF000000"/>
        <rFont val="Calibri"/>
        <family val="2"/>
        <scheme val="minor"/>
      </rPr>
      <t>Risk identification considers both internal and external factors and their impact on the achievement of objectives.</t>
    </r>
  </si>
  <si>
    <t>ID.RA-3</t>
  </si>
  <si>
    <t>ID.RA-5</t>
  </si>
  <si>
    <r>
      <t>Involves Appropriate Levels of Management</t>
    </r>
    <r>
      <rPr>
        <i/>
        <sz val="9"/>
        <color rgb="FF000000"/>
        <rFont val="Calibri"/>
        <family val="2"/>
        <scheme val="minor"/>
      </rPr>
      <t>—</t>
    </r>
    <r>
      <rPr>
        <sz val="9"/>
        <color rgb="FF000000"/>
        <rFont val="Calibri"/>
        <family val="2"/>
        <scheme val="minor"/>
      </rPr>
      <t>The entity puts into place effective risk assessment mechanisms that involve appropriate levels of management.</t>
    </r>
  </si>
  <si>
    <r>
      <t>Estimates Significance of Risks Identified</t>
    </r>
    <r>
      <rPr>
        <i/>
        <sz val="9"/>
        <color rgb="FF000000"/>
        <rFont val="Calibri"/>
        <family val="2"/>
        <scheme val="minor"/>
      </rPr>
      <t>—</t>
    </r>
    <r>
      <rPr>
        <sz val="9"/>
        <color rgb="FF000000"/>
        <rFont val="Calibri"/>
        <family val="2"/>
        <scheme val="minor"/>
      </rPr>
      <t xml:space="preserve">Identified risks are analyzed through a process that includes estimating the potential significance of the risk. </t>
    </r>
  </si>
  <si>
    <t>ID.RA-4</t>
  </si>
  <si>
    <r>
      <t>Determines How to Respond to Risks</t>
    </r>
    <r>
      <rPr>
        <sz val="9"/>
        <color theme="1"/>
        <rFont val="Calibri"/>
        <family val="2"/>
        <scheme val="minor"/>
      </rPr>
      <t>—Risk assessment includes considering how the risk should be managed and whether to accept, avoid, reduce, or share the risk.</t>
    </r>
  </si>
  <si>
    <t>ID.RA-6</t>
  </si>
  <si>
    <r>
      <t>Identifies and Assesses Criticality of Information Assets and Identifies Threats and Vulnerabilities</t>
    </r>
    <r>
      <rPr>
        <sz val="9"/>
        <color theme="1"/>
        <rFont val="Calibri"/>
        <family val="2"/>
        <scheme val="minor"/>
      </rPr>
      <t>—</t>
    </r>
    <r>
      <rPr>
        <i/>
        <sz val="9"/>
        <color theme="1"/>
        <rFont val="Calibri"/>
        <family val="2"/>
        <scheme val="minor"/>
      </rPr>
      <t>The entity's risk identification and assessment process includes (1) identifying information assets, including physical devices and systems, virtual devices, software, data and data flows, external information systems, and organizational roles; (2) assessing the criticality of those information assets; (3) identifying the threats to the assets from intentional (including malicious) and unintentional acts and environmental events; and (4) identifying the vulnerabilities of the identified assets.</t>
    </r>
  </si>
  <si>
    <t>ID.AM-1</t>
  </si>
  <si>
    <t>ID.AM-2</t>
  </si>
  <si>
    <t>ID.AM-3</t>
  </si>
  <si>
    <t>ID.AM-4</t>
  </si>
  <si>
    <t>ID.AM-5</t>
  </si>
  <si>
    <r>
      <t>Analyzes Threats and Vulnerabilities From Vendors, Business Partners, and Other Parties</t>
    </r>
    <r>
      <rPr>
        <i/>
        <sz val="9"/>
        <color theme="1"/>
        <rFont val="Calibri"/>
        <family val="2"/>
        <scheme val="minor"/>
      </rPr>
      <t xml:space="preserve">—The entity's risk assessment process includes </t>
    </r>
    <r>
      <rPr>
        <i/>
        <sz val="9"/>
        <color rgb="FF000000"/>
        <rFont val="Calibri"/>
        <family val="2"/>
        <scheme val="minor"/>
      </rPr>
      <t xml:space="preserve">the analysis of </t>
    </r>
    <r>
      <rPr>
        <i/>
        <sz val="9"/>
        <color theme="1"/>
        <rFont val="Calibri"/>
        <family val="2"/>
        <scheme val="minor"/>
      </rPr>
      <t xml:space="preserve">potential threats and vulnerabilities arising from vendors providing goods and services, as well as threats and vulnerabilities arising from business partners, customers, and others with access to the entity's information systems. </t>
    </r>
  </si>
  <si>
    <r>
      <t>Considers the Significance of the Risk</t>
    </r>
    <r>
      <rPr>
        <i/>
        <sz val="9"/>
        <color theme="1"/>
        <rFont val="Calibri"/>
        <family val="2"/>
        <scheme val="minor"/>
      </rPr>
      <t>—The entity’s consideration of the potential significance of the identified risks includes (1) determining the criticality of identified assets in meeting objectives; (2) assessing the impact of identified threats and vulnerabilities in meeting objectives; (3) assessing the likelihood of identified threats; and (4) determining the risk associated with assets based on asset criticality, threat impact, and likelihood.</t>
    </r>
  </si>
  <si>
    <t>CC3.3</t>
  </si>
  <si>
    <r>
      <t>COSO Principle 8: The entity considers the potential for fraud in assessing risks to the achievement of objectives.</t>
    </r>
    <r>
      <rPr>
        <sz val="9"/>
        <color rgb="FFFF0000"/>
        <rFont val="Calibri"/>
        <family val="2"/>
        <scheme val="minor"/>
      </rPr>
      <t xml:space="preserve"> </t>
    </r>
  </si>
  <si>
    <r>
      <t>Considers Various Types of Fraud</t>
    </r>
    <r>
      <rPr>
        <i/>
        <sz val="9"/>
        <color rgb="FF000000"/>
        <rFont val="Calibri"/>
        <family val="2"/>
        <scheme val="minor"/>
      </rPr>
      <t>—</t>
    </r>
    <r>
      <rPr>
        <sz val="9"/>
        <color rgb="FF000000"/>
        <rFont val="Calibri"/>
        <family val="2"/>
        <scheme val="minor"/>
      </rPr>
      <t>The assessment of fraud considers fraudulent reporting, possible loss of assets, and corruption resulting from the various ways that fraud and misconduct can occur.</t>
    </r>
  </si>
  <si>
    <r>
      <t>Assesses Incentives and Pressures</t>
    </r>
    <r>
      <rPr>
        <i/>
        <sz val="9"/>
        <color rgb="FF000000"/>
        <rFont val="Calibri"/>
        <family val="2"/>
        <scheme val="minor"/>
      </rPr>
      <t>—</t>
    </r>
    <r>
      <rPr>
        <sz val="9"/>
        <color rgb="FF000000"/>
        <rFont val="Calibri"/>
        <family val="2"/>
        <scheme val="minor"/>
      </rPr>
      <t>The assessment of fraud risks considers incentives and pressures.</t>
    </r>
  </si>
  <si>
    <r>
      <t>Assesses Opportunities</t>
    </r>
    <r>
      <rPr>
        <i/>
        <sz val="9"/>
        <color rgb="FF000000"/>
        <rFont val="Calibri"/>
        <family val="2"/>
        <scheme val="minor"/>
      </rPr>
      <t>—</t>
    </r>
    <r>
      <rPr>
        <sz val="9"/>
        <color rgb="FF000000"/>
        <rFont val="Calibri"/>
        <family val="2"/>
        <scheme val="minor"/>
      </rPr>
      <t>The assessment of fraud risk considers opportunities for unauthorized acquisition, use, or disposal of assets, altering the entity’s reporting records, or committing other inappropriate acts.</t>
    </r>
  </si>
  <si>
    <r>
      <t>Assesses Attitudes and Rationalizations</t>
    </r>
    <r>
      <rPr>
        <i/>
        <sz val="9"/>
        <color rgb="FF000000"/>
        <rFont val="Calibri"/>
        <family val="2"/>
        <scheme val="minor"/>
      </rPr>
      <t>—</t>
    </r>
    <r>
      <rPr>
        <sz val="9"/>
        <color rgb="FF000000"/>
        <rFont val="Calibri"/>
        <family val="2"/>
        <scheme val="minor"/>
      </rPr>
      <t>The assessment of fraud risk considers how management and other personnel might engage in or justify inappropriate actions.</t>
    </r>
  </si>
  <si>
    <r>
      <t>Considers the Risks Related to the Use of IT and Access to Information</t>
    </r>
    <r>
      <rPr>
        <i/>
        <sz val="9"/>
        <color theme="1"/>
        <rFont val="Calibri"/>
        <family val="2"/>
        <scheme val="minor"/>
      </rPr>
      <t xml:space="preserve">—The assessment of fraud risks includes consideration of threats and vulnerabilities that arise specifically from the use of IT and access to information. </t>
    </r>
  </si>
  <si>
    <t>CC3.4</t>
  </si>
  <si>
    <r>
      <t>Assesses Changes in the External Environment</t>
    </r>
    <r>
      <rPr>
        <i/>
        <sz val="9"/>
        <color rgb="FF000000"/>
        <rFont val="Calibri"/>
        <family val="2"/>
        <scheme val="minor"/>
      </rPr>
      <t>—</t>
    </r>
    <r>
      <rPr>
        <sz val="9"/>
        <color rgb="FF000000"/>
        <rFont val="Calibri"/>
        <family val="2"/>
        <scheme val="minor"/>
      </rPr>
      <t>The risk identification process considers changes to the regulatory, economic, and physical environment in which the entity operates.</t>
    </r>
  </si>
  <si>
    <r>
      <t>Assesses Changes in the Business Model</t>
    </r>
    <r>
      <rPr>
        <i/>
        <sz val="9"/>
        <color rgb="FF000000"/>
        <rFont val="Calibri"/>
        <family val="2"/>
        <scheme val="minor"/>
      </rPr>
      <t>—</t>
    </r>
    <r>
      <rPr>
        <sz val="9"/>
        <color rgb="FF000000"/>
        <rFont val="Calibri"/>
        <family val="2"/>
        <scheme val="minor"/>
      </rPr>
      <t>The entity considers the potential impacts of new business lines, dramatically altered compositions of existing business lines, acquired or divested business operations on the system of internal control, rapid growth, changing reliance on foreign geographies, and new technologies.</t>
    </r>
  </si>
  <si>
    <r>
      <t>Assesses Changes in Leadership</t>
    </r>
    <r>
      <rPr>
        <i/>
        <sz val="9"/>
        <color rgb="FF000000"/>
        <rFont val="Calibri"/>
        <family val="2"/>
        <scheme val="minor"/>
      </rPr>
      <t>—</t>
    </r>
    <r>
      <rPr>
        <sz val="9"/>
        <color rgb="FF000000"/>
        <rFont val="Calibri"/>
        <family val="2"/>
        <scheme val="minor"/>
      </rPr>
      <t>The entity considers changes in management and respective attitudes and philosophies on the system of internal control.</t>
    </r>
  </si>
  <si>
    <r>
      <t>Assess Changes in Systems and Technology</t>
    </r>
    <r>
      <rPr>
        <i/>
        <sz val="9"/>
        <color theme="1"/>
        <rFont val="Calibri"/>
        <family val="2"/>
        <scheme val="minor"/>
      </rPr>
      <t xml:space="preserve">—The risk identification process considers changes arising from changes in the entity’s systems and changes in the technology environment. </t>
    </r>
  </si>
  <si>
    <r>
      <t>Assess Changes in Vendor and Business Partner Relationships</t>
    </r>
    <r>
      <rPr>
        <i/>
        <sz val="9"/>
        <color theme="1"/>
        <rFont val="Calibri"/>
        <family val="2"/>
        <scheme val="minor"/>
      </rPr>
      <t xml:space="preserve">—The risk identification process considers changes in vendor and business partner relationships. </t>
    </r>
  </si>
  <si>
    <t>CC4.1</t>
  </si>
  <si>
    <r>
      <t>COSO Principle 16</t>
    </r>
    <r>
      <rPr>
        <i/>
        <sz val="9"/>
        <color theme="1"/>
        <rFont val="Calibri"/>
        <family val="2"/>
        <scheme val="minor"/>
      </rPr>
      <t xml:space="preserve">: </t>
    </r>
    <r>
      <rPr>
        <sz val="9"/>
        <color theme="1"/>
        <rFont val="Calibri"/>
        <family val="2"/>
        <scheme val="minor"/>
      </rPr>
      <t>The entity selects, develops, and performs ongoing and/or separate evaluations to ascertain whether the components of internal control are present and functioning.</t>
    </r>
    <r>
      <rPr>
        <i/>
        <sz val="9"/>
        <color theme="1"/>
        <rFont val="Calibri"/>
        <family val="2"/>
        <scheme val="minor"/>
      </rPr>
      <t xml:space="preserve"> </t>
    </r>
  </si>
  <si>
    <r>
      <t>Considers a Mix of Ongoing and Separate Evaluations</t>
    </r>
    <r>
      <rPr>
        <sz val="9"/>
        <color rgb="FF000000"/>
        <rFont val="Calibri"/>
        <family val="2"/>
        <scheme val="minor"/>
      </rPr>
      <t>—Management includes a balance of ongoing and separate evaluations.</t>
    </r>
  </si>
  <si>
    <r>
      <t>Considers Rate of Change</t>
    </r>
    <r>
      <rPr>
        <sz val="9"/>
        <color rgb="FF000000"/>
        <rFont val="Calibri"/>
        <family val="2"/>
        <scheme val="minor"/>
      </rPr>
      <t>—Management considers the rate of change in business and business processes when selecting and developing ongoing and separate evaluations.</t>
    </r>
  </si>
  <si>
    <r>
      <t>Establishes Baseline Understanding</t>
    </r>
    <r>
      <rPr>
        <i/>
        <sz val="9"/>
        <color rgb="FF000000"/>
        <rFont val="Calibri"/>
        <family val="2"/>
        <scheme val="minor"/>
      </rPr>
      <t>—</t>
    </r>
    <r>
      <rPr>
        <sz val="9"/>
        <color rgb="FF000000"/>
        <rFont val="Calibri"/>
        <family val="2"/>
        <scheme val="minor"/>
      </rPr>
      <t>The design and current state of an internal control system are used to establish a baseline for ongoing and separate evaluations.</t>
    </r>
  </si>
  <si>
    <r>
      <t>Uses Knowledgeable Personnel</t>
    </r>
    <r>
      <rPr>
        <sz val="9"/>
        <color rgb="FF000000"/>
        <rFont val="Calibri"/>
        <family val="2"/>
        <scheme val="minor"/>
      </rPr>
      <t>—Evaluators performing ongoing and separate evaluations have sufficient knowledge to understand what is being evaluated.</t>
    </r>
  </si>
  <si>
    <r>
      <t>Integrates With Business Processes</t>
    </r>
    <r>
      <rPr>
        <sz val="9"/>
        <color rgb="FF000000"/>
        <rFont val="Calibri"/>
        <family val="2"/>
        <scheme val="minor"/>
      </rPr>
      <t>—Ongoing evaluations are built into the business processes and adjust to changing conditions.</t>
    </r>
  </si>
  <si>
    <r>
      <t>Adjusts Scope and Frequency</t>
    </r>
    <r>
      <rPr>
        <i/>
        <sz val="9"/>
        <color rgb="FF000000"/>
        <rFont val="Calibri"/>
        <family val="2"/>
        <scheme val="minor"/>
      </rPr>
      <t>—</t>
    </r>
    <r>
      <rPr>
        <sz val="9"/>
        <color rgb="FF000000"/>
        <rFont val="Calibri"/>
        <family val="2"/>
        <scheme val="minor"/>
      </rPr>
      <t>Management varies the scope and frequency of separate evaluations depending on risk.</t>
    </r>
  </si>
  <si>
    <r>
      <t>Objectively Evaluates</t>
    </r>
    <r>
      <rPr>
        <i/>
        <sz val="9"/>
        <color rgb="FF000000"/>
        <rFont val="Calibri"/>
        <family val="2"/>
        <scheme val="minor"/>
      </rPr>
      <t>—</t>
    </r>
    <r>
      <rPr>
        <sz val="9"/>
        <color rgb="FF000000"/>
        <rFont val="Calibri"/>
        <family val="2"/>
        <scheme val="minor"/>
      </rPr>
      <t>Separate evaluations are performed periodically to provide objective feedback.</t>
    </r>
  </si>
  <si>
    <r>
      <t>Considers Different Types of Ongoing and Separate Evaluations</t>
    </r>
    <r>
      <rPr>
        <i/>
        <sz val="9"/>
        <color rgb="FF000000"/>
        <rFont val="Calibri"/>
        <family val="2"/>
        <scheme val="minor"/>
      </rPr>
      <t xml:space="preserve">—Management uses a variety of different types of ongoing and separate evaluations, including penetration testing, independent certification made against established specifications (for example, ISO certifications), and internal audit assessments.  </t>
    </r>
  </si>
  <si>
    <t>CC4.2</t>
  </si>
  <si>
    <r>
      <t>Assesses Results</t>
    </r>
    <r>
      <rPr>
        <i/>
        <sz val="9"/>
        <color rgb="FF000000"/>
        <rFont val="Calibri"/>
        <family val="2"/>
        <scheme val="minor"/>
      </rPr>
      <t>—</t>
    </r>
    <r>
      <rPr>
        <sz val="9"/>
        <color rgb="FF000000"/>
        <rFont val="Calibri"/>
        <family val="2"/>
        <scheme val="minor"/>
      </rPr>
      <t>Management and the board of directors, as appropriate, assess results of ongoing and separate evaluations.</t>
    </r>
  </si>
  <si>
    <t>PR.IP-7</t>
  </si>
  <si>
    <r>
      <t>Communicates Deficiencies</t>
    </r>
    <r>
      <rPr>
        <i/>
        <sz val="9"/>
        <color rgb="FF000000"/>
        <rFont val="Calibri"/>
        <family val="2"/>
        <scheme val="minor"/>
      </rPr>
      <t>—</t>
    </r>
    <r>
      <rPr>
        <sz val="9"/>
        <color rgb="FF000000"/>
        <rFont val="Calibri"/>
        <family val="2"/>
        <scheme val="minor"/>
      </rPr>
      <t>Deficiencies are communicated to parties responsible for taking corrective action and to senior management and the board of directors, as appropriate.</t>
    </r>
  </si>
  <si>
    <r>
      <t>Monitors Corrective Action</t>
    </r>
    <r>
      <rPr>
        <i/>
        <sz val="9"/>
        <color rgb="FF000000"/>
        <rFont val="Calibri"/>
        <family val="2"/>
        <scheme val="minor"/>
      </rPr>
      <t>—</t>
    </r>
    <r>
      <rPr>
        <sz val="9"/>
        <color rgb="FF000000"/>
        <rFont val="Calibri"/>
        <family val="2"/>
        <scheme val="minor"/>
      </rPr>
      <t>Management tracks whether deficiencies are remedied on a timely basis.</t>
    </r>
  </si>
  <si>
    <t>CC5.1</t>
  </si>
  <si>
    <r>
      <t>Integrates With Risk Assessment</t>
    </r>
    <r>
      <rPr>
        <sz val="9"/>
        <color rgb="FF000000"/>
        <rFont val="Calibri"/>
        <family val="2"/>
        <scheme val="minor"/>
      </rPr>
      <t xml:space="preserve">—Control activities help ensure that risk responses that address and mitigate risks are carried out.  </t>
    </r>
  </si>
  <si>
    <t>ID.RM-1</t>
  </si>
  <si>
    <r>
      <t>Considers Entity-Specific Factors</t>
    </r>
    <r>
      <rPr>
        <sz val="9"/>
        <color rgb="FF000000"/>
        <rFont val="Calibri"/>
        <family val="2"/>
        <scheme val="minor"/>
      </rPr>
      <t>—Management considers how the environment, complexity, nature, and scope of its operations, as well as the specific characteristics of its organization, affect the selection and development of control activities.</t>
    </r>
  </si>
  <si>
    <r>
      <t>Determines Relevant Business Processes</t>
    </r>
    <r>
      <rPr>
        <sz val="9"/>
        <color rgb="FF000000"/>
        <rFont val="Calibri"/>
        <family val="2"/>
        <scheme val="minor"/>
      </rPr>
      <t>—Management determines which relevant business processes require control activities.</t>
    </r>
  </si>
  <si>
    <r>
      <t>Evaluates a Mix of Control Activity Types</t>
    </r>
    <r>
      <rPr>
        <i/>
        <sz val="9"/>
        <color rgb="FF000000"/>
        <rFont val="Calibri"/>
        <family val="2"/>
        <scheme val="minor"/>
      </rPr>
      <t>—</t>
    </r>
    <r>
      <rPr>
        <sz val="9"/>
        <color rgb="FF000000"/>
        <rFont val="Calibri"/>
        <family val="2"/>
        <scheme val="minor"/>
      </rPr>
      <t>Control activities include a range and variety of controls and may include a balance of approaches to mitigate risks, considering both manual and automated controls, and preventive and detective controls.</t>
    </r>
  </si>
  <si>
    <r>
      <t>Considers at What Level Activities Are Applied</t>
    </r>
    <r>
      <rPr>
        <i/>
        <sz val="9"/>
        <color rgb="FF000000"/>
        <rFont val="Calibri"/>
        <family val="2"/>
        <scheme val="minor"/>
      </rPr>
      <t>—</t>
    </r>
    <r>
      <rPr>
        <sz val="9"/>
        <color rgb="FF000000"/>
        <rFont val="Calibri"/>
        <family val="2"/>
        <scheme val="minor"/>
      </rPr>
      <t>Management considers control activities at various levels in the entity.</t>
    </r>
  </si>
  <si>
    <r>
      <t>Addresses Segregation of Duties</t>
    </r>
    <r>
      <rPr>
        <sz val="9"/>
        <color rgb="FF000000"/>
        <rFont val="Calibri"/>
        <family val="2"/>
        <scheme val="minor"/>
      </rPr>
      <t>—Management segregates incompatible duties, and where such segregation is not practical, management selects and develops alternative control activities.</t>
    </r>
  </si>
  <si>
    <t>CC5.2</t>
  </si>
  <si>
    <r>
      <t>Determines Dependency Between the Use of Technology in Business Processes and Technology General Controls</t>
    </r>
    <r>
      <rPr>
        <sz val="9"/>
        <color rgb="FF000000"/>
        <rFont val="Calibri"/>
        <family val="2"/>
        <scheme val="minor"/>
      </rPr>
      <t>—Management understands and determines the dependency and linkage between business processes, automated control activities, and technology general controls.</t>
    </r>
  </si>
  <si>
    <r>
      <t>Establishes Relevant Technology Infrastructure Control Activities</t>
    </r>
    <r>
      <rPr>
        <i/>
        <sz val="9"/>
        <color rgb="FF000000"/>
        <rFont val="Calibri"/>
        <family val="2"/>
        <scheme val="minor"/>
      </rPr>
      <t>—</t>
    </r>
    <r>
      <rPr>
        <sz val="9"/>
        <color rgb="FF000000"/>
        <rFont val="Calibri"/>
        <family val="2"/>
        <scheme val="minor"/>
      </rPr>
      <t>Management selects and develops control activities over the technology infrastructure, which are designed and implemented to help ensure the completeness, accuracy, and availability of technology processing.</t>
    </r>
  </si>
  <si>
    <r>
      <t>Establishes Relevant Security Management Process Controls Activities</t>
    </r>
    <r>
      <rPr>
        <i/>
        <sz val="9"/>
        <color rgb="FF000000"/>
        <rFont val="Calibri"/>
        <family val="2"/>
        <scheme val="minor"/>
      </rPr>
      <t>—</t>
    </r>
    <r>
      <rPr>
        <sz val="9"/>
        <color rgb="FF000000"/>
        <rFont val="Calibri"/>
        <family val="2"/>
        <scheme val="minor"/>
      </rPr>
      <t>Management selects and develops control activities that are designed and implemented to restrict technology access rights to authorized users commensurate with their job responsibilities and to protect the entity’s assets from external threats.</t>
    </r>
  </si>
  <si>
    <r>
      <t>Establishes Relevant Technology Acquisition, Development, and Maintenance Process Control Activities</t>
    </r>
    <r>
      <rPr>
        <i/>
        <sz val="9"/>
        <color rgb="FF000000"/>
        <rFont val="Calibri"/>
        <family val="2"/>
        <scheme val="minor"/>
      </rPr>
      <t>—</t>
    </r>
    <r>
      <rPr>
        <sz val="9"/>
        <color rgb="FF000000"/>
        <rFont val="Calibri"/>
        <family val="2"/>
        <scheme val="minor"/>
      </rPr>
      <t>Management selects and develops control activities over the acquisition, development, and maintenance of technology and its infrastructure to achieve management’s objectives.</t>
    </r>
  </si>
  <si>
    <t>CC5.3</t>
  </si>
  <si>
    <r>
      <t>Establishes Policies and Procedures to Support Deployment of Management ‘s Directives</t>
    </r>
    <r>
      <rPr>
        <i/>
        <sz val="9"/>
        <color rgb="FF000000"/>
        <rFont val="Calibri"/>
        <family val="2"/>
        <scheme val="minor"/>
      </rPr>
      <t>—</t>
    </r>
    <r>
      <rPr>
        <sz val="9"/>
        <color rgb="FF000000"/>
        <rFont val="Calibri"/>
        <family val="2"/>
        <scheme val="minor"/>
      </rPr>
      <t>Management establishes control activities that are built into business processes and employees’ day-to-day activities through policies establishing what is expected and relevant procedures specifying actions.</t>
    </r>
  </si>
  <si>
    <t>ID.GV-1</t>
  </si>
  <si>
    <r>
      <t>Establishes Responsibility and Accountability for Executing Policies and Procedures</t>
    </r>
    <r>
      <rPr>
        <i/>
        <sz val="9"/>
        <color rgb="FF000000"/>
        <rFont val="Calibri"/>
        <family val="2"/>
        <scheme val="minor"/>
      </rPr>
      <t>—</t>
    </r>
    <r>
      <rPr>
        <sz val="9"/>
        <color rgb="FF000000"/>
        <rFont val="Calibri"/>
        <family val="2"/>
        <scheme val="minor"/>
      </rPr>
      <t>Management establishes responsibility and accountability for control activities with management (or other designated personnel) of the business unit or function in which the relevant risks reside.</t>
    </r>
  </si>
  <si>
    <r>
      <t>Performs in a Timely Manner</t>
    </r>
    <r>
      <rPr>
        <i/>
        <sz val="9"/>
        <color rgb="FF000000"/>
        <rFont val="Calibri"/>
        <family val="2"/>
        <scheme val="minor"/>
      </rPr>
      <t>—</t>
    </r>
    <r>
      <rPr>
        <sz val="9"/>
        <color rgb="FF000000"/>
        <rFont val="Calibri"/>
        <family val="2"/>
        <scheme val="minor"/>
      </rPr>
      <t>Responsible personnel perform control activities in a timely manner as defined by the policies and procedures.</t>
    </r>
  </si>
  <si>
    <r>
      <t>Takes Corrective Action</t>
    </r>
    <r>
      <rPr>
        <i/>
        <sz val="9"/>
        <color rgb="FF000000"/>
        <rFont val="Calibri"/>
        <family val="2"/>
        <scheme val="minor"/>
      </rPr>
      <t>—</t>
    </r>
    <r>
      <rPr>
        <sz val="9"/>
        <color rgb="FF000000"/>
        <rFont val="Calibri"/>
        <family val="2"/>
        <scheme val="minor"/>
      </rPr>
      <t>Responsible personnel investigate and act on matters identified as a result of executing control activities.</t>
    </r>
  </si>
  <si>
    <r>
      <t>Performs Using Competent Personnel</t>
    </r>
    <r>
      <rPr>
        <i/>
        <sz val="9"/>
        <color rgb="FF000000"/>
        <rFont val="Calibri"/>
        <family val="2"/>
        <scheme val="minor"/>
      </rPr>
      <t>—</t>
    </r>
    <r>
      <rPr>
        <sz val="9"/>
        <color rgb="FF000000"/>
        <rFont val="Calibri"/>
        <family val="2"/>
        <scheme val="minor"/>
      </rPr>
      <t>Competent personnel with sufficient authority perform control activities with diligence and continuing focus.</t>
    </r>
  </si>
  <si>
    <r>
      <rPr>
        <u/>
        <sz val="9"/>
        <color theme="1"/>
        <rFont val="Calibri"/>
        <family val="2"/>
        <scheme val="minor"/>
      </rPr>
      <t>Reassesses Policies and Procedures</t>
    </r>
    <r>
      <rPr>
        <sz val="9"/>
        <color theme="1"/>
        <rFont val="Calibri"/>
        <family val="2"/>
        <scheme val="minor"/>
      </rPr>
      <t>—Management periodically reviews control activities to determine their continued relevance and refreshes them when necessary.</t>
    </r>
  </si>
  <si>
    <t>PR.IP-12</t>
  </si>
  <si>
    <t>DE.DP-5</t>
  </si>
  <si>
    <t xml:space="preserve">CC6.1  </t>
  </si>
  <si>
    <r>
      <t>Identifies and Manages the Inventory of Information Assets—</t>
    </r>
    <r>
      <rPr>
        <i/>
        <sz val="9"/>
        <color rgb="FF000000"/>
        <rFont val="Calibri"/>
        <family val="2"/>
        <scheme val="minor"/>
      </rPr>
      <t xml:space="preserve">The entity identifies, inventories, classifies, and manages information assets.  </t>
    </r>
  </si>
  <si>
    <t>PR.DS-3</t>
  </si>
  <si>
    <r>
      <t>Restricts  Logical Access—</t>
    </r>
    <r>
      <rPr>
        <i/>
        <sz val="9"/>
        <color rgb="FF000000"/>
        <rFont val="Calibri"/>
        <family val="2"/>
        <scheme val="minor"/>
      </rPr>
      <t xml:space="preserve">Logical access to information assets, including hardware, data (at-rest, during processing, or in transmission), software, administrative authorities, mobile devices, output, and offline system components is restricted through the use of access control software and rule sets. </t>
    </r>
  </si>
  <si>
    <t>PR.AC-5</t>
  </si>
  <si>
    <t>PR.PT-3</t>
  </si>
  <si>
    <t>PR.DS-1</t>
  </si>
  <si>
    <t>PR.DS-2</t>
  </si>
  <si>
    <r>
      <t>Identifies and Authenticates Users</t>
    </r>
    <r>
      <rPr>
        <i/>
        <sz val="9"/>
        <color rgb="FF000000"/>
        <rFont val="Calibri"/>
        <family val="2"/>
        <scheme val="minor"/>
      </rPr>
      <t xml:space="preserve">—Persons, infrastructure and software are identified and authenticated prior to accessing information assets, whether locally or remotely. </t>
    </r>
  </si>
  <si>
    <t>PR.AC-6</t>
  </si>
  <si>
    <r>
      <t>Considers Network Segmentation</t>
    </r>
    <r>
      <rPr>
        <i/>
        <sz val="9"/>
        <color rgb="FF000000"/>
        <rFont val="Calibri"/>
        <family val="2"/>
        <scheme val="minor"/>
      </rPr>
      <t xml:space="preserve">—Network segmentation permits unrelated portions of the entity's information system to be isolated from each other. </t>
    </r>
  </si>
  <si>
    <r>
      <t>Manages Points of Access</t>
    </r>
    <r>
      <rPr>
        <i/>
        <sz val="9"/>
        <color theme="1"/>
        <rFont val="Calibri"/>
        <family val="2"/>
        <scheme val="minor"/>
      </rPr>
      <t xml:space="preserve">—Points of access by outside entities and the types of data that flow through the points of access are identified, inventoried, and managed. The types of individuals and systems using each point of access are identified, documented, and managed. </t>
    </r>
  </si>
  <si>
    <r>
      <t>Restricts Access to Information Assets</t>
    </r>
    <r>
      <rPr>
        <i/>
        <sz val="9"/>
        <color theme="1"/>
        <rFont val="Calibri"/>
        <family val="2"/>
        <scheme val="minor"/>
      </rPr>
      <t xml:space="preserve">—Combinations of data classification, separate data structures, port restrictions, access protocol restrictions, user identification, and digital certificates are used to establish access control rules for information assets.  </t>
    </r>
  </si>
  <si>
    <r>
      <t>Manages Identification and Authentication</t>
    </r>
    <r>
      <rPr>
        <i/>
        <sz val="9"/>
        <color theme="1"/>
        <rFont val="Calibri"/>
        <family val="2"/>
        <scheme val="minor"/>
      </rPr>
      <t>—Identification and authentication requirements are established, documented, and managed for individuals and systems accessing entity information, infrastructure and software.</t>
    </r>
  </si>
  <si>
    <r>
      <t>Manages Credentials for Infrastructure and Software</t>
    </r>
    <r>
      <rPr>
        <i/>
        <sz val="9"/>
        <color theme="1"/>
        <rFont val="Calibri"/>
        <family val="2"/>
        <scheme val="minor"/>
      </rPr>
      <t xml:space="preserve">—New internal and external infrastructure and software  are registered, authorized, and documented prior to being granted access credentials and implemented on the network or access point. Credentials are removed and access is disabled when access is no longer required or the infrastructure and software are no longer in use. </t>
    </r>
  </si>
  <si>
    <t>PR.AC-1</t>
  </si>
  <si>
    <r>
      <t>Uses Encryption to Protect Data</t>
    </r>
    <r>
      <rPr>
        <i/>
        <sz val="9"/>
        <color theme="1"/>
        <rFont val="Calibri"/>
        <family val="2"/>
        <scheme val="minor"/>
      </rPr>
      <t>—The entity uses encryption to supplement other measures used to protect data-at-rest, when such protections are deemed appropriate based on assessed risk.</t>
    </r>
  </si>
  <si>
    <r>
      <t>Protects Encryption Keys</t>
    </r>
    <r>
      <rPr>
        <i/>
        <sz val="9"/>
        <color theme="1"/>
        <rFont val="Calibri"/>
        <family val="2"/>
        <scheme val="minor"/>
      </rPr>
      <t>—Processes are in place to protect encryption keys during generation, storage, use, and destruction.</t>
    </r>
  </si>
  <si>
    <t xml:space="preserve">CC6.2  </t>
  </si>
  <si>
    <r>
      <t>Controls Access Credentials to Protected Assets</t>
    </r>
    <r>
      <rPr>
        <i/>
        <sz val="9"/>
        <color rgb="FF000000"/>
        <rFont val="Calibri"/>
        <family val="2"/>
        <scheme val="minor"/>
      </rPr>
      <t>—Information asset access credentials are created based on an authorization from the system's asset owner or authorized custodian.</t>
    </r>
  </si>
  <si>
    <r>
      <t>Removes Access to Protected Assets When Appropriate</t>
    </r>
    <r>
      <rPr>
        <i/>
        <sz val="9"/>
        <color rgb="FF000000"/>
        <rFont val="Calibri"/>
        <family val="2"/>
        <scheme val="minor"/>
      </rPr>
      <t>—Processes are in place to remove credential access when an individual no longer requires such access.</t>
    </r>
  </si>
  <si>
    <r>
      <t>Reviews Appropriateness of Access Credentials</t>
    </r>
    <r>
      <rPr>
        <i/>
        <sz val="9"/>
        <color theme="1"/>
        <rFont val="Calibri"/>
        <family val="2"/>
        <scheme val="minor"/>
      </rPr>
      <t xml:space="preserve">—The appropriateness of access credentials is reviewed on a periodic basis for unnecessary and inappropriate individuals with credentials. </t>
    </r>
  </si>
  <si>
    <t xml:space="preserve">CC6.3 </t>
  </si>
  <si>
    <r>
      <t>Creates or Modifies Access to Protected Information Assets</t>
    </r>
    <r>
      <rPr>
        <i/>
        <sz val="9"/>
        <color theme="1"/>
        <rFont val="Calibri"/>
        <family val="2"/>
        <scheme val="minor"/>
      </rPr>
      <t>—Processes are in place to create or modify access to protected information assets based on authorization  from the asset’s owner.</t>
    </r>
  </si>
  <si>
    <t>PR.AC-4</t>
  </si>
  <si>
    <r>
      <t>Removes Access to Protected Information Assets</t>
    </r>
    <r>
      <rPr>
        <i/>
        <sz val="9"/>
        <color theme="1"/>
        <rFont val="Calibri"/>
        <family val="2"/>
        <scheme val="minor"/>
      </rPr>
      <t>—Processes are in place to remove access to protected information assets when an individual no longer requires access.</t>
    </r>
  </si>
  <si>
    <r>
      <t>Uses Role-Based Access Controls</t>
    </r>
    <r>
      <rPr>
        <i/>
        <sz val="9"/>
        <color theme="1"/>
        <rFont val="Calibri"/>
        <family val="2"/>
        <scheme val="minor"/>
      </rPr>
      <t>—Role-based access control is utilized to support segregation of incompatible functions.</t>
    </r>
  </si>
  <si>
    <t xml:space="preserve">CC6.4  </t>
  </si>
  <si>
    <r>
      <t>The entity restricts physical access to facilities and protected information assets (for example, data center</t>
    </r>
    <r>
      <rPr>
        <sz val="9"/>
        <color theme="1"/>
        <rFont val="Calibri"/>
        <family val="2"/>
        <scheme val="minor"/>
      </rPr>
      <t xml:space="preserve"> </t>
    </r>
    <r>
      <rPr>
        <i/>
        <sz val="9"/>
        <color theme="1"/>
        <rFont val="Calibri"/>
        <family val="2"/>
        <scheme val="minor"/>
      </rPr>
      <t>facilities,</t>
    </r>
    <r>
      <rPr>
        <sz val="9"/>
        <color theme="1"/>
        <rFont val="Calibri"/>
        <family val="2"/>
        <scheme val="minor"/>
      </rPr>
      <t xml:space="preserve"> </t>
    </r>
    <r>
      <rPr>
        <i/>
        <sz val="9"/>
        <color theme="1"/>
        <rFont val="Calibri"/>
        <family val="2"/>
        <scheme val="minor"/>
      </rPr>
      <t xml:space="preserve"> back-up media storage, and other sensitive locations) to authorized personnel to meet the entity’s objectives. </t>
    </r>
  </si>
  <si>
    <t>PR.AC-2</t>
  </si>
  <si>
    <r>
      <t>Creates or Modifies Physical Access—</t>
    </r>
    <r>
      <rPr>
        <i/>
        <sz val="9"/>
        <rFont val="Calibri"/>
        <family val="2"/>
        <scheme val="minor"/>
      </rPr>
      <t>Processes are in place to create or modify physical access to facilities such as data centers, office spaces, and work areas, based on authorization from the system's asset owner.</t>
    </r>
  </si>
  <si>
    <r>
      <t>Removes Physical Access</t>
    </r>
    <r>
      <rPr>
        <i/>
        <sz val="9"/>
        <color theme="1"/>
        <rFont val="Calibri"/>
        <family val="2"/>
        <scheme val="minor"/>
      </rPr>
      <t>—Processes are in place to remove access to physical resources when an individual no longer requires access.</t>
    </r>
  </si>
  <si>
    <r>
      <t>Reviews Physical Access</t>
    </r>
    <r>
      <rPr>
        <i/>
        <sz val="9"/>
        <rFont val="Calibri"/>
        <family val="2"/>
        <scheme val="minor"/>
      </rPr>
      <t>—Processes are in place to periodically review physical access to ensure consistency with job responsibilities.</t>
    </r>
  </si>
  <si>
    <t xml:space="preserve">CC6.5  </t>
  </si>
  <si>
    <r>
      <t>Identifies Data and Software for Disposal</t>
    </r>
    <r>
      <rPr>
        <i/>
        <sz val="9"/>
        <rFont val="Calibri"/>
        <family val="2"/>
        <scheme val="minor"/>
      </rPr>
      <t>—Procedures are in place to identify data and software stored on equipment to be disposed and to render such data and software unreadable.</t>
    </r>
  </si>
  <si>
    <r>
      <t>Removes Data and Software From Entity Control</t>
    </r>
    <r>
      <rPr>
        <i/>
        <sz val="9"/>
        <color theme="1"/>
        <rFont val="Calibri"/>
        <family val="2"/>
        <scheme val="minor"/>
      </rPr>
      <t>—Procedures are in place to remove data and software stored on equipment to be removed from the physical control of the entity and to render such data and software unreadable.</t>
    </r>
  </si>
  <si>
    <t>CC6.6</t>
  </si>
  <si>
    <r>
      <t>Restricts Access</t>
    </r>
    <r>
      <rPr>
        <i/>
        <sz val="9"/>
        <color theme="1"/>
        <rFont val="Calibri"/>
        <family val="2"/>
        <scheme val="minor"/>
      </rPr>
      <t xml:space="preserve">—The types of activities that can occur through a communication channel (for example, FTP site, router port) are restricted. </t>
    </r>
  </si>
  <si>
    <t>PR.AC-3</t>
  </si>
  <si>
    <r>
      <t>Protects Identification and Authentication Credentials</t>
    </r>
    <r>
      <rPr>
        <i/>
        <sz val="9"/>
        <color theme="1"/>
        <rFont val="Calibri"/>
        <family val="2"/>
        <scheme val="minor"/>
      </rPr>
      <t>—Identification and authentication credentials are protected during transmission outside its system boundaries.</t>
    </r>
  </si>
  <si>
    <r>
      <t>Requires Additional Authentication or Credentials</t>
    </r>
    <r>
      <rPr>
        <i/>
        <sz val="9"/>
        <color theme="1"/>
        <rFont val="Calibri"/>
        <family val="2"/>
        <scheme val="minor"/>
      </rPr>
      <t>—Additional authentication information or credentials are required when accessing the system from outside its boundaries.</t>
    </r>
  </si>
  <si>
    <r>
      <t>Implements Boundary Protection Systems</t>
    </r>
    <r>
      <rPr>
        <i/>
        <sz val="9"/>
        <color theme="1"/>
        <rFont val="Calibri"/>
        <family val="2"/>
        <scheme val="minor"/>
      </rPr>
      <t>—Boundary protection systems (for example, firewalls, demilitarized zones, and intrusion detection systems) are implemented to protect external access points from attempts and unauthorized access and are monitored to detect such attempts.</t>
    </r>
  </si>
  <si>
    <t>PR.DS-5</t>
  </si>
  <si>
    <t xml:space="preserve">CC6.7 </t>
  </si>
  <si>
    <r>
      <t>Restricts the Ability to Perform Transmission</t>
    </r>
    <r>
      <rPr>
        <i/>
        <sz val="9"/>
        <color theme="1"/>
        <rFont val="Calibri"/>
        <family val="2"/>
        <scheme val="minor"/>
      </rPr>
      <t>—Data loss prevention processes and technologies are used to restrict ability to authorize and execute transmission, movement and removal of information.</t>
    </r>
  </si>
  <si>
    <r>
      <t>Uses Encryption Technologies or Secure Communication Channels to Protect Data</t>
    </r>
    <r>
      <rPr>
        <i/>
        <sz val="9"/>
        <color theme="1"/>
        <rFont val="Calibri"/>
        <family val="2"/>
        <scheme val="minor"/>
      </rPr>
      <t>—Encryption technologies or secured communication channels are used to protect transmission of data and other communications beyond connectivity access points.</t>
    </r>
  </si>
  <si>
    <t>PR.PT-4</t>
  </si>
  <si>
    <r>
      <t>Protects Removal Media</t>
    </r>
    <r>
      <rPr>
        <i/>
        <sz val="9"/>
        <color theme="1"/>
        <rFont val="Calibri"/>
        <family val="2"/>
        <scheme val="minor"/>
      </rPr>
      <t>—Encryption technologies and physical asset protections are used for removable media (such as USB drives and back-up tapes), as appropriate.</t>
    </r>
  </si>
  <si>
    <t>PR.PT-2</t>
  </si>
  <si>
    <r>
      <t>Protects Mobile Devices</t>
    </r>
    <r>
      <rPr>
        <i/>
        <sz val="9"/>
        <color theme="1"/>
        <rFont val="Calibri"/>
        <family val="2"/>
        <scheme val="minor"/>
      </rPr>
      <t>—Processes are in place to protect mobile devices (such as laptops, smart phones and tablets) that serve as information assets.</t>
    </r>
  </si>
  <si>
    <t xml:space="preserve">CC6.8 </t>
  </si>
  <si>
    <r>
      <t>Restricts Application and Software Installation</t>
    </r>
    <r>
      <rPr>
        <i/>
        <sz val="9"/>
        <color theme="1"/>
        <rFont val="Calibri"/>
        <family val="2"/>
        <scheme val="minor"/>
      </rPr>
      <t>—The ability to install applications and software is restricted to authorized individuals.</t>
    </r>
  </si>
  <si>
    <r>
      <t>Detects Unauthorized Changes to Software and Configuration Parameters</t>
    </r>
    <r>
      <rPr>
        <i/>
        <sz val="9"/>
        <color theme="1"/>
        <rFont val="Calibri"/>
        <family val="2"/>
        <scheme val="minor"/>
      </rPr>
      <t>—Processes are in place to detect changes to software and configuration parameters that may be indicative of unauthorized or malicious software.</t>
    </r>
  </si>
  <si>
    <r>
      <t>Uses a Defined Change Control Process—</t>
    </r>
    <r>
      <rPr>
        <i/>
        <sz val="9"/>
        <color theme="1"/>
        <rFont val="Calibri"/>
        <family val="2"/>
        <scheme val="minor"/>
      </rPr>
      <t xml:space="preserve">A management-defined change control process is used for the implementation of software. </t>
    </r>
  </si>
  <si>
    <r>
      <t>Uses Antivirus and Anti-Malware Software</t>
    </r>
    <r>
      <rPr>
        <i/>
        <sz val="9"/>
        <color theme="1"/>
        <rFont val="Calibri"/>
        <family val="2"/>
        <scheme val="minor"/>
      </rPr>
      <t>—Antivirus and anti-malware software is implemented and maintained to provide for the interception or detection and remediation of malware.</t>
    </r>
  </si>
  <si>
    <t>DE.CM-4</t>
  </si>
  <si>
    <r>
      <t>Scans Information Assets from Outside the Entity for Malware and Other Unauthorized Software</t>
    </r>
    <r>
      <rPr>
        <i/>
        <sz val="9"/>
        <color theme="1"/>
        <rFont val="Calibri"/>
        <family val="2"/>
        <scheme val="minor"/>
      </rPr>
      <t xml:space="preserve">—Procedures are in place to scan information assets that have been transferred or returned to the entity’s custody for malware and other unauthorized software and to remove any items detected prior to its implementation on the network. </t>
    </r>
  </si>
  <si>
    <t>DE.CM-5</t>
  </si>
  <si>
    <t>CC7.1</t>
  </si>
  <si>
    <r>
      <t>Uses Defined Configuration Standards</t>
    </r>
    <r>
      <rPr>
        <i/>
        <sz val="9"/>
        <color theme="1"/>
        <rFont val="Calibri"/>
        <family val="2"/>
        <scheme val="minor"/>
      </rPr>
      <t xml:space="preserve">—Management has defined configuration standards. </t>
    </r>
  </si>
  <si>
    <t>PR.IP-1</t>
  </si>
  <si>
    <r>
      <t>Monitors Infrastructure and Software</t>
    </r>
    <r>
      <rPr>
        <i/>
        <sz val="9"/>
        <color theme="1"/>
        <rFont val="Calibri"/>
        <family val="2"/>
        <scheme val="minor"/>
      </rPr>
      <t xml:space="preserve">—The entity monitors infrastructure and software for noncompliance with the standards, which could threaten the achievement of the entity's objectives.  </t>
    </r>
  </si>
  <si>
    <r>
      <t>Implements Change-Detection Mechanisms</t>
    </r>
    <r>
      <rPr>
        <i/>
        <sz val="9"/>
        <color theme="1"/>
        <rFont val="Calibri"/>
        <family val="2"/>
        <scheme val="minor"/>
      </rPr>
      <t xml:space="preserve">—The IT system includes a change-detection mechanism (for example, file integrity monitoring tools) to alert personnel to unauthorized modifications of critical system files, configuration files, or content files. </t>
    </r>
  </si>
  <si>
    <t>PR.DS-8</t>
  </si>
  <si>
    <t>PR.DS-6</t>
  </si>
  <si>
    <r>
      <t>Detects Unknown or Unauthorized Components</t>
    </r>
    <r>
      <rPr>
        <i/>
        <sz val="9"/>
        <color theme="1"/>
        <rFont val="Calibri"/>
        <family val="2"/>
        <scheme val="minor"/>
      </rPr>
      <t xml:space="preserve">—Procedures are in place to detect the introduction of unknown or unauthorized components.  </t>
    </r>
  </si>
  <si>
    <r>
      <t>Conducts Vulnerability Scans</t>
    </r>
    <r>
      <rPr>
        <i/>
        <sz val="9"/>
        <color theme="1"/>
        <rFont val="Calibri"/>
        <family val="2"/>
        <scheme val="minor"/>
      </rPr>
      <t>—The entity conducts vulnerability scans designed to identify potential vulnerabilities or misconfigurations on a periodic basis and after any significant change in the environment and takes action to remediate identified deficiencies on a timely basis.</t>
    </r>
  </si>
  <si>
    <t>DE.CM-8</t>
  </si>
  <si>
    <t>CC7.2</t>
  </si>
  <si>
    <r>
      <t>Implements Detection Policies, Procedures, and Tools</t>
    </r>
    <r>
      <rPr>
        <i/>
        <sz val="9"/>
        <rFont val="Calibri"/>
        <family val="2"/>
        <scheme val="minor"/>
      </rPr>
      <t xml:space="preserve">—Detection policies and procedures are defined and implemented, and detection tools are implemented on Infrastructure and software to identify anomalies in the operation or unusual activity on systems. Procedures may include (1) a defined governance process for security event detection and management that includes provision of resources; (2) use of intelligence sources to identify newly discovered threats and vulnerabilities; and (3) logging of unusual system activities. </t>
    </r>
  </si>
  <si>
    <t>PR.PT-1</t>
  </si>
  <si>
    <t>DE.CM-1</t>
  </si>
  <si>
    <t>DE.DP-1</t>
  </si>
  <si>
    <t>DE.DP-2</t>
  </si>
  <si>
    <t>DE.DP-4</t>
  </si>
  <si>
    <r>
      <t>Designs Detection Measures</t>
    </r>
    <r>
      <rPr>
        <i/>
        <sz val="9"/>
        <color theme="1"/>
        <rFont val="Calibri"/>
        <family val="2"/>
        <scheme val="minor"/>
      </rPr>
      <t xml:space="preserve">—Detection measures are designed to identify anomalies that could result from actual or attempted (1) compromise of physical barriers; (2) unauthorized actions of authorized personnel; (3) use of compromised identification and authentication credentials; (4) unauthorized access from outside the system boundaries; (5) compromise of authorized external parties; and (6) implementation or connection of unauthorized hardware and software. </t>
    </r>
  </si>
  <si>
    <t>DE.AE-1</t>
  </si>
  <si>
    <t>DE.CM-2</t>
  </si>
  <si>
    <t>DE.CM-3</t>
  </si>
  <si>
    <t>DE.CM-6</t>
  </si>
  <si>
    <t>DE.CM-7</t>
  </si>
  <si>
    <r>
      <t>Implements Filters to Analyze Anomalies</t>
    </r>
    <r>
      <rPr>
        <i/>
        <sz val="9"/>
        <color theme="1"/>
        <rFont val="Calibri"/>
        <family val="2"/>
        <scheme val="minor"/>
      </rPr>
      <t>—Management has implemented procedures to filter, summarize, and analyze anomalies to identify security events.</t>
    </r>
  </si>
  <si>
    <t>DE.AE-2</t>
  </si>
  <si>
    <t>DE.AE-3</t>
  </si>
  <si>
    <t>DE.AE-5</t>
  </si>
  <si>
    <t>RS.AN-4</t>
  </si>
  <si>
    <r>
      <t>Monitors Detection Tools for Effective Operation</t>
    </r>
    <r>
      <rPr>
        <i/>
        <sz val="9"/>
        <color theme="1"/>
        <rFont val="Calibri"/>
        <family val="2"/>
        <scheme val="minor"/>
      </rPr>
      <t>—Management has implemented processes to monitor the effectiveness of detection tools.</t>
    </r>
  </si>
  <si>
    <t>DE.DP-3</t>
  </si>
  <si>
    <t>CC7.3</t>
  </si>
  <si>
    <r>
      <t>Responds to Security Incidents</t>
    </r>
    <r>
      <rPr>
        <i/>
        <sz val="9"/>
        <color theme="1"/>
        <rFont val="Calibri"/>
        <family val="2"/>
        <scheme val="minor"/>
      </rPr>
      <t xml:space="preserve">—Procedures are in place for responding to security incidents and evaluating the effectiveness of those policies and procedures on a periodic basis. </t>
    </r>
  </si>
  <si>
    <t>PR.IP-9</t>
  </si>
  <si>
    <t>DE.AE-4</t>
  </si>
  <si>
    <t>PR.IP-10</t>
  </si>
  <si>
    <r>
      <t>Communicates and Reviews Detected Security Events</t>
    </r>
    <r>
      <rPr>
        <i/>
        <sz val="9"/>
        <color theme="1"/>
        <rFont val="Calibri"/>
        <family val="2"/>
        <scheme val="minor"/>
      </rPr>
      <t>—Detected security events are communicated to and reviewed by the individuals responsible for the management of the security program and actions are taken, if necessary.</t>
    </r>
  </si>
  <si>
    <t>RS.CO-2</t>
  </si>
  <si>
    <t>RS.CO-3</t>
  </si>
  <si>
    <r>
      <t>Develops and Implements Procedures to Analyze Security Incidents</t>
    </r>
    <r>
      <rPr>
        <i/>
        <sz val="9"/>
        <color theme="1"/>
        <rFont val="Calibri"/>
        <family val="2"/>
        <scheme val="minor"/>
      </rPr>
      <t>—Procedures are in place to analyze security incidents and determine system impact.</t>
    </r>
  </si>
  <si>
    <t>RS.AN-1</t>
  </si>
  <si>
    <t>RS.AN-2</t>
  </si>
  <si>
    <r>
      <t>Assesses the Impact on Personal Information</t>
    </r>
    <r>
      <rPr>
        <i/>
        <sz val="9"/>
        <color rgb="FF000000"/>
        <rFont val="Calibri"/>
        <family val="2"/>
        <scheme val="minor"/>
      </rPr>
      <t xml:space="preserve">—Detected security events are evaluated to determine whether they could or did result in the unauthorized disclosure or use of personal information and whether there has been a failure to comply with applicable laws or regulations. </t>
    </r>
  </si>
  <si>
    <r>
      <t>Determines Personal Information Used or Disclosed</t>
    </r>
    <r>
      <rPr>
        <i/>
        <sz val="9"/>
        <color rgb="FF000000"/>
        <rFont val="Calibri"/>
        <family val="2"/>
        <scheme val="minor"/>
      </rPr>
      <t xml:space="preserve">—When an unauthorized use or disclosure of personal information has occurred, the affected information is identified.  </t>
    </r>
  </si>
  <si>
    <t>CC7.4</t>
  </si>
  <si>
    <r>
      <t>Assigns Roles and Responsibilities</t>
    </r>
    <r>
      <rPr>
        <i/>
        <sz val="9"/>
        <color rgb="FF000000"/>
        <rFont val="Calibri"/>
        <family val="2"/>
        <scheme val="minor"/>
      </rPr>
      <t>—Roles and responsibilities for the design, implementation, maintenance, and execution of the incident response program are assigned, including the use of external resources when necessary.</t>
    </r>
  </si>
  <si>
    <t>RS.CO-1</t>
  </si>
  <si>
    <r>
      <t>Contains Security Incidents</t>
    </r>
    <r>
      <rPr>
        <i/>
        <sz val="9"/>
        <color theme="1"/>
        <rFont val="Calibri"/>
        <family val="2"/>
        <scheme val="minor"/>
      </rPr>
      <t xml:space="preserve">—Procedures are in place to contain security incidents that actively threaten entity objectives. </t>
    </r>
  </si>
  <si>
    <t>RS.RP-1</t>
  </si>
  <si>
    <t>RS.MI-1</t>
  </si>
  <si>
    <r>
      <t>Mitigates Ongoing Security Incidents</t>
    </r>
    <r>
      <rPr>
        <i/>
        <sz val="9"/>
        <color theme="1"/>
        <rFont val="Calibri"/>
        <family val="2"/>
        <scheme val="minor"/>
      </rPr>
      <t>—Procedures are in place to mitigate the effects of ongoing security incidents.</t>
    </r>
  </si>
  <si>
    <t>RS.MI-2</t>
  </si>
  <si>
    <r>
      <t>Ends Threats Posed by Security Incidents</t>
    </r>
    <r>
      <rPr>
        <i/>
        <sz val="9"/>
        <color theme="1"/>
        <rFont val="Calibri"/>
        <family val="2"/>
        <scheme val="minor"/>
      </rPr>
      <t xml:space="preserve">—Procedures are in place to end the threats posed by security incidents through closure of the vulnerability, removal of unauthorized access, and other remediation actions. </t>
    </r>
  </si>
  <si>
    <r>
      <t>Develops and Implements Communication Protocols for Security Incidents</t>
    </r>
    <r>
      <rPr>
        <i/>
        <sz val="9"/>
        <color theme="1"/>
        <rFont val="Calibri"/>
        <family val="2"/>
        <scheme val="minor"/>
      </rPr>
      <t xml:space="preserve">—Protocols for communicating security incidents and actions taken to affected parties are developed and implemented to meet the entity's objectives. </t>
    </r>
  </si>
  <si>
    <t>RS.CO-4</t>
  </si>
  <si>
    <t>RS.CO-5</t>
  </si>
  <si>
    <r>
      <t>Obtains Understanding of Nature of Incident and Determines Containment Strategy</t>
    </r>
    <r>
      <rPr>
        <i/>
        <sz val="9"/>
        <color rgb="FF000000"/>
        <rFont val="Calibri"/>
        <family val="2"/>
        <scheme val="minor"/>
      </rPr>
      <t xml:space="preserve">—An understanding of the nature (for example, the method by which the incident occurred and the affected system resources) and severity of the security incident is obtained to determine the appropriate containment strategy, including (1) a determination of the appropriate response time frame, and (2) the determination and execution of the containment approach. </t>
    </r>
  </si>
  <si>
    <r>
      <t>Remediates Identified Vulnerabilities</t>
    </r>
    <r>
      <rPr>
        <i/>
        <sz val="9"/>
        <color rgb="FF000000"/>
        <rFont val="Calibri"/>
        <family val="2"/>
        <scheme val="minor"/>
      </rPr>
      <t xml:space="preserve">—Identified vulnerabilities are remediated through the development and execution of remediation activities.  </t>
    </r>
  </si>
  <si>
    <t>RS.MI-3</t>
  </si>
  <si>
    <r>
      <t>Communicates Remediation Activities</t>
    </r>
    <r>
      <rPr>
        <i/>
        <sz val="9"/>
        <color theme="1"/>
        <rFont val="Calibri"/>
        <family val="2"/>
        <scheme val="minor"/>
      </rPr>
      <t>—</t>
    </r>
    <r>
      <rPr>
        <i/>
        <sz val="9"/>
        <color rgb="FF000000"/>
        <rFont val="Calibri"/>
        <family val="2"/>
        <scheme val="minor"/>
      </rPr>
      <t xml:space="preserve">Remediation activities are documented and communicated in accordance with the incident response program. </t>
    </r>
  </si>
  <si>
    <t>RC.CO-1</t>
  </si>
  <si>
    <r>
      <t>Evaluates the Effectiveness of Incident Response</t>
    </r>
    <r>
      <rPr>
        <i/>
        <sz val="9"/>
        <color theme="1"/>
        <rFont val="Calibri"/>
        <family val="2"/>
        <scheme val="minor"/>
      </rPr>
      <t>—The design of incident response activities is evaluated for effectiveness on a periodic basis.</t>
    </r>
    <r>
      <rPr>
        <i/>
        <u/>
        <sz val="9"/>
        <color theme="1"/>
        <rFont val="Calibri"/>
        <family val="2"/>
        <scheme val="minor"/>
      </rPr>
      <t xml:space="preserve">  </t>
    </r>
  </si>
  <si>
    <t>RC.CO-3</t>
  </si>
  <si>
    <r>
      <t>Periodically Evaluates Incidents</t>
    </r>
    <r>
      <rPr>
        <i/>
        <sz val="9"/>
        <color theme="1"/>
        <rFont val="Calibri"/>
        <family val="2"/>
        <scheme val="minor"/>
      </rPr>
      <t>—Periodically, management reviews incidents related to security, availability, processing integrity, confidentiality, and privacy and identifies the need for system changes based on incident patterns and root causes.</t>
    </r>
  </si>
  <si>
    <r>
      <t>Communicates Unauthorized Use and Disclosure</t>
    </r>
    <r>
      <rPr>
        <i/>
        <sz val="9"/>
        <color theme="1"/>
        <rFont val="Calibri"/>
        <family val="2"/>
        <scheme val="minor"/>
      </rPr>
      <t xml:space="preserve">—Events that resulted in unauthorized use or disclosure of personal information are communicated to the data subjects, legal and regulatory authorities, and others as required.  </t>
    </r>
  </si>
  <si>
    <r>
      <t>Application of Sanctions</t>
    </r>
    <r>
      <rPr>
        <i/>
        <sz val="9"/>
        <color theme="1"/>
        <rFont val="Calibri"/>
        <family val="2"/>
        <scheme val="minor"/>
      </rPr>
      <t xml:space="preserve">—The conduct of individuals and organizations operating under the authority of the entity and involved in the unauthorized use or disclosure of personal information is evaluated and, if appropriate, sanctioned in accordance with entity policies and legal and regulatory requirements.  </t>
    </r>
  </si>
  <si>
    <t xml:space="preserve">CC7.5 </t>
  </si>
  <si>
    <r>
      <t>Restores the Affected Environment</t>
    </r>
    <r>
      <rPr>
        <i/>
        <sz val="9"/>
        <color theme="1"/>
        <rFont val="Calibri"/>
        <family val="2"/>
        <scheme val="minor"/>
      </rPr>
      <t>—The activities restore the affected environment to functional operation by rebuilding systems, updating software, installing patches, and changing configurations, as needed.</t>
    </r>
    <r>
      <rPr>
        <i/>
        <u/>
        <sz val="9"/>
        <color theme="1"/>
        <rFont val="Calibri"/>
        <family val="2"/>
        <scheme val="minor"/>
      </rPr>
      <t xml:space="preserve"> </t>
    </r>
  </si>
  <si>
    <t>RC.RP-1</t>
  </si>
  <si>
    <r>
      <t>Communicates Information About the Event</t>
    </r>
    <r>
      <rPr>
        <i/>
        <sz val="9"/>
        <color theme="1"/>
        <rFont val="Calibri"/>
        <family val="2"/>
        <scheme val="minor"/>
      </rPr>
      <t xml:space="preserve">—Communications about the nature of the incident, recovery actions taken, and activities required for the prevention of future security events are made to management and others as appropriate </t>
    </r>
    <r>
      <rPr>
        <i/>
        <sz val="9"/>
        <color rgb="FF000000"/>
        <rFont val="Calibri"/>
        <family val="2"/>
        <scheme val="minor"/>
      </rPr>
      <t xml:space="preserve">(internal and external).   </t>
    </r>
  </si>
  <si>
    <r>
      <t>Determines Root Cause of the Event</t>
    </r>
    <r>
      <rPr>
        <i/>
        <sz val="9"/>
        <color theme="1"/>
        <rFont val="Calibri"/>
        <family val="2"/>
        <scheme val="minor"/>
      </rPr>
      <t xml:space="preserve">—The root cause of the event is determined. </t>
    </r>
  </si>
  <si>
    <t>RS.AN-3</t>
  </si>
  <si>
    <r>
      <t>Implements Changes to Prevent and Detect Recurrences</t>
    </r>
    <r>
      <rPr>
        <i/>
        <sz val="9"/>
        <color theme="1"/>
        <rFont val="Calibri"/>
        <family val="2"/>
        <scheme val="minor"/>
      </rPr>
      <t xml:space="preserve">—Additional </t>
    </r>
    <r>
      <rPr>
        <i/>
        <sz val="9"/>
        <color rgb="FF000000"/>
        <rFont val="Calibri"/>
        <family val="2"/>
        <scheme val="minor"/>
      </rPr>
      <t xml:space="preserve">architecture or changes to preventive and detective controls, or both, are implemented to prevent and detect recurrences on a timely basis.  </t>
    </r>
  </si>
  <si>
    <r>
      <t>Improves Response and Recovery Procedures</t>
    </r>
    <r>
      <rPr>
        <i/>
        <sz val="9"/>
        <color theme="1"/>
        <rFont val="Calibri"/>
        <family val="2"/>
        <scheme val="minor"/>
      </rPr>
      <t xml:space="preserve">—Lessons learned are analyzed, and the incident response plan and </t>
    </r>
    <r>
      <rPr>
        <i/>
        <sz val="9"/>
        <color rgb="FF000000"/>
        <rFont val="Calibri"/>
        <family val="2"/>
        <scheme val="minor"/>
      </rPr>
      <t xml:space="preserve">recovery procedures are improved. </t>
    </r>
  </si>
  <si>
    <t>RS.IM-1</t>
  </si>
  <si>
    <r>
      <t>Implements Incident Recovery Plan Testing</t>
    </r>
    <r>
      <rPr>
        <i/>
        <sz val="9"/>
        <color theme="1"/>
        <rFont val="Calibri"/>
        <family val="2"/>
        <scheme val="minor"/>
      </rPr>
      <t>—Incident recovery plan testing is performed on a periodic basis. The testing includes (1) development of testing scenarios based on threat likelihood and magnitude; (2) consideration of relevant system components from across the entity that can impair availability; (3) scenarios that consider the potential for the lack of availability of key personnel; and (4) revision of continuity plans and systems based on test results.</t>
    </r>
  </si>
  <si>
    <t>RS.IM-2</t>
  </si>
  <si>
    <t>RC.IM-1</t>
  </si>
  <si>
    <t>RC.IM-2</t>
  </si>
  <si>
    <t xml:space="preserve">CC8.1  </t>
  </si>
  <si>
    <r>
      <t>The entity authorizes, designs, develops or acquires, configures, documents, tests, approves, and implements changes to infrastructure, data, software, and procedures</t>
    </r>
    <r>
      <rPr>
        <i/>
        <u/>
        <sz val="9"/>
        <color theme="1"/>
        <rFont val="Calibri"/>
        <family val="2"/>
        <scheme val="minor"/>
      </rPr>
      <t xml:space="preserve"> </t>
    </r>
    <r>
      <rPr>
        <i/>
        <sz val="9"/>
        <color theme="1"/>
        <rFont val="Calibri"/>
        <family val="2"/>
        <scheme val="minor"/>
      </rPr>
      <t xml:space="preserve">to meet its objectives.  </t>
    </r>
  </si>
  <si>
    <r>
      <t>Manages Changes Throughout the System Lifecycle</t>
    </r>
    <r>
      <rPr>
        <i/>
        <sz val="9"/>
        <color theme="1"/>
        <rFont val="Calibri"/>
        <family val="2"/>
        <scheme val="minor"/>
      </rPr>
      <t xml:space="preserve">—A process for managing system changes throughout the lifecycle of the system and its components (infrastructure, data, software and procedures) is used to support system availability and processing integrity. </t>
    </r>
  </si>
  <si>
    <t>PR.IP-2</t>
  </si>
  <si>
    <t>PR.IP-3</t>
  </si>
  <si>
    <r>
      <t>Authorizes Changes</t>
    </r>
    <r>
      <rPr>
        <i/>
        <sz val="9"/>
        <color theme="1"/>
        <rFont val="Calibri"/>
        <family val="2"/>
        <scheme val="minor"/>
      </rPr>
      <t>—A process is in place to authorize system changes prior to development.</t>
    </r>
  </si>
  <si>
    <r>
      <t>Designs and Develops Changes</t>
    </r>
    <r>
      <rPr>
        <i/>
        <sz val="9"/>
        <color theme="1"/>
        <rFont val="Calibri"/>
        <family val="2"/>
        <scheme val="minor"/>
      </rPr>
      <t>—A process is in place to design and develop system changes.</t>
    </r>
  </si>
  <si>
    <r>
      <t>Documents Changes</t>
    </r>
    <r>
      <rPr>
        <i/>
        <sz val="9"/>
        <color theme="1"/>
        <rFont val="Calibri"/>
        <family val="2"/>
        <scheme val="minor"/>
      </rPr>
      <t xml:space="preserve">—A process is in place to document system changes to support ongoing maintenance of the system and to support system users in performing their responsibilities. </t>
    </r>
  </si>
  <si>
    <r>
      <t>Tracks System Changes</t>
    </r>
    <r>
      <rPr>
        <i/>
        <sz val="9"/>
        <color theme="1"/>
        <rFont val="Calibri"/>
        <family val="2"/>
        <scheme val="minor"/>
      </rPr>
      <t xml:space="preserve">—A process is in place to track system changes prior to implementation. </t>
    </r>
  </si>
  <si>
    <t>PR.MA-1</t>
  </si>
  <si>
    <t>PR.MA-2</t>
  </si>
  <si>
    <r>
      <t>Configures Software</t>
    </r>
    <r>
      <rPr>
        <i/>
        <sz val="9"/>
        <color theme="1"/>
        <rFont val="Calibri"/>
        <family val="2"/>
        <scheme val="minor"/>
      </rPr>
      <t xml:space="preserve">—A process is in place to select and implement the configuration parameters used to control the functionality of software. </t>
    </r>
  </si>
  <si>
    <r>
      <t>Tests System Changes</t>
    </r>
    <r>
      <rPr>
        <i/>
        <sz val="9"/>
        <color theme="1"/>
        <rFont val="Calibri"/>
        <family val="2"/>
        <scheme val="minor"/>
      </rPr>
      <t xml:space="preserve">—A process is in place to test system changes prior to implementation. </t>
    </r>
  </si>
  <si>
    <r>
      <t>Approves System Changes</t>
    </r>
    <r>
      <rPr>
        <i/>
        <sz val="9"/>
        <color theme="1"/>
        <rFont val="Calibri"/>
        <family val="2"/>
        <scheme val="minor"/>
      </rPr>
      <t xml:space="preserve">—A process is in place to approve system changes prior to implementation.  </t>
    </r>
  </si>
  <si>
    <t>PR.DS-7</t>
  </si>
  <si>
    <r>
      <t>Deploys System Changes</t>
    </r>
    <r>
      <rPr>
        <i/>
        <sz val="9"/>
        <color theme="1"/>
        <rFont val="Calibri"/>
        <family val="2"/>
        <scheme val="minor"/>
      </rPr>
      <t>—A process is in place to implement system changes.</t>
    </r>
  </si>
  <si>
    <r>
      <t>Identifies and Evaluates System Changes</t>
    </r>
    <r>
      <rPr>
        <i/>
        <sz val="9"/>
        <color theme="1"/>
        <rFont val="Calibri"/>
        <family val="2"/>
        <scheme val="minor"/>
      </rPr>
      <t>—Objectives affected by system changes are identified, and the ability of the modified system to meet the objectives is evaluated throughout the system development life cycle.</t>
    </r>
  </si>
  <si>
    <r>
      <t>Identifies Changes in Infrastructure, Data, Software, and Procedures Required to Remediate Incidents</t>
    </r>
    <r>
      <rPr>
        <i/>
        <sz val="9"/>
        <color theme="1"/>
        <rFont val="Calibri"/>
        <family val="2"/>
        <scheme val="minor"/>
      </rPr>
      <t xml:space="preserve">—Changes in infrastructure, data, software, and procedures required to remediate incidents to continue to meet objectives are identified, and the change process is initiated upon identification. </t>
    </r>
  </si>
  <si>
    <r>
      <t>Creates Baseline Configuration of IT Technology</t>
    </r>
    <r>
      <rPr>
        <i/>
        <sz val="9"/>
        <color theme="1"/>
        <rFont val="Calibri"/>
        <family val="2"/>
        <scheme val="minor"/>
      </rPr>
      <t>—A baseline configuration of IT and control systems is created and maintained.</t>
    </r>
  </si>
  <si>
    <r>
      <t xml:space="preserve">Provides for Changes Necessary in Emergency Situations </t>
    </r>
    <r>
      <rPr>
        <i/>
        <sz val="9"/>
        <color theme="1"/>
        <rFont val="Calibri"/>
        <family val="2"/>
        <scheme val="minor"/>
      </rPr>
      <t xml:space="preserve">—A process is in place for authorizing, designing, testing, approving and implementing changes necessary in emergency situations (that is, changes that need to be implemented in an urgent timeframe). </t>
    </r>
  </si>
  <si>
    <r>
      <t>Protects Confidential Information</t>
    </r>
    <r>
      <rPr>
        <i/>
        <sz val="9"/>
        <color theme="1"/>
        <rFont val="Calibri"/>
        <family val="2"/>
        <scheme val="minor"/>
      </rPr>
      <t xml:space="preserve">—The entity protects confidential information during system design, development, testing, implementation, and change processes to meet the entity’s objectives related to confidentiality.  </t>
    </r>
  </si>
  <si>
    <r>
      <t>Protects Personal Information</t>
    </r>
    <r>
      <rPr>
        <i/>
        <sz val="9"/>
        <color theme="1"/>
        <rFont val="Calibri"/>
        <family val="2"/>
        <scheme val="minor"/>
      </rPr>
      <t xml:space="preserve">—The entity protects personal information during system design, development, testing, implementation, and change processes to meet the entity’s objectives related to privacy.  </t>
    </r>
  </si>
  <si>
    <t xml:space="preserve">CC9.1  </t>
  </si>
  <si>
    <r>
      <t>Considers Mitigation of Risks of Business Disruption</t>
    </r>
    <r>
      <rPr>
        <i/>
        <sz val="9"/>
        <color rgb="FF000000"/>
        <rFont val="Calibri"/>
        <family val="2"/>
        <scheme val="minor"/>
      </rPr>
      <t xml:space="preserve">—Risk mitigation activities include the development of planned policies, procedures, communications, and alternative processing solutions to respond to, mitigate, and recover from security events that disrupt business operations. Those policies and procedures include monitoring processes and information and communications to meet </t>
    </r>
    <r>
      <rPr>
        <i/>
        <sz val="9"/>
        <rFont val="Calibri"/>
        <family val="2"/>
        <scheme val="minor"/>
      </rPr>
      <t xml:space="preserve">the entity's objectives </t>
    </r>
    <r>
      <rPr>
        <i/>
        <sz val="9"/>
        <color rgb="FF000000"/>
        <rFont val="Calibri"/>
        <family val="2"/>
        <scheme val="minor"/>
      </rPr>
      <t>during response, mitigation, and recovery efforts.</t>
    </r>
    <r>
      <rPr>
        <i/>
        <u/>
        <sz val="9"/>
        <color rgb="FF000000"/>
        <rFont val="Calibri"/>
        <family val="2"/>
        <scheme val="minor"/>
      </rPr>
      <t xml:space="preserve">  </t>
    </r>
  </si>
  <si>
    <t>ID.SC-5</t>
  </si>
  <si>
    <r>
      <t>Considers the Use of Insurance to Mitigate Financial Impact Risks</t>
    </r>
    <r>
      <rPr>
        <i/>
        <sz val="9"/>
        <color rgb="FF000000"/>
        <rFont val="Calibri"/>
        <family val="2"/>
        <scheme val="minor"/>
      </rPr>
      <t>—</t>
    </r>
    <r>
      <rPr>
        <i/>
        <sz val="9"/>
        <color theme="1"/>
        <rFont val="Calibri"/>
        <family val="2"/>
        <scheme val="minor"/>
      </rPr>
      <t>The risk management activities consider the use of insurance to offset the financial impact of loss events that would otherwise impair the ability of the entity to meet its objectives.</t>
    </r>
  </si>
  <si>
    <t>CC9.2</t>
  </si>
  <si>
    <r>
      <t>Establishes Requirements for Vendor and Business Partner Engagements</t>
    </r>
    <r>
      <rPr>
        <i/>
        <sz val="9"/>
        <color theme="1"/>
        <rFont val="Calibri"/>
        <family val="2"/>
        <scheme val="minor"/>
      </rPr>
      <t xml:space="preserve">—The entity establishes specific requirements for a vendor and business partner engagement that includes (1) scope of services and product specifications, (2) roles and responsibilities, (3) compliance requirements, and (4) service levels. </t>
    </r>
  </si>
  <si>
    <t>ID.SC-1</t>
  </si>
  <si>
    <t>Cyber supply chain risk management processes are identified, established, assessed, managed, and agreed to by organizational stakeholders</t>
  </si>
  <si>
    <t>ID.SC-3</t>
  </si>
  <si>
    <r>
      <t>Assesses Vendor and Business Partner Risks</t>
    </r>
    <r>
      <rPr>
        <i/>
        <sz val="9"/>
        <color theme="1"/>
        <rFont val="Calibri"/>
        <family val="2"/>
        <scheme val="minor"/>
      </rPr>
      <t>—The entity assesses, on a periodic basis, the risks that vendors and business partners (and those entities’ vendors and business partners) represent to the achievement of the entity's objectives.</t>
    </r>
    <r>
      <rPr>
        <i/>
        <u/>
        <sz val="9"/>
        <color theme="1"/>
        <rFont val="Calibri"/>
        <family val="2"/>
        <scheme val="minor"/>
      </rPr>
      <t xml:space="preserve">  </t>
    </r>
  </si>
  <si>
    <t>ID.SC-2</t>
  </si>
  <si>
    <r>
      <t>Assigns Responsibility and Accountability for Managing Vendors and Business Partners</t>
    </r>
    <r>
      <rPr>
        <i/>
        <sz val="9"/>
        <color theme="1"/>
        <rFont val="Calibri"/>
        <family val="2"/>
        <scheme val="minor"/>
      </rPr>
      <t xml:space="preserve">—The entity assigns responsibility and accountability for the management of risks associated with vendors and business partners. </t>
    </r>
  </si>
  <si>
    <r>
      <t>Establishes Communication Protocols for Vendors and Business Partners</t>
    </r>
    <r>
      <rPr>
        <i/>
        <sz val="9"/>
        <color theme="1"/>
        <rFont val="Calibri"/>
        <family val="2"/>
        <scheme val="minor"/>
      </rPr>
      <t>—The entity</t>
    </r>
    <r>
      <rPr>
        <i/>
        <u/>
        <sz val="9"/>
        <color theme="1"/>
        <rFont val="Calibri"/>
        <family val="2"/>
        <scheme val="minor"/>
      </rPr>
      <t xml:space="preserve"> </t>
    </r>
    <r>
      <rPr>
        <i/>
        <sz val="9"/>
        <color theme="1"/>
        <rFont val="Calibri"/>
        <family val="2"/>
        <scheme val="minor"/>
      </rPr>
      <t xml:space="preserve">establishes communication and resolution protocols for service or product issues related to vendors and business partners.  </t>
    </r>
  </si>
  <si>
    <r>
      <t>Establishes Exception Handling Procedures From Vendors and Business Partners</t>
    </r>
    <r>
      <rPr>
        <i/>
        <sz val="9"/>
        <color theme="1"/>
        <rFont val="Calibri"/>
        <family val="2"/>
        <scheme val="minor"/>
      </rPr>
      <t xml:space="preserve"> —The entity establishes exception handling procedures for service or product issues related to vendors and business partners. </t>
    </r>
  </si>
  <si>
    <r>
      <t>Assesses Vendor and Business Partner Performance</t>
    </r>
    <r>
      <rPr>
        <i/>
        <sz val="9"/>
        <color theme="1"/>
        <rFont val="Calibri"/>
        <family val="2"/>
        <scheme val="minor"/>
      </rPr>
      <t xml:space="preserve">—The entity periodically assesses the performance of vendors and business partners. </t>
    </r>
  </si>
  <si>
    <t>ID.SC-4</t>
  </si>
  <si>
    <r>
      <t>Implements Procedures for Addressing Issues Identified During Vendor and Business Partner Assessments</t>
    </r>
    <r>
      <rPr>
        <i/>
        <sz val="9"/>
        <color theme="1"/>
        <rFont val="Calibri"/>
        <family val="2"/>
        <scheme val="minor"/>
      </rPr>
      <t xml:space="preserve">—The entity implements procedures for addressing issues identified with vendor and business partner relationships.   </t>
    </r>
  </si>
  <si>
    <r>
      <t xml:space="preserve">Implements Procedures for Terminating Vendor and Business Partner Relationships </t>
    </r>
    <r>
      <rPr>
        <i/>
        <sz val="9"/>
        <color theme="1"/>
        <rFont val="Calibri"/>
        <family val="2"/>
        <scheme val="minor"/>
      </rPr>
      <t>— The entity implements procedures for terminating vendor and business partner relationships.</t>
    </r>
  </si>
  <si>
    <r>
      <t>Obtains Confidentiality Commitments from Vendors and Business Partners</t>
    </r>
    <r>
      <rPr>
        <i/>
        <sz val="9"/>
        <color rgb="FF000000"/>
        <rFont val="Calibri"/>
        <family val="2"/>
        <scheme val="minor"/>
      </rPr>
      <t xml:space="preserve">—The entity obtains confidentiality commitments that are consistent with the entity’s confidentiality commitments and requirements from vendors and business partners who have access to confidential information. </t>
    </r>
  </si>
  <si>
    <r>
      <t xml:space="preserve">Assesses Compliance With Confidentiality Commitments of Vendors and Business Partners </t>
    </r>
    <r>
      <rPr>
        <i/>
        <sz val="9"/>
        <color rgb="FF000000"/>
        <rFont val="Calibri"/>
        <family val="2"/>
        <scheme val="minor"/>
      </rPr>
      <t xml:space="preserve">— On a periodic and as-needed basis, the entity assesses compliance by vendors and business partners with the entity’s confidentiality commitments and requirements. </t>
    </r>
  </si>
  <si>
    <r>
      <t>Obtains Privacy Commitments from Vendors and Business Partners</t>
    </r>
    <r>
      <rPr>
        <i/>
        <sz val="9"/>
        <color rgb="FF000000"/>
        <rFont val="Calibri"/>
        <family val="2"/>
        <scheme val="minor"/>
      </rPr>
      <t xml:space="preserve">—The entity obtains privacy commitments, consistent with the entity’s privacy commitments and requirements, from vendors and business partners who have access to personal information. </t>
    </r>
  </si>
  <si>
    <r>
      <t>Assesses Compliance with Privacy Commitments of Vendors and Business Partners</t>
    </r>
    <r>
      <rPr>
        <i/>
        <sz val="9"/>
        <color rgb="FF000000"/>
        <rFont val="Calibri"/>
        <family val="2"/>
        <scheme val="minor"/>
      </rPr>
      <t>— On a periodic and as-needed basis, the entity assesses compliance by vendors and business partners with the entity’s privacy commitments and requirements and takes corrective action as necessary.</t>
    </r>
  </si>
  <si>
    <t>A1.1</t>
  </si>
  <si>
    <r>
      <t>Measures Current Usage</t>
    </r>
    <r>
      <rPr>
        <i/>
        <sz val="9"/>
        <color theme="1"/>
        <rFont val="Calibri"/>
        <family val="2"/>
        <scheme val="minor"/>
      </rPr>
      <t xml:space="preserve">—The use of the system components is measured to establish a baseline for capacity management and to use when evaluating the risk of impaired availability due to capacity constraints. </t>
    </r>
  </si>
  <si>
    <t>PR.DS-4</t>
  </si>
  <si>
    <r>
      <t>Forecasts Capacity</t>
    </r>
    <r>
      <rPr>
        <i/>
        <sz val="9"/>
        <color theme="1"/>
        <rFont val="Calibri"/>
        <family val="2"/>
        <scheme val="minor"/>
      </rPr>
      <t xml:space="preserve">—The expected average and peak use of system components is forecasted and compared to system capacity and associated tolerances. Forecasting considers capacity in the event of the failure of system components that constrain capacity. </t>
    </r>
  </si>
  <si>
    <r>
      <t>Makes Changes Based on Forecasts</t>
    </r>
    <r>
      <rPr>
        <i/>
        <sz val="9"/>
        <color theme="1"/>
        <rFont val="Calibri"/>
        <family val="2"/>
        <scheme val="minor"/>
      </rPr>
      <t xml:space="preserve">—The system change management process is initiated when forecasted usage exceeds capacity tolerances. </t>
    </r>
  </si>
  <si>
    <t>A1.2</t>
  </si>
  <si>
    <r>
      <t>Identifies Environmental Threats</t>
    </r>
    <r>
      <rPr>
        <i/>
        <sz val="9"/>
        <color theme="1"/>
        <rFont val="Calibri"/>
        <family val="2"/>
        <scheme val="minor"/>
      </rPr>
      <t xml:space="preserve">—As part of the risk assessment process, management identifies environmental threats that could impair the availability of the system, including threats resulting from adverse weather, failure of environmental control systems, electrical discharge, fire, and water.  </t>
    </r>
  </si>
  <si>
    <t>PR.IP-5</t>
  </si>
  <si>
    <r>
      <t>Designs Detection Measures</t>
    </r>
    <r>
      <rPr>
        <i/>
        <sz val="9"/>
        <color theme="1"/>
        <rFont val="Calibri"/>
        <family val="2"/>
        <scheme val="minor"/>
      </rPr>
      <t xml:space="preserve">—Detection measures are implemented to identify anomalies that could result from environmental threat events. </t>
    </r>
  </si>
  <si>
    <r>
      <t>Implements and Maintains Environmental Protection Mechanisms</t>
    </r>
    <r>
      <rPr>
        <i/>
        <sz val="9"/>
        <color theme="1"/>
        <rFont val="Calibri"/>
        <family val="2"/>
        <scheme val="minor"/>
      </rPr>
      <t xml:space="preserve">— Management implements and maintains environmental protection mechanisms to prevent and mitigate against environmental events.  </t>
    </r>
  </si>
  <si>
    <r>
      <t>Implements Alerts to Analyze Anomalies</t>
    </r>
    <r>
      <rPr>
        <i/>
        <sz val="9"/>
        <color theme="1"/>
        <rFont val="Calibri"/>
        <family val="2"/>
        <scheme val="minor"/>
      </rPr>
      <t>—Management implements alerts that are communicated to personnel for analysis to identify environmental threat events.</t>
    </r>
  </si>
  <si>
    <r>
      <t>Responds to Environmental Threat Events</t>
    </r>
    <r>
      <rPr>
        <i/>
        <sz val="9"/>
        <color theme="1"/>
        <rFont val="Calibri"/>
        <family val="2"/>
        <scheme val="minor"/>
      </rPr>
      <t>—Procedures are in place for responding to environmental threat events and for evaluating the effectiveness of those policies and procedures on a periodic basis. This includes automatic mitigation systems (for example, uninterruptable power system and generator back-up subsystem).</t>
    </r>
  </si>
  <si>
    <t>PR.PT-5</t>
  </si>
  <si>
    <r>
      <t>Communicates and Reviews Detected Environmental Threat Events</t>
    </r>
    <r>
      <rPr>
        <i/>
        <sz val="9"/>
        <color theme="1"/>
        <rFont val="Calibri"/>
        <family val="2"/>
        <scheme val="minor"/>
      </rPr>
      <t>—Detected environmental threat events are communicated to and reviewed by the individuals responsible for the management of the system, and actions are taken, if necessary.</t>
    </r>
  </si>
  <si>
    <r>
      <t>Determines Data Requiring Backup</t>
    </r>
    <r>
      <rPr>
        <i/>
        <sz val="9"/>
        <color theme="1"/>
        <rFont val="Calibri"/>
        <family val="2"/>
        <scheme val="minor"/>
      </rPr>
      <t xml:space="preserve">—Data is evaluated to determine whether backup is required. </t>
    </r>
  </si>
  <si>
    <t>PR.IP-4</t>
  </si>
  <si>
    <r>
      <t>Performs Data Backup</t>
    </r>
    <r>
      <rPr>
        <i/>
        <sz val="9"/>
        <color theme="1"/>
        <rFont val="Calibri"/>
        <family val="2"/>
        <scheme val="minor"/>
      </rPr>
      <t xml:space="preserve">—Procedures are in place for backing up data, monitoring to detect back-up failures, and initiating corrective action when such failures occur. </t>
    </r>
  </si>
  <si>
    <r>
      <t>Addresses Offsite Storage</t>
    </r>
    <r>
      <rPr>
        <i/>
        <sz val="9"/>
        <color theme="1"/>
        <rFont val="Calibri"/>
        <family val="2"/>
        <scheme val="minor"/>
      </rPr>
      <t xml:space="preserve">—Back-up data is stored in a location at a distance from its principal storage location sufficient that the likelihood of a security or environmental threat event affecting both sets of data is reduced to an appropriate level.  </t>
    </r>
  </si>
  <si>
    <r>
      <t>Implements Alternate Processing Infrastructure</t>
    </r>
    <r>
      <rPr>
        <i/>
        <sz val="9"/>
        <color theme="1"/>
        <rFont val="Calibri"/>
        <family val="2"/>
        <scheme val="minor"/>
      </rPr>
      <t xml:space="preserve">—Measures are implemented for migrating processing to alternate infrastructure in the event normal processing infrastructure becomes unavailable.  </t>
    </r>
  </si>
  <si>
    <t>A1.3</t>
  </si>
  <si>
    <r>
      <t>Implements Business Continuity Plan Testing</t>
    </r>
    <r>
      <rPr>
        <i/>
        <sz val="9"/>
        <color theme="1"/>
        <rFont val="Calibri"/>
        <family val="2"/>
        <scheme val="minor"/>
      </rPr>
      <t>—Business continuity plan testing is performed on a periodic basis. The testing includes (1) development of testing scenarios based on threat likelihood and magnitude; (2) consideration of system components from across the entity that can impair the availability; (3) scenarios that consider the potential for the lack of availability of key personnel; and (4) revision of continuity plans and systems based on test results.</t>
    </r>
  </si>
  <si>
    <r>
      <t>Tests Integrity and Completeness of Back-Up Data</t>
    </r>
    <r>
      <rPr>
        <i/>
        <sz val="9"/>
        <color theme="1"/>
        <rFont val="Calibri"/>
        <family val="2"/>
        <scheme val="minor"/>
      </rPr>
      <t xml:space="preserve">—The integrity and completeness of back-up information is tested on a periodic basis. </t>
    </r>
  </si>
  <si>
    <t xml:space="preserve">C1.1 </t>
  </si>
  <si>
    <r>
      <t>Identifies Confidential information</t>
    </r>
    <r>
      <rPr>
        <i/>
        <sz val="9"/>
        <color theme="1"/>
        <rFont val="Calibri"/>
        <family val="2"/>
        <scheme val="minor"/>
      </rPr>
      <t>—Procedures are in place to identify and designate confidential information when it is received or created and to determine the period over which the confidential information is to be retained.</t>
    </r>
  </si>
  <si>
    <r>
      <t>Protects Confidential Information from Destruction</t>
    </r>
    <r>
      <rPr>
        <i/>
        <sz val="9"/>
        <color theme="1"/>
        <rFont val="Calibri"/>
        <family val="2"/>
        <scheme val="minor"/>
      </rPr>
      <t>—Procedures are in place to protect confidential information from erasure or destruction during the specified retention period of the information.</t>
    </r>
    <r>
      <rPr>
        <i/>
        <u/>
        <sz val="9"/>
        <color theme="1"/>
        <rFont val="Calibri"/>
        <family val="2"/>
        <scheme val="minor"/>
      </rPr>
      <t xml:space="preserve"> </t>
    </r>
  </si>
  <si>
    <t xml:space="preserve">C1.2  </t>
  </si>
  <si>
    <r>
      <t>Identifies Confidential Information for Destruction</t>
    </r>
    <r>
      <rPr>
        <i/>
        <sz val="9"/>
        <color theme="1"/>
        <rFont val="Calibri"/>
        <family val="2"/>
        <scheme val="minor"/>
      </rPr>
      <t xml:space="preserve">—Procedures are in place to identify confidential information requiring destruction when the end of the retention period is reached. </t>
    </r>
  </si>
  <si>
    <t>PR.IP-6</t>
  </si>
  <si>
    <r>
      <t>Destroys Confidential Information</t>
    </r>
    <r>
      <rPr>
        <i/>
        <sz val="9"/>
        <color theme="1"/>
        <rFont val="Calibri"/>
        <family val="2"/>
        <scheme val="minor"/>
      </rPr>
      <t>—Procedures are in place to erase or otherwise destroy confidential information that has been identified for destruction.</t>
    </r>
  </si>
  <si>
    <t>Legend for Trust Services Criteria References: "CC" denotes common criteria that are applicable to the categories of Security, Availability, Confidentiality, and Processing Integrity. "A" denotes additional criteria specific to Availability, "C" denotes additional criteria specific to Cofidentiality, and "PI" denotes additional criteria specific to Processing Integrity.</t>
  </si>
  <si>
    <t xml:space="preserve"> © 2015 American Institute of CPAs.</t>
  </si>
  <si>
    <t>CC PI 1.4</t>
  </si>
  <si>
    <t>CC PI 1.3.1</t>
  </si>
  <si>
    <t>CC PI 1.3.2</t>
  </si>
  <si>
    <t>CC PI 1.3.3</t>
  </si>
  <si>
    <t>CC PI 1.3.4</t>
  </si>
  <si>
    <t>CC PI 1.3.5</t>
  </si>
  <si>
    <t>CC PI 1.5</t>
  </si>
  <si>
    <t>CC PI 1.4.1</t>
  </si>
  <si>
    <t>CC PI 1.4.2</t>
  </si>
  <si>
    <t>CC PI 1.4.3</t>
  </si>
  <si>
    <t>CC PI 1.4.4</t>
  </si>
  <si>
    <t>CC PI 1.5.1</t>
  </si>
  <si>
    <t>CC PI 1.5.2</t>
  </si>
  <si>
    <t>CC PI 1.5.3</t>
  </si>
  <si>
    <t>CC PI 1.5.4</t>
  </si>
  <si>
    <t>CC PR 1.1.1</t>
  </si>
  <si>
    <t>CC PR 1.0</t>
  </si>
  <si>
    <t>CC PR 1.1</t>
  </si>
  <si>
    <t>CC PR 1.1.2</t>
  </si>
  <si>
    <t>CC PR 1.1.3</t>
  </si>
  <si>
    <t>CC PR 1.1.4</t>
  </si>
  <si>
    <t>CC PR 1.1.5</t>
  </si>
  <si>
    <t>CC PR 1.1.6</t>
  </si>
  <si>
    <t>CC PR 1.1.7</t>
  </si>
  <si>
    <t>CC PR 1.1.8</t>
  </si>
  <si>
    <t>CC PR 1.1.9</t>
  </si>
  <si>
    <t>CC PR 1.1.10</t>
  </si>
  <si>
    <t>CC PR 1.1.11</t>
  </si>
  <si>
    <t>CC PR 1.1.12</t>
  </si>
  <si>
    <t>CC PR 1.1.13</t>
  </si>
  <si>
    <t>CC PR 1.1.14</t>
  </si>
  <si>
    <t>CC PR 1.1.15</t>
  </si>
  <si>
    <t>CC PR 2.1</t>
  </si>
  <si>
    <t>CC PR 2.1.1</t>
  </si>
  <si>
    <t>CC PR 2.1.2</t>
  </si>
  <si>
    <t>CC PR 2.1.3</t>
  </si>
  <si>
    <t>CC PR 2.1.4</t>
  </si>
  <si>
    <t>CC PR 2.1.5</t>
  </si>
  <si>
    <t>CC PR 2.1.6</t>
  </si>
  <si>
    <t>CC PR 3.1</t>
  </si>
  <si>
    <t>CC PR 3.1.1</t>
  </si>
  <si>
    <t>CC PR 3.1.2</t>
  </si>
  <si>
    <t>CC PR 3.1.3</t>
  </si>
  <si>
    <t>CC PR 3.1.4</t>
  </si>
  <si>
    <t>CC PR 3.2</t>
  </si>
  <si>
    <t>CC PR 3.2.1</t>
  </si>
  <si>
    <t>CC PR 3.2.2</t>
  </si>
  <si>
    <t>CC PR 4.0</t>
  </si>
  <si>
    <t>CC PR 4.1</t>
  </si>
  <si>
    <t>CC PR 4.1.1</t>
  </si>
  <si>
    <t>CC PR 4.2</t>
  </si>
  <si>
    <t>CC PR 4.2.1</t>
  </si>
  <si>
    <t>CC PR 4.2.2</t>
  </si>
  <si>
    <t>CC PR 4.3</t>
  </si>
  <si>
    <t>CC PR 4.3.1</t>
  </si>
  <si>
    <t>CC PR 4.3.2</t>
  </si>
  <si>
    <t>CC PR 4.3.3</t>
  </si>
  <si>
    <t>CC PR 5.1</t>
  </si>
  <si>
    <t>CC PR 5.1.1</t>
  </si>
  <si>
    <t>CC PR 5.1.2</t>
  </si>
  <si>
    <t>CC PR 5.1.3</t>
  </si>
  <si>
    <t>CC PR 5.1.4</t>
  </si>
  <si>
    <t>CC PR 5.2</t>
  </si>
  <si>
    <t>CC PR 5.2.1</t>
  </si>
  <si>
    <t>CC PR 5.2.2</t>
  </si>
  <si>
    <t>CC PR 5.2.3</t>
  </si>
  <si>
    <t>CC PR 6.1</t>
  </si>
  <si>
    <t>CC PR 6.1.1</t>
  </si>
  <si>
    <t>CC PR 6.1.2</t>
  </si>
  <si>
    <t>CC PR 6.1.3</t>
  </si>
  <si>
    <t>CC PR 6.1.4</t>
  </si>
  <si>
    <t>CC PR 6.2</t>
  </si>
  <si>
    <t>CC PR 6.3</t>
  </si>
  <si>
    <t>CC PR 6.2.1</t>
  </si>
  <si>
    <t>CC PR 6.3.1</t>
  </si>
  <si>
    <t>CC PR 6.4</t>
  </si>
  <si>
    <t>CC PR 6.4.1</t>
  </si>
  <si>
    <t>CC PR 6.4.2</t>
  </si>
  <si>
    <t>CC PR 6.5</t>
  </si>
  <si>
    <t>CC PR 6.5.1</t>
  </si>
  <si>
    <t>CC PR 6.5.2</t>
  </si>
  <si>
    <t>CC PR 6.6</t>
  </si>
  <si>
    <t>CC PR 6.6.1</t>
  </si>
  <si>
    <t>CC PR 6.6.2</t>
  </si>
  <si>
    <t>CC PR 6.7</t>
  </si>
  <si>
    <t>CC PR 6.7.1</t>
  </si>
  <si>
    <t>CC PR 6.7.2</t>
  </si>
  <si>
    <t>CC PR 7.0</t>
  </si>
  <si>
    <t>CC PR 7.1</t>
  </si>
  <si>
    <t>CC PR 7.1.1</t>
  </si>
  <si>
    <t>CC PR 7.1.2</t>
  </si>
  <si>
    <t>CC PR 8.0</t>
  </si>
  <si>
    <t>CC PR 8.1</t>
  </si>
  <si>
    <t>CC PR 8.1.1</t>
  </si>
  <si>
    <t>CC PR 8.1.2</t>
  </si>
  <si>
    <t>CC PR 8.1.3</t>
  </si>
  <si>
    <t>CC PR 8.1.4</t>
  </si>
  <si>
    <t>CC PR 8.1.5</t>
  </si>
  <si>
    <t>CC PR 8.1.6</t>
  </si>
  <si>
    <t>PR.AT-1, PR.AT-3</t>
  </si>
  <si>
    <t>ID.BE-1, ID.BE-2, ID.BE-3, ID.BE-4, ID.BE-5</t>
  </si>
  <si>
    <t>ID.RM-2, ID.RM-3</t>
  </si>
  <si>
    <t>ID.RA-1, ID.RA-2</t>
  </si>
  <si>
    <t>ID.RA-1, ID.RA-2, ID.RA-3, ID.RA-5</t>
  </si>
  <si>
    <t>ID.AM-1, ID.AM-2, ID.AM-3, ID.AM-4, ID.AM-5</t>
  </si>
  <si>
    <t>PR.IP-7, ID.RM-1</t>
  </si>
  <si>
    <t>PR.IP-7, PR.IP-12, DE.DP-5</t>
  </si>
  <si>
    <t>ID.AM-1, ID.AM-2, ID.AM-3, ID.AM-4, PR.DS-3</t>
  </si>
  <si>
    <t>PR.AC-5, PR.PT-3, PR.DS-1, PR.DS-2, PR.DS-3, PR.PT-3</t>
  </si>
  <si>
    <t>PR.AC-1, PR.IP-11</t>
  </si>
  <si>
    <t>PR.AC-4, PR.AC-2</t>
  </si>
  <si>
    <t>PR.DS-8, PR.DS-6</t>
  </si>
  <si>
    <t>PR.IP-12, DE.CM-8</t>
  </si>
  <si>
    <t>PR.DS-5, PR.PT-1, DE.CM-1, DE.DP-1, DE.DP-2, DE.DP-4</t>
  </si>
  <si>
    <t>PR.DS-5, DE.AE-1, DE.CM-1, DE.CM-2, DE.CM-3, DE.CM-4, DE.CM-5, DE.CM-6, DE.CM-7, DE.CM-8</t>
  </si>
  <si>
    <t>DE.AE-2, DE.AE-3, DE.AE-5, DE.DP-4, RS.AN-4</t>
  </si>
  <si>
    <t>DE.DP-3, DE.DP-5</t>
  </si>
  <si>
    <t>PR.IP-9, DE.AE-4, DE.AE-5, PR.IP-10</t>
  </si>
  <si>
    <t>RS.CO-2, RS.CO-3</t>
  </si>
  <si>
    <t>DE.AE-4, RS.AN-1, RS.AN-2</t>
  </si>
  <si>
    <t>RS.CO-3, RS.CO-4, RS.CO-5</t>
  </si>
  <si>
    <t>RS.IM-2, RC.IM-1, RC.IM-2</t>
  </si>
  <si>
    <t>PR.IP-2, PR.IP-3</t>
  </si>
  <si>
    <t>PR.MA-1, PR.MA-2</t>
  </si>
  <si>
    <t>PR.IP-2, PR.IP-3, PR.MA-1, PR.MA-2, PR.DS-7</t>
  </si>
  <si>
    <t>PR.IP-9, ID.SC-5</t>
  </si>
  <si>
    <t>ID.SC-1, ID.SC-3</t>
  </si>
  <si>
    <t>PR.AT-3, ID.SC-4</t>
  </si>
  <si>
    <t>PR.IP-10, ID.SC-5</t>
  </si>
  <si>
    <t>CC PI</t>
  </si>
  <si>
    <t>CC PR</t>
  </si>
  <si>
    <t>CC PR 2</t>
  </si>
  <si>
    <t>CC PR 3</t>
  </si>
  <si>
    <t>CC PR 5</t>
  </si>
  <si>
    <t>CC PR 6</t>
  </si>
  <si>
    <t>TSC</t>
  </si>
  <si>
    <t>Sort</t>
  </si>
  <si>
    <t>Function Desc.</t>
  </si>
  <si>
    <t>Category Desc.</t>
  </si>
  <si>
    <t>Subcategory</t>
  </si>
  <si>
    <t>SubCategory Desc.</t>
  </si>
  <si>
    <t>Ref:
CIS</t>
  </si>
  <si>
    <t>Ref:
ISO</t>
  </si>
  <si>
    <t>Ref: 
800-53 R4</t>
  </si>
  <si>
    <t>Ref:
HIPAA</t>
  </si>
  <si>
    <t>Ref: HITRUST</t>
  </si>
  <si>
    <t>Ref:
COBIT 5</t>
  </si>
  <si>
    <t>1.1.1</t>
  </si>
  <si>
    <t>ID</t>
  </si>
  <si>
    <t>Identify</t>
  </si>
  <si>
    <t>AM</t>
  </si>
  <si>
    <t>Asset Management (ID.AM):
The data, personnel, devices, systems, and facilities that enable the organization to achieve business purposes are identified and managed consistent with their relative importance to organizational objectives and the organization’s risk strategy.</t>
  </si>
  <si>
    <t>Physical devices and systems within the organization are inventoried</t>
  </si>
  <si>
    <t>CIS CSC 1</t>
  </si>
  <si>
    <t>A.8.1.1, A.8.1.2</t>
  </si>
  <si>
    <t>CM-8, PM-5</t>
  </si>
  <si>
    <t>45 C.F.R. §§
164.308(a)(1)(ii)(A), 164.310(a)(2)(ii),
164.310(d)</t>
  </si>
  <si>
    <t>BAI09.01, BAI09.02</t>
  </si>
  <si>
    <t>1.1.2</t>
  </si>
  <si>
    <t>Software platforms and applications within the organization are inventoried</t>
  </si>
  <si>
    <t>CIS CSC 2</t>
  </si>
  <si>
    <t xml:space="preserve"> CM-8, PM-5</t>
  </si>
  <si>
    <t>45 C.F.R. §§
164.308(a)(1)(ii)(A), 164.308(a)(7)(ii)(E )</t>
  </si>
  <si>
    <t>BAI09.01, BAI09.02, BAI09.05</t>
  </si>
  <si>
    <t>1.1.3</t>
  </si>
  <si>
    <t>Organizational communication and data flows are mapped</t>
  </si>
  <si>
    <t>CIS CSC 12</t>
  </si>
  <si>
    <t>A.13.2.1</t>
  </si>
  <si>
    <t xml:space="preserve"> AC-4, CA-3, CA-9, PL-8</t>
  </si>
  <si>
    <t>45 C.F.R. §§
164.308(a)(1)(ii)(A), 164.308(a)(3)(ii)(A),
164.308(a)(8), 164.310(d)</t>
  </si>
  <si>
    <t>DSS05.02</t>
  </si>
  <si>
    <t>1.1.4</t>
  </si>
  <si>
    <t>External information systems are catalogued</t>
  </si>
  <si>
    <t>A.11.2.6</t>
  </si>
  <si>
    <t xml:space="preserve"> AC-20, SA-9</t>
  </si>
  <si>
    <t xml:space="preserve"> 45 C.F.R. §§ 164.308(a)(4)(ii)(A), 164.308(b), 164.314(a)(1), 164.314(a)(2)(i)(B), 164.314(a)(2)(ii), 164.316(b)(2)</t>
  </si>
  <si>
    <t>APO02.02</t>
  </si>
  <si>
    <t>1.1.5</t>
  </si>
  <si>
    <t xml:space="preserve">Resources (e.g., hardware, devices, data, time, personnel, and software) are prioritized based on their classification, criticality, and business value </t>
  </si>
  <si>
    <t>CIS CSC 13, 14</t>
  </si>
  <si>
    <t>A.8.2.1</t>
  </si>
  <si>
    <t xml:space="preserve"> CP-2, RA-2, SA-14, SC-6</t>
  </si>
  <si>
    <t>45 C.F.R. § 164.308(a)(7)(ii)(E )</t>
  </si>
  <si>
    <t>APO03.03, APO03.04, BAI09.02</t>
  </si>
  <si>
    <t>1.1.6</t>
  </si>
  <si>
    <t>Cybersecurity roles and responsibilities for the entire workforce and third-party stakeholders (e.g., suppliers, customers, partners) are established</t>
  </si>
  <si>
    <t>CIS CSC 17, 19</t>
  </si>
  <si>
    <t>A.6.1.1</t>
  </si>
  <si>
    <t xml:space="preserve"> CP-2, PS-7, PM-11</t>
  </si>
  <si>
    <t>45 C.F.R. §§ 164.308(a)(2), 164.308(a)(3), 164.308(a)(4), 164.308(b)(1), 164.314</t>
  </si>
  <si>
    <t>APO01.02, DSS06.03</t>
  </si>
  <si>
    <t>1.2.1</t>
  </si>
  <si>
    <t>BE</t>
  </si>
  <si>
    <t>Business Environment (ID.BE):
The organization’s mission, objectives, stakeholders, and activities are understood and prioritized; this information is used to inform cybersecurity roles, responsibilities, and risk management decisions.</t>
  </si>
  <si>
    <t>The organization’s role in the supply chain is identified and communicated</t>
  </si>
  <si>
    <t>A.15.1.3, A.15.2.1, A.15.2.2</t>
  </si>
  <si>
    <t xml:space="preserve"> CP-2, SA-12</t>
  </si>
  <si>
    <t>45 C.F.R. §§ 164.308(a)(1)(ii)(A), 164.308(a)(4)(ii), 164.308(a)(7)(ii)(C), 164.308(a)(7)(ii)(E), 164.308(a)(8), 164.310(a)(2)(i), 164.314, 164.316</t>
  </si>
  <si>
    <t>APO08.04, APO08.05, APO10.03, APO10.04, APO10.05</t>
  </si>
  <si>
    <t>1.2.2</t>
  </si>
  <si>
    <t>The organization’s place in critical infrastructure and its industry sector is identified and communicated</t>
  </si>
  <si>
    <t xml:space="preserve"> PM-8</t>
  </si>
  <si>
    <t>APO02.06, APO03.01</t>
  </si>
  <si>
    <t>1.2.3</t>
  </si>
  <si>
    <t>Priorities for organizational mission, objectives, and activities are established and communicated</t>
  </si>
  <si>
    <t xml:space="preserve"> PM-11, SA-14</t>
  </si>
  <si>
    <t>45 C.F.R. §§ 164.308(a)(7)(ii)(B), 164.308(a)(7)(ii)(C), 164.308(a)(7)(ii)(D),164.308(a)(7)(ii)(E), 164.310(a)(2)(i), 164.316</t>
  </si>
  <si>
    <t>APO02.01, APO02.06, APO03.01</t>
  </si>
  <si>
    <t>1.2.4</t>
  </si>
  <si>
    <t>Dependencies and critical functions for delivery of critical services are established</t>
  </si>
  <si>
    <t>A.11.2.2, A.11.2.3, A.12.1.3</t>
  </si>
  <si>
    <t xml:space="preserve"> CP-8, PE-9, PE-11, PM-8, SA-14</t>
  </si>
  <si>
    <t>45 C.F.R. §§ 164.308(a)(7)(i), 164.308.(a)(7)(ii)(E), 164.310(a)(2)(i), 164.312(a)(2)(ii), 164.314(a)(1), 164.314(b)(2)(i)</t>
  </si>
  <si>
    <t>1.2.5</t>
  </si>
  <si>
    <t>Resilience requirements to support delivery of critical services are established for all operating states (e.g. under duress/attack, during recovery, normal operations)</t>
  </si>
  <si>
    <t>A.11.1.4, A.17.1.1, A.17.1.2, A.17.2.1</t>
  </si>
  <si>
    <t xml:space="preserve"> CP-2, CP-11, SA-13, SA-14</t>
  </si>
  <si>
    <t>45 C.F.R. §§ 164.308(a)(1)(ii)(B), 164.308(a)(6)(ii), 164.308(a)(7), 164.308(a)(8), 164.310(a)(2)(i), 164.312(a)(2)(ii), 164.314(b)(2)(i)</t>
  </si>
  <si>
    <t>DSS04.02</t>
  </si>
  <si>
    <t>1.3.1</t>
  </si>
  <si>
    <t>GV</t>
  </si>
  <si>
    <t>Governance (ID.GV):
The policies, procedures, and processes to manage and monitor the organization’s regulatory, legal, risk, environmental, and operational requirements are understood and inform the management of cybersecurity risk.</t>
  </si>
  <si>
    <t>Organizational cybersecurity policy is established and communicated</t>
  </si>
  <si>
    <t>CIS CSC 19</t>
  </si>
  <si>
    <t>A.5.1.1</t>
  </si>
  <si>
    <t xml:space="preserve"> -1 controls from all security control families </t>
  </si>
  <si>
    <t>45 C.F.R. §§ 164.308(a)(1)(i), 164.316</t>
  </si>
  <si>
    <t>APO01.03, EDM01.01, EDM01.02</t>
  </si>
  <si>
    <t>1.3.2</t>
  </si>
  <si>
    <t>Cybersecurity roles and responsibilities are coordinated and aligned with internal roles and external partners</t>
  </si>
  <si>
    <t>A.6.1.1, A.7.2.1</t>
  </si>
  <si>
    <t xml:space="preserve"> PS-7, PM-1, PM-2</t>
  </si>
  <si>
    <t>45 C.F.R. §§ 164.308(a)(1)(i), 164.308(a)(2), 164.308(a)(3), 164.308(a)(4), 164.308(b), 164.314</t>
  </si>
  <si>
    <t>APO13.12</t>
  </si>
  <si>
    <t>1.3.3</t>
  </si>
  <si>
    <t>Legal and regulatory requirements regarding cybersecurity, including privacy and civil liberties obligations, are understood and managed</t>
  </si>
  <si>
    <t>A.18.1</t>
  </si>
  <si>
    <t xml:space="preserve"> -1 controls from all security control families</t>
  </si>
  <si>
    <t>45 C.F.R. §§ 164.306, 164.308, 164.310, 164.312, 164.314, 164.316</t>
  </si>
  <si>
    <t>MEA03.01, MEA03.04</t>
  </si>
  <si>
    <t>1.3.4</t>
  </si>
  <si>
    <t>Governance and risk management processes address cybersecurity risks</t>
  </si>
  <si>
    <t xml:space="preserve"> SA-2, PM-3, PM-7, PM-9, PM-10, PM-11</t>
  </si>
  <si>
    <t>45 C.F.R. §§ 164.308(a)(1), 164.308(b)</t>
  </si>
  <si>
    <t>1.4.1</t>
  </si>
  <si>
    <t>RA</t>
  </si>
  <si>
    <t>Risk Assessment (ID.RA):
The organization understands the cybersecurity risk to organizational operations (including mission, functions, image, or reputation), organizational assets, and individuals.</t>
  </si>
  <si>
    <t>Asset vulnerabilities are identified and documented</t>
  </si>
  <si>
    <t>CIS CSC 4</t>
  </si>
  <si>
    <t>A.12.6.1, A.18.2.3</t>
  </si>
  <si>
    <t xml:space="preserve"> CA-2, CA-7, CA-8, RA-3, RA-5, SA-5, SA-11, SI-2, SI-4, SI-5</t>
  </si>
  <si>
    <t>45 C.F.R. §§ 164.308(a)(1)(ii)(A), 164.308(a)(7)(ii)(E), 164.308(a)(8), 164.310(a)(1), 164.312(a)(1), 164.316(b)(2)(iii)</t>
  </si>
  <si>
    <t>APO12.01, APO12.02, APO12.03, APO12.04</t>
  </si>
  <si>
    <t>1.4.2</t>
  </si>
  <si>
    <t>Cyber threat intelligence is received from information sharing forums and sources.</t>
  </si>
  <si>
    <t>A.6.1.4</t>
  </si>
  <si>
    <t xml:space="preserve"> SI-5, PM-15, PM-16</t>
  </si>
  <si>
    <t>1.4.3</t>
  </si>
  <si>
    <t>Threats, both internal and external, are identified and documented</t>
  </si>
  <si>
    <t xml:space="preserve"> RA-3, SI-5, PM-12, PM-16</t>
  </si>
  <si>
    <t>45 C.F.R. §§ 164.308(a)(1)(ii)(A),164.308(a)(1)(ii)(D), 164.308(a)(3), 164.308(a)(4), 164.308(a)(5)(ii)(A),164.310(a)(1), 164.310(a)(2)(iii), 164.312(a)(1), 164.312(c), 164.312(e), 164.314, 164.316</t>
  </si>
  <si>
    <t>1.4.4</t>
  </si>
  <si>
    <t>Potential business impacts and likelihoods are identified</t>
  </si>
  <si>
    <t xml:space="preserve"> RA-2, RA-3, SA-14, PM-9, PM-11</t>
  </si>
  <si>
    <t>45 C.F.R. §§ 164.308(a)(1)(i), 164.308(a)(1)(ii)(A), 164.308(a)(1)(ii)(B), 164.308(a)(6), 164.308(a)(7)(ii)(E), 164.308(a)(8), 164.316(a)</t>
  </si>
  <si>
    <t>1.4.5</t>
  </si>
  <si>
    <t>Threats, vulnerabilities, likelihoods, and impacts are used to determine risk</t>
  </si>
  <si>
    <t>A.12.6.1</t>
  </si>
  <si>
    <t xml:space="preserve"> RA-2, RA-3, PM-16</t>
  </si>
  <si>
    <t>45 C.F.R. §§ 164.308(a)(1)(ii)(A), 164.308(a)(1)(ii)(B), 164.308(a)(1)(ii)(D), 164.308(a)(7)(ii)(D), 164.308(a)(7)(ii)(E), 164.316(a)</t>
  </si>
  <si>
    <t>APO12.02</t>
  </si>
  <si>
    <t>1.4.6</t>
  </si>
  <si>
    <t>Risk responses are identified and prioritized</t>
  </si>
  <si>
    <t xml:space="preserve"> PM-4, PM-9</t>
  </si>
  <si>
    <t>45 C.F.R. §§ 164.308(a)(1)(ii)(B), 164.314(a)(2)(i)(C), 164.314(b)(2)(iv)</t>
  </si>
  <si>
    <t>APO12.05, APO13.02</t>
  </si>
  <si>
    <t>1.5.1</t>
  </si>
  <si>
    <t>RM</t>
  </si>
  <si>
    <t>Risk Management Strategy (ID.RM):
The organization’s priorities, constraints, risk tolerances, and assumptions are established and used to support operational risk decisions.</t>
  </si>
  <si>
    <t>Risk management processes are established, managed, and agreed to by organizational stakeholders</t>
  </si>
  <si>
    <t xml:space="preserve"> PM-9</t>
  </si>
  <si>
    <t>45 C.F.R. § 164.308(a)(1)(ii)(B)</t>
  </si>
  <si>
    <t>APO12.04, APO12.05, APO13.02, BAI02.03, BAI04.02</t>
  </si>
  <si>
    <t>1.5.2</t>
  </si>
  <si>
    <t>Organizational risk tolerance is determined and clearly expressed</t>
  </si>
  <si>
    <t>APO12.06</t>
  </si>
  <si>
    <t>1.5.3</t>
  </si>
  <si>
    <t>The organization’s determination of risk tolerance is informed by its role in critical infrastructure and sector specific risk analysis</t>
  </si>
  <si>
    <t xml:space="preserve"> SA-14, PM-8, PM-9, PM-11</t>
  </si>
  <si>
    <t>45 C.F.R. §§ 164.308(a)(1)(ii)(B), 164.308(a)(6)(ii), 164.308(a)(7)(i), 164.308(a)(7)(ii)(C),164.308(a)(7)(ii)(E), 164.310(a)(2)(i)</t>
  </si>
  <si>
    <t>1.6.1</t>
  </si>
  <si>
    <t>SC</t>
  </si>
  <si>
    <t>Supply Chain Risk Management (ID.SC):
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</si>
  <si>
    <t>A.9.2.1, A.9.2.2, A.9.2.4, A.9.3.1, A.9.4.2, A.9.4.3</t>
  </si>
  <si>
    <t xml:space="preserve"> SA-9, SA-12, PM-9</t>
  </si>
  <si>
    <t>DSS05.04, DSS06.03</t>
  </si>
  <si>
    <t>1.6.2</t>
  </si>
  <si>
    <t xml:space="preserve">Suppliers and third party partners of information systems, components, and services are identified, prioritized, and assessed using a cyber supply chain risk assessment process </t>
  </si>
  <si>
    <t>A.11.1.1, A.11.1.2, A.11.1.4, A.11.1.6, A.11.2.3</t>
  </si>
  <si>
    <t xml:space="preserve"> RA-2, RA-3, SA-12, SA-14, SA-15, PM-9</t>
  </si>
  <si>
    <t>DSS01.04, DSS05.05</t>
  </si>
  <si>
    <t>1.6.3</t>
  </si>
  <si>
    <t>Contracts with suppliers and third-party partners are used to implement appropriate measures designed to meet the objectives of an organization’s cybersecurity program and Cyber Supply Chain Risk Management Plan.</t>
  </si>
  <si>
    <t>A.6.2.2, A.13.1.1, A.13.2.1</t>
  </si>
  <si>
    <t xml:space="preserve"> SA-9, SA-11, SA-12, PM-9</t>
  </si>
  <si>
    <t>APO13.01, DSS01.04, DSS05.03</t>
  </si>
  <si>
    <t>1.6.4</t>
  </si>
  <si>
    <t>Suppliers and third-party partners are routinely assessed using audits, test results, or other forms of evaluations to confirm they are meeting their contractual obligations.</t>
  </si>
  <si>
    <t>A.6.1.2, A.9.1.2, A.9.2.3, A.9.4.1, A.9.4.4</t>
  </si>
  <si>
    <t xml:space="preserve"> AU-2, AU-6, AU-12, AU-16, PS-7, SA-9, SA-12</t>
  </si>
  <si>
    <t>1.6.5</t>
  </si>
  <si>
    <t>Response and recovery planning and testing are conducted with suppliers and third-party providers</t>
  </si>
  <si>
    <t>CIS CSC 19, 20</t>
  </si>
  <si>
    <t>A.13.1.1, A.13.1.3, A.13.2.1</t>
  </si>
  <si>
    <t xml:space="preserve"> CP-2, CP-4, IR-3, IR-4, IR-6, IR-8, IR-9</t>
  </si>
  <si>
    <t>2.1.1</t>
  </si>
  <si>
    <t>PR</t>
  </si>
  <si>
    <t>Protect</t>
  </si>
  <si>
    <t>AC</t>
  </si>
  <si>
    <t>Identity Management, Authentication and Access Control (PR.AC): Access to physical and logical assets and associated facilities is limited to authorized users, processes, and devices, and is managed consistent with the assessed risk of unauthorized access to authorized activities and transactions.</t>
  </si>
  <si>
    <t>Identities and credentials are issued, managed, verified, revoked, and audited for authorized devices, users and processes</t>
  </si>
  <si>
    <t>CIS CSC 1, 5, 15, 16</t>
  </si>
  <si>
    <t>A.7.2.2</t>
  </si>
  <si>
    <t xml:space="preserve"> AC-1, AC-2, IA-1, IA-2, IA-3, IA-4, IA-5, IA-6, IA-7, IA-8, IA-9, IA-10, IA-11 </t>
  </si>
  <si>
    <t>45 C.F.R. §§ 164.308(a)(3)(ii)(B), 164.308(a)(3)(ii)(C), 164.308(a)(4)(i), 164.308(a)(4)(ii)(B), 164.308(a)(4)(ii)(C ), 164.312(a)(2)(i), 164.312(a)(2)(ii),164.312(a)(2)(iii), 164.312(d)</t>
  </si>
  <si>
    <t>APO07.03, BAI05.07</t>
  </si>
  <si>
    <t>2.1.2</t>
  </si>
  <si>
    <t>Physical access to assets is managed and protected</t>
  </si>
  <si>
    <t>A.6.1.1, A.7.2.2</t>
  </si>
  <si>
    <t xml:space="preserve"> PE-2, PE-3, PE-4, PE-5, PE-6, PE-8</t>
  </si>
  <si>
    <t>45 C.F.R. §§ 164.308(a)(1)(ii)(B), 164.308(a)(7)(i), 164.308(a)(7)(ii)(A), 164.310(a)(1), 164.310(a)(2)(i), 164.310(a)(2)(ii), 164.310(a)(2)(iii), 164.310(b), 164.310(c), 164.310(d)(1), 164.310(d)(2)(iii)</t>
  </si>
  <si>
    <t>APO07.02, DSS06.03</t>
  </si>
  <si>
    <t>2.1.3</t>
  </si>
  <si>
    <t>Remote access is managed</t>
  </si>
  <si>
    <t xml:space="preserve"> AC-1, AC-17, AC-19, AC-20, SC-15</t>
  </si>
  <si>
    <t>45 C.F.R. §§ 164.308(a)(4)(i), 164.308(b)(1), 164.308(b)(3), 164.310(b), 164.312(e)(1), 164.312(e)(2)(ii)</t>
  </si>
  <si>
    <t>APO07.03, APO10.04, APO10.05</t>
  </si>
  <si>
    <t>2.1.4</t>
  </si>
  <si>
    <t>Access permissions and authorizations are managed, incorporating the principles of least privilege and separation of duties</t>
  </si>
  <si>
    <t xml:space="preserve">CIS CSC 3, 5, 12, 14, 15, 16, 18 </t>
  </si>
  <si>
    <t>A.6.1.1, A.7.2.2,</t>
  </si>
  <si>
    <t xml:space="preserve"> AC-1, AC-2, AC-3, AC-5, AC-6, AC-14, AC-16, AC-24</t>
  </si>
  <si>
    <t>45 C.F.R. §§ 164.308(a)(3), 164.308(a)(4), 164.310(a)(2)(iii), 164.310(b), 164.312(a)(1), 164.312(a)(2)(i), 164.312(a)(2)(ii)</t>
  </si>
  <si>
    <t>APO07.03</t>
  </si>
  <si>
    <t>2.1.5</t>
  </si>
  <si>
    <t>Network integrity is protected (e.g., network segregation, network segmentation)</t>
  </si>
  <si>
    <t>CIS CSC 9, 14, 15, 18</t>
  </si>
  <si>
    <t xml:space="preserve"> AC-4, AC-10, SC-7</t>
  </si>
  <si>
    <t>45 C.F.R. §§ 164.308(a)(4)(ii)(B), 164.310(a)(1), 164.310(b), 164.312(a)(1), 164.312(b), 164.312(c), 164.312(e)</t>
  </si>
  <si>
    <t>2.1.6</t>
  </si>
  <si>
    <t>Identities are proofed and bound to credentials and asserted in interactions</t>
  </si>
  <si>
    <t>CIS CSC, 16</t>
  </si>
  <si>
    <t>A.8.2.3</t>
  </si>
  <si>
    <t xml:space="preserve"> AC-1, AC-2, AC-3,  AC-16, AC-19, AC-24, IA-1, IA-2, IA-4, IA-5, IA-8, PE-2, PS-3</t>
  </si>
  <si>
    <t>APO01.06, BAI02.01, BAI06.01, DSS06.06</t>
  </si>
  <si>
    <t>2.1.7</t>
  </si>
  <si>
    <t>PR.AC-7</t>
  </si>
  <si>
    <t>Users, devices, and other assets are authenticated (e.g., single-factor, multi-factor) commensurate with the risk of the transaction (e.g., individuals’ security and privacy risks and other organizational risks)</t>
  </si>
  <si>
    <t>CIS CSC 1, 12, 15, 16</t>
  </si>
  <si>
    <t>A.8.2.3, A.13.1.1, A.13.2.1, A.13.2.3, A.14.1.2, A.14.1.3</t>
  </si>
  <si>
    <t xml:space="preserve"> AC-7, AC-8, AC-9, AC-11, AC-12, AC-14, IA-1, IA-2, IA-3, IA-4, IA-5, IA-8, IA-9, IA-10, IA-11</t>
  </si>
  <si>
    <t>APO01.06, DSS06.06</t>
  </si>
  <si>
    <t>2.2.1</t>
  </si>
  <si>
    <t>AT</t>
  </si>
  <si>
    <t>The organization’s personnel and partners are provided cybersecurity awareness education and are trained to perform their cybersecurity-related duties and responsibilities consistent with related policies, procedures, and agreements</t>
  </si>
  <si>
    <t xml:space="preserve">All users are informed and trained </t>
  </si>
  <si>
    <t>CIS CSC 17, 18</t>
  </si>
  <si>
    <t>A.8.2.3, A.8.3.1, A.8.3.2, A.8.3.3, A.11.2.7</t>
  </si>
  <si>
    <t xml:space="preserve"> AT-2, PM-13</t>
  </si>
  <si>
    <t>45 C.F.R. § 164.308(a)(5)</t>
  </si>
  <si>
    <t>BAI09.03</t>
  </si>
  <si>
    <t>2.2.2</t>
  </si>
  <si>
    <t xml:space="preserve">Privileged users understand their roles and responsibilities </t>
  </si>
  <si>
    <t xml:space="preserve">CIS CSC 5, 17, 18 </t>
  </si>
  <si>
    <t>A.12.3.1</t>
  </si>
  <si>
    <t xml:space="preserve"> AT-3, PM-13</t>
  </si>
  <si>
    <t>5 C.F.R. §§ 164.308(a)(2), 164.308(a)(3)(i), 164.308(a)(5)(i), 164.308(a)(5)(ii)(A), 164.308(a)(5)(ii)(B), 164.308(a)(5)(ii)(C), 164.308(a)(5)(ii)(D)</t>
  </si>
  <si>
    <t>APO13.01</t>
  </si>
  <si>
    <t>2.2.3</t>
  </si>
  <si>
    <t xml:space="preserve">Third-party stakeholders (e.g., suppliers, customers, partners) understand their roles and responsibilities </t>
  </si>
  <si>
    <t>CIS CSC 17</t>
  </si>
  <si>
    <t>A.6.1.2, A.7.1.1, A.7.1.2, A.7.3.1, A.8.2.2, A.8.2.3, A.9.1.1, A.9.1.2, A.9.2.3, A.9.4.1, A.9.4.4, A.9.4.5, A.13.1.3, A.13.2.1, A.13.2.3, A.13.2.4, A.14.1.2, A.14.1.3</t>
  </si>
  <si>
    <t xml:space="preserve"> PS-7, SA-9, SA-16</t>
  </si>
  <si>
    <t>45 C.F.R. §§ 164.308(b), 164.314(a)(1), 164.314(a)(2)(i), 164.314(a)(2)(ii)</t>
  </si>
  <si>
    <t>APO01.06</t>
  </si>
  <si>
    <t>2.2.4</t>
  </si>
  <si>
    <t xml:space="preserve">Senior executives understand their roles and responsibilities </t>
  </si>
  <si>
    <t>A.12.2.1, A.12.5.1, A.14.1.2, A.14.1.3</t>
  </si>
  <si>
    <t>45 C.F.R. §§ 164.308(a)(2), 164.308(a)(3)(i), 164.308(a)(5)(i), 164.308(a)(5)(ii)(A),164.308(a)(5)(ii)(B), 164.308(a)(5)(ii)(C), 164.308(a)(5)(ii)(D)</t>
  </si>
  <si>
    <t>2.2.5</t>
  </si>
  <si>
    <t xml:space="preserve">Physical and cybersecurity personnel understand their roles and responsibilities </t>
  </si>
  <si>
    <t>A.12.1.4</t>
  </si>
  <si>
    <t xml:space="preserve"> AT-3, IR-2, PM-13</t>
  </si>
  <si>
    <t>45 C.F.R. §§ 164.308(a)(2), 164.308(a)(3)(i), 164.308(a)(5)(i), 164.308(a)(5)(ii)(A), 164.308(a)(5)(ii)(B), 164.308(a)(5)(ii)(C), 164.308(a)(5)(ii)(D), 164.530(b)(1)</t>
  </si>
  <si>
    <t>BAI07.04</t>
  </si>
  <si>
    <t>2.3.1</t>
  </si>
  <si>
    <t>DS</t>
  </si>
  <si>
    <t>Information and records (data) are managed consistent with the organization’s risk strategy to protect the confidentiality, integrity, and availability of information.</t>
  </si>
  <si>
    <t>Data-at-rest is protected</t>
  </si>
  <si>
    <t>A.12.1.2, A.12.5.1, A.12.6.2, A.14.2.2, A.14.2.3, A.14.2.4</t>
  </si>
  <si>
    <t xml:space="preserve"> MP-8, SC-12, SC-28</t>
  </si>
  <si>
    <t>45 C.F.R. §§ 164.308(a)(1)(ii)(D), 164.308(b)(1), 164.310(d), 164.312(a)(1), 164.312(a)(2)(iii), 164.312(a)(2)(iv), 164.312(b), 164.312(c), 164.314(b)(2)(i), 164.312(d)</t>
  </si>
  <si>
    <t>BAI10.01, BAI10.02, BAI10.03, BAI10.05</t>
  </si>
  <si>
    <t>2.3.2</t>
  </si>
  <si>
    <t>Data-in-transit is protected</t>
  </si>
  <si>
    <t>A.6.1.5, A.14.1.1, A.14.2.1, A.14.2.5</t>
  </si>
  <si>
    <t xml:space="preserve"> SC-8, SC-11, SC-12</t>
  </si>
  <si>
    <t>45 C.F.R. §§ 164.308(b)(1), 164.308(b)(2), 164.312(e)(1), 164.312(e)(2)(i), 164.312(e)(2)(ii), 164.314(b)(2)(i)</t>
  </si>
  <si>
    <t>2.3.3</t>
  </si>
  <si>
    <t>Assets are formally managed throughout removal, transfers, and disposition</t>
  </si>
  <si>
    <t xml:space="preserve"> CM-8, MP-6, PE-16</t>
  </si>
  <si>
    <t>45 C.F.R. §§ 164.308(a)(1)(ii)(A), 164.310(a)(2)(ii), 164.310(a)(2)(iii), 164.310(a)(2)(iv), 164.310(d)(1), 164.310(d)(2)</t>
  </si>
  <si>
    <t>BAI06.01, BAI01.06</t>
  </si>
  <si>
    <t>2.3.4</t>
  </si>
  <si>
    <t>Adequate capacity to ensure availability is maintained</t>
  </si>
  <si>
    <t>CIS CSC 1, 2, 13</t>
  </si>
  <si>
    <t>A.12.3.1, A.17.1.2A.17.1.3, A.18.1.3</t>
  </si>
  <si>
    <t xml:space="preserve"> AU-4, CP-2, SC-5</t>
  </si>
  <si>
    <t>45 C.F.R. §§ 164.308(a)(1)(ii)(A), 164.308(a)(1)(ii)(B), 164.308(a)(7), 164.310(a)(2)(i), 164.310(d)(2)(iv), 164.312(a)(2)(ii)</t>
  </si>
  <si>
    <t>2.3.5</t>
  </si>
  <si>
    <t>Protections against data leaks are implemented</t>
  </si>
  <si>
    <t>CIS CSC 13</t>
  </si>
  <si>
    <t>A.11.1.4, A.11.2.1, A.11.2.2, A.11.2.3</t>
  </si>
  <si>
    <t xml:space="preserve"> AC-4, AC-5, AC-6, PE-19, PS-3, PS-6, SC-7, SC-8, SC-13, SC-31, SI-4</t>
  </si>
  <si>
    <t>45 C.F.R. §§ 164.308(a)(1)(ii)(D), 164.308(a)(3), 164.308(a)(4), 164.310(b), 164.310(c), 164.312(a), 164.312(e)</t>
  </si>
  <si>
    <t>2.3.6</t>
  </si>
  <si>
    <t>Integrity checking mechanisms are used to verify software, firmware, and information integrity</t>
  </si>
  <si>
    <t>CIS CSC 2, 3</t>
  </si>
  <si>
    <t>A.8.2.3, A.8.3.1, A.8.3.2, A.11.2.7</t>
  </si>
  <si>
    <t xml:space="preserve"> SC-16, SI-7</t>
  </si>
  <si>
    <t>45 C.F.R. §§ 164.308(a)(1)(ii)(D), 164.312(b), 164.312(c)(1), 164.312(c)(2), 164.312(e)(2)(i)</t>
  </si>
  <si>
    <t>2.3.7</t>
  </si>
  <si>
    <t>The development and testing environment(s) are separate from the production environment</t>
  </si>
  <si>
    <t>CIS CSC 18, 20</t>
  </si>
  <si>
    <t xml:space="preserve"> CM-2</t>
  </si>
  <si>
    <t>45 C.F.R. § 164.308(a)(4)4</t>
  </si>
  <si>
    <t>APO11.06, DSS04.05</t>
  </si>
  <si>
    <t>2.3.8</t>
  </si>
  <si>
    <t>Integrity checking mechanisms are used to verify hardware integrity</t>
  </si>
  <si>
    <t>A.16.1.6</t>
  </si>
  <si>
    <t xml:space="preserve"> SA-10, SI-7</t>
  </si>
  <si>
    <t>2.4.01</t>
  </si>
  <si>
    <t>IP</t>
  </si>
  <si>
    <t>Security policies (that address purpose, scope, roles, responsibilities, management commitment, and coordination among organizational entities), processes, and procedures are maintained and used to manage protection of information systems and assets.</t>
  </si>
  <si>
    <t>A baseline configuration of information technology/industrial control systems is created and maintained incorporating security principles (e.g. concept of least functionality)</t>
  </si>
  <si>
    <t>CIS CSC 3, 9, 11</t>
  </si>
  <si>
    <t>A.16.1.1, A.17.1.1, A.17.1.2</t>
  </si>
  <si>
    <t xml:space="preserve"> CM-2, CM-3, CM-4, CM-5, CM-6, CM-7, CM-9, SA-10</t>
  </si>
  <si>
    <t>45 C.F.R. §§ 164.308(a)(8), 164.308(a)(7)(i), 164.308(a)(7)(ii)</t>
  </si>
  <si>
    <t>DSS04.03</t>
  </si>
  <si>
    <t>2.4.02</t>
  </si>
  <si>
    <t>A System Development Life Cycle to manage systems is implemented</t>
  </si>
  <si>
    <t>CIS CSC 18</t>
  </si>
  <si>
    <t>A.17.1.3</t>
  </si>
  <si>
    <t xml:space="preserve"> PL-8, SA-3, SA-4, SA-8, SA-10, SA-11, SA-12, SA-15, SA-17, SI-12, SI-13, SI-14, SI-16, SI-17 </t>
  </si>
  <si>
    <t>45 C.F.R. § 164.308(a)(1)(i)</t>
  </si>
  <si>
    <t>2.4.03</t>
  </si>
  <si>
    <t>Configuration change control processes are in place</t>
  </si>
  <si>
    <t>CIS CSC 3, 11</t>
  </si>
  <si>
    <t>A.7.1.1, A.7.3.1, A.8.1.4</t>
  </si>
  <si>
    <t xml:space="preserve"> CM-3, CM-4, SA-10</t>
  </si>
  <si>
    <t>45 C.F.R. § 164.308(a)(8)</t>
  </si>
  <si>
    <t>APO07.01, APO07.02, APO07.03, APO07.04, APO07.05</t>
  </si>
  <si>
    <t>2.4.04</t>
  </si>
  <si>
    <t xml:space="preserve">Backups of information are conducted, maintained, and tested </t>
  </si>
  <si>
    <t>CIS CSC 10</t>
  </si>
  <si>
    <t>A.12.6.1, A.18.2.2</t>
  </si>
  <si>
    <t xml:space="preserve"> CP-4, CP-6, CP-9</t>
  </si>
  <si>
    <t>45 C.F.R. §§ 164.308(a)(7)(ii)(A), 164.308(a)(7)(ii)(B), 164.308(a)(7)(ii)(D), 164.310(a)(2)(i), 164.310(d)(2)(iv)</t>
  </si>
  <si>
    <t>2.4.05</t>
  </si>
  <si>
    <t>Policy and regulations regarding the physical operating environment for organizational assets are met</t>
  </si>
  <si>
    <t>A.11.1.2, A.11.2.4, A.11.2.5</t>
  </si>
  <si>
    <t xml:space="preserve"> PE-10, PE-12, PE-13, PE-14, PE-15, PE-18</t>
  </si>
  <si>
    <t>45 C.F.R. §§ 164.308(a)(7)(i), 164.308(a)(7)(ii)(C), 164.310, 164.316(b)(2)(iii)</t>
  </si>
  <si>
    <t>2.4.06</t>
  </si>
  <si>
    <t>Data is destroyed according to policy</t>
  </si>
  <si>
    <t>A.11.2.4, A.15.1.1, A.15.2.1</t>
  </si>
  <si>
    <t xml:space="preserve"> MP-6</t>
  </si>
  <si>
    <t>45 C.F.R. §§ 164.310(d)(2)(i), 164.310(d)(2)(ii)</t>
  </si>
  <si>
    <t>DSS05.04</t>
  </si>
  <si>
    <t>2.4.07</t>
  </si>
  <si>
    <t>Protection processes are improved</t>
  </si>
  <si>
    <t>A.12.4.1, A.12.4.2, A.12.4.3, A.12.4.4, A.12.7.1</t>
  </si>
  <si>
    <t xml:space="preserve"> CA-2, CA-7, CP-2, IR-8, PL-2, PM-6</t>
  </si>
  <si>
    <t>45 C.F.R. §§ 164.306(e), 164.308(a)(7)(ii)(D), 164.308(a)(8), 164.316(b)(2)(iii)</t>
  </si>
  <si>
    <t>APO11.04</t>
  </si>
  <si>
    <t>2.4.08</t>
  </si>
  <si>
    <t xml:space="preserve">Effectiveness of protection technologies is shared </t>
  </si>
  <si>
    <t>A.8.2.2, A.8.2.3, A.8.3.1, A.8.3.3, A.11.2.9</t>
  </si>
  <si>
    <t xml:space="preserve"> AC-21, CA-7, SI-4</t>
  </si>
  <si>
    <t>45 C.F.R. § 164.308(a)(6)(ii)</t>
  </si>
  <si>
    <t>DSS05.02, APO13.01</t>
  </si>
  <si>
    <t>2.4.09</t>
  </si>
  <si>
    <t>Response plans (Incident Response and Business Continuity) and recovery plans (Incident Recovery and Disaster Recovery) are in place and managed</t>
  </si>
  <si>
    <t>A.9.1.2</t>
  </si>
  <si>
    <t xml:space="preserve"> CP-2, CP-7, CP-12, CP-13, IR-7, IR-8, IR-9, PE-17</t>
  </si>
  <si>
    <t>45 C.F.R. §§ 164.308(a)(6), 164.308(a)(7), 164.310(a)(2)(i), 164.312(a)(2)(ii)</t>
  </si>
  <si>
    <t>2.4.10</t>
  </si>
  <si>
    <t>Response and recovery plans are tested</t>
  </si>
  <si>
    <t>A.13.1.1, A.13.2.1</t>
  </si>
  <si>
    <t xml:space="preserve"> CP-4, IR-3, PM-14</t>
  </si>
  <si>
    <t>45 C.F.R. § 164.308(a)(7)(ii)(D)</t>
  </si>
  <si>
    <t>2.4.11</t>
  </si>
  <si>
    <t>Cybersecurity is included in human resources practices (e.g., deprovisioning, personnel screening)</t>
  </si>
  <si>
    <t>CIS CSC 5, 16</t>
  </si>
  <si>
    <t xml:space="preserve"> PS-1, PS-2, PS-3, PS-4, PS-5, PS-6, PS-7, PS-8, SA-21 </t>
  </si>
  <si>
    <t xml:space="preserve">45 C.F.R. §§ 164.308(a)(1)(ii)(C), 164.308(a)(3) </t>
  </si>
  <si>
    <t>DSS03.01</t>
  </si>
  <si>
    <t>2.4.12</t>
  </si>
  <si>
    <t>A vulnerability management plan is developed and implemented</t>
  </si>
  <si>
    <t>CIS CSC 4, 18, 20</t>
  </si>
  <si>
    <t>A.16.1.1, A.16.1.4</t>
  </si>
  <si>
    <t xml:space="preserve"> RA-3, RA-5, SI-2</t>
  </si>
  <si>
    <t>45 C.F.R. §§ 164.308(a)(1)(i), 164.308(a)(1)(ii)(A), 164.308(a)(1)(ii)(B)</t>
  </si>
  <si>
    <t>2.5.1</t>
  </si>
  <si>
    <t>MA</t>
  </si>
  <si>
    <t>Maintenance and repairs of industrial control and information system components areperformed consistent with policies and procedures.</t>
  </si>
  <si>
    <t>Maintenance and repair of organizational assets are performed and logged, with approved and controlled tools</t>
  </si>
  <si>
    <t xml:space="preserve"> MA-2, MA-3, MA-5, MA-6</t>
  </si>
  <si>
    <t>45 C.F.R. §§ 164.308(a)(3)(ii)(A), 164.310(a)(2)(iv)</t>
  </si>
  <si>
    <t>2.5.2</t>
  </si>
  <si>
    <t>Remote maintenance of organizational assets is approved, logged, and performed in a manner that prevents unauthorized access</t>
  </si>
  <si>
    <t>CIS CSC 3, 5</t>
  </si>
  <si>
    <t xml:space="preserve"> MA-4</t>
  </si>
  <si>
    <t>45 C.F.R. §§ 164.308(a)(3)(ii)(A), 164.310(d)(1),164.310(d)(2)(ii), 164.310(d)(2)(iii), 164.312(a), 164.312(a)(2)(ii), 164.312(a)(2)(iv), 164.312(b), 164.312(d), 164.312(e), 164.308(a)(1)(ii)(D)</t>
  </si>
  <si>
    <t>2.6.1</t>
  </si>
  <si>
    <t>PT</t>
  </si>
  <si>
    <t>Technical security solutions are managed to ensure the security and resilience of systems and assets, consistent with related policies, procedures, and agreements.</t>
  </si>
  <si>
    <t>Audit/log records are determined, documented, implemented, and reviewed in accordance with policy</t>
  </si>
  <si>
    <t>CIS CSC 1, 3, 5, 6, 14, 15, 16</t>
  </si>
  <si>
    <t xml:space="preserve"> AU Family</t>
  </si>
  <si>
    <t>45 C.F.R. §§ 164.308(a)(1)(ii)(D), 164.308(a)(5)(ii)(C), 164.310(a)(2)(iv), 164.310(d)(2)(iii), 164.312(b)</t>
  </si>
  <si>
    <t>2.6.2</t>
  </si>
  <si>
    <t>Removable media is protected and its use restricted according to policy</t>
  </si>
  <si>
    <t>CIS CSC 8, 13</t>
  </si>
  <si>
    <t xml:space="preserve"> MP-2, MP-3, MP-4, MP-5, MP-7, MP-8</t>
  </si>
  <si>
    <t>45 C.F.R. §§ 164.308(a)(3)(i), 164.308(a)(3)(ii)(A), 164.310(d)(1), 164.310(d)(2), 164.312(a)(1), 164.312(a)(2)(iv), 164.312(b)</t>
  </si>
  <si>
    <t>DSS05.07</t>
  </si>
  <si>
    <t>2.6.3</t>
  </si>
  <si>
    <t>The principle of least functionality is incorporated by configuring systems to provide only essential capabilities</t>
  </si>
  <si>
    <t>CIS CSC 3, 11, 14</t>
  </si>
  <si>
    <t xml:space="preserve"> AC-3, CM-7</t>
  </si>
  <si>
    <t>45 C.F.R. §§ 164.308(a)(3), 164.308(a)(4), 164.310(a)(2)(iii), 164.310(b), 164.310(c), 164.312(a)(1), 164.312(a)(2)(i), 164.312(a)(2)(ii), 164.312(a)(2)(iv)</t>
  </si>
  <si>
    <t>2.6.4</t>
  </si>
  <si>
    <t>Communications and control networks are protected</t>
  </si>
  <si>
    <t>CIS CSC 8, 12, 15</t>
  </si>
  <si>
    <t>A.12.4.1</t>
  </si>
  <si>
    <t xml:space="preserve"> AC-4, AC-17, AC-18, CP-8, SC-7, SC-19, SC-20, SC-21, SC-22, SC-23, SC-24, SC-25, SC-29, SC-32, SC-36, SC-37, SC-38, SC-39, SC-40, SC-41, SC-43</t>
  </si>
  <si>
    <t>45 C.F.R. §§ 164.308(a)(1)(ii)(D), 164.312(a)(1), 164.312(b), 164.312(e)</t>
  </si>
  <si>
    <t>2.6.5</t>
  </si>
  <si>
    <t>Mechanisms (e.g., failsafe, load balancing, hot swap) are implemented to achieve resilience requirements in normal and adverse situations</t>
  </si>
  <si>
    <t>A.12.2.1</t>
  </si>
  <si>
    <t xml:space="preserve"> CP-7, CP-8, CP-11, CP-13, PL-8, SA-14, SC-6</t>
  </si>
  <si>
    <t>DSS05.01</t>
  </si>
  <si>
    <t>3.1.1</t>
  </si>
  <si>
    <t>DE</t>
  </si>
  <si>
    <t>Detect</t>
  </si>
  <si>
    <t>AE</t>
  </si>
  <si>
    <t>Anomalies and Events (DE.AE):
Anomalous activity is detected and the potential impact of events is understood.</t>
  </si>
  <si>
    <t>A baseline of network operations and expected data flows for users and systems is established and managed</t>
  </si>
  <si>
    <t>CIS CSC 1, 4, 6, 12, 13, 15, 16</t>
  </si>
  <si>
    <t>A.12.5.1</t>
  </si>
  <si>
    <t xml:space="preserve"> AC-4, CA-3, CM-2, SI-4</t>
  </si>
  <si>
    <t>45 C.F.R. §§164.308(a)(1)(ii)(D), 164.312(b)</t>
  </si>
  <si>
    <t>3.1.2</t>
  </si>
  <si>
    <t>Detected events are analyzed to understand attack targets and methods</t>
  </si>
  <si>
    <t>CIS CSC 3, 6, 13, 15</t>
  </si>
  <si>
    <t>A.14.2.7, A.15.2.1</t>
  </si>
  <si>
    <t xml:space="preserve"> AU-6, CA-7, IR-4, SI-4</t>
  </si>
  <si>
    <t>45 C.F.R. §164.308(6)(i)</t>
  </si>
  <si>
    <t>APO07.06</t>
  </si>
  <si>
    <t>3.1.3</t>
  </si>
  <si>
    <t>Event data are collected and correlated from multiple sources and sensors</t>
  </si>
  <si>
    <t>CIS CSC 1, 3, 4, 5, 6, 7, 8, 11, 12, 13, 14, 15, 16</t>
  </si>
  <si>
    <t xml:space="preserve"> AU-6, CA-7, IR-4, IR-5, IR-8, SI-4</t>
  </si>
  <si>
    <t>45 C.F.R. §§ 164.308(a)(1)(ii)(D), 164.308(a)(5)(ii)(B), 164.308(a)(5)(ii)(C), 164.308(a)(6)(ii), 164.308(a)(8), 164.310(d)(2)(iii), 164.312(b), 164.314(a)(2)(i)(C), 164.314(a)(2)(iii)</t>
  </si>
  <si>
    <t>3.1.4</t>
  </si>
  <si>
    <t>Impact of events is determined</t>
  </si>
  <si>
    <t>CIS CSC 4, 6</t>
  </si>
  <si>
    <t xml:space="preserve"> CP-2, IR-4, RA-3, SI-4</t>
  </si>
  <si>
    <t>BAI03.10</t>
  </si>
  <si>
    <t>3.1.5</t>
  </si>
  <si>
    <t>Incident alert thresholds are established</t>
  </si>
  <si>
    <t>CIS CSC 6, 19</t>
  </si>
  <si>
    <t xml:space="preserve"> IR-4, IR-5, IR-8</t>
  </si>
  <si>
    <t>45 C.F.R. § 164.308(a)(6)(i)</t>
  </si>
  <si>
    <t>3.2.1</t>
  </si>
  <si>
    <t>CM</t>
  </si>
  <si>
    <t>Security Continuous Monitoring (DE.CM):
The information system and assets are monitored to identify cybersecurity events and verify the effectiveness of protective measures.</t>
  </si>
  <si>
    <t>The network is monitored to detect potential cybersecurity events</t>
  </si>
  <si>
    <t>CIS CSC 1, 7, 8, 12, 13, 15, 16</t>
  </si>
  <si>
    <t>A.18.1.4</t>
  </si>
  <si>
    <t xml:space="preserve"> AC-2, AU-12, CA-7, CM-3, SC-5, SC-7, SI-4</t>
  </si>
  <si>
    <t>45 C.F.R. §§ 164.308(a)(1)(ii)(D), 164.308(a)(5)(ii)(B), 164.308(a)(5)(ii)(C), 164.308(a)(8), 164.312(b), 164.312(e)(2)(i)</t>
  </si>
  <si>
    <t>3.2.2</t>
  </si>
  <si>
    <t>The physical environment is monitored to detect potential cybersecurity events</t>
  </si>
  <si>
    <t>A.14.2.8</t>
  </si>
  <si>
    <t xml:space="preserve"> CA-7, PE-3, PE-6, PE-20</t>
  </si>
  <si>
    <t>45 C.F.R. §§ 164.310(a)(2)(ii), 164.310(a)(2)(iii)</t>
  </si>
  <si>
    <t>APO13.02</t>
  </si>
  <si>
    <t>3.2.3</t>
  </si>
  <si>
    <t>Personnel activity is monitored to detect potential cybersecurity events</t>
  </si>
  <si>
    <t>CIS CSC 5, 7, 14, 16</t>
  </si>
  <si>
    <t>A.16.1.2</t>
  </si>
  <si>
    <t xml:space="preserve"> AC-2, AU-12, AU-13, CA-7, CM-10, CM-11</t>
  </si>
  <si>
    <t xml:space="preserve">45 C.F.R. §§ 164.308(a)(1)(ii)(D), 164.308(a)(3)(ii)(A),164.308(a)(5)(ii)(C), 164.312(a)(2)(i), 164.312(b), 164.312(d), 164.312(e) </t>
  </si>
  <si>
    <t>3.2.4</t>
  </si>
  <si>
    <t>Malicious code is detected</t>
  </si>
  <si>
    <t>CIS CSC 4, 7, 8, 12</t>
  </si>
  <si>
    <t xml:space="preserve"> SI-3, SI-8</t>
  </si>
  <si>
    <t>45 C.F.R. §§ 164.308(a)(1)(ii)(D), 164.308(a)(5)(ii)(B)</t>
  </si>
  <si>
    <t>3.2.5</t>
  </si>
  <si>
    <t>Unauthorized mobile code is detected</t>
  </si>
  <si>
    <t>CIS CSC 7, 8</t>
  </si>
  <si>
    <t>A.16.1.5</t>
  </si>
  <si>
    <t xml:space="preserve"> SC-18, SI-4, SC-44</t>
  </si>
  <si>
    <t>BAI01.10</t>
  </si>
  <si>
    <t>3.2.6</t>
  </si>
  <si>
    <t>External service provider activity is monitored to detect potential cybersecurity events</t>
  </si>
  <si>
    <t>A.6.1.1, A.16.1.1</t>
  </si>
  <si>
    <t xml:space="preserve"> CA-7, PS-7, SA-4, SA-9, SI-4</t>
  </si>
  <si>
    <t>45 C.F.R. § 164.308(a)(1)(ii)(D)</t>
  </si>
  <si>
    <t>3.2.7</t>
  </si>
  <si>
    <t>Monitoring for unauthorized personnel, connections, devices, and software is performed</t>
  </si>
  <si>
    <t>CIS CSC 1, 2, 3, 5, 9, 12, 13, 15, 16</t>
  </si>
  <si>
    <t>A.6.1.3, A.16.1.2</t>
  </si>
  <si>
    <t xml:space="preserve"> AU-12, CA-7, CM-3, CM-8, PE-3, PE-6, PE-20, SI-4</t>
  </si>
  <si>
    <t>45 C.F.R. §§ 164.308(a)(1)(ii)(D), 164.308(a)(5)(ii)(B), 164.308(a)(5)(ii)(C), 164.310(a)(1), 164.310(a)(2)(ii), 164.310(a)(2)(iii), 164.310(b), 164.310(c), 164.310(d)(1), 164.310(d)(2)(iii), 164.312(b), 164.314(b)(2)(i)</t>
  </si>
  <si>
    <t>3.2.8</t>
  </si>
  <si>
    <t>Vulnerability scans are performed</t>
  </si>
  <si>
    <t>CIS CSC 4, 20</t>
  </si>
  <si>
    <t xml:space="preserve"> RA-5</t>
  </si>
  <si>
    <t>45 C.F.R. §§164.308(a)(1)(i), 164.308(a)(8)</t>
  </si>
  <si>
    <t>3.3.1</t>
  </si>
  <si>
    <t>DP</t>
  </si>
  <si>
    <t>Detection Processes (DE.DP):
Detection processes and procedures are maintained and tested to ensure awareness of anomalous events.</t>
  </si>
  <si>
    <t>Roles and responsibilities for detection are well defined to ensure accountability</t>
  </si>
  <si>
    <t xml:space="preserve"> CA-2, CA-7, PM-14</t>
  </si>
  <si>
    <t>45 C.F.R. §§ 164.308(a)(2), 164.308(a)(3)(ii)(A), 164.308(a)(3)(ii)(B), 164.308(a)(4), 164.310(a)(2)(iii), 164.312(a)(1), 164.312(a)(2)(ii)</t>
  </si>
  <si>
    <t>3.3.2</t>
  </si>
  <si>
    <t>Detection activities comply with all applicable requirements</t>
  </si>
  <si>
    <t xml:space="preserve"> AC-25, CA-2, CA-7, SA-18, SI-4, PM-14</t>
  </si>
  <si>
    <t>45 C.F.R. §§ 164.308(a)(1)(i), 164.308(a)(8)</t>
  </si>
  <si>
    <t>3.3.3</t>
  </si>
  <si>
    <t>Detection processes are tested</t>
  </si>
  <si>
    <t>A.12.4.1, A.12.4.3, A.16.1.5</t>
  </si>
  <si>
    <t xml:space="preserve"> CA-2, CA-7, PE-3, SI-3, SI-4, PM-14</t>
  </si>
  <si>
    <t>45 C.F.R. § 164.306(e)</t>
  </si>
  <si>
    <t>DSS02.07</t>
  </si>
  <si>
    <t>3.3.4</t>
  </si>
  <si>
    <t>Event detection information is communicated</t>
  </si>
  <si>
    <t xml:space="preserve"> AU-6, CA-2, CA-7,  RA-5, SI-4</t>
  </si>
  <si>
    <t>45 C.F.R. §§ 164.308(a)(6)(ii), 164.314(a)(2)(i)(C), 164.314(a)(2)(iii)</t>
  </si>
  <si>
    <t>3.3.5</t>
  </si>
  <si>
    <t>Detection processes are continuously improved</t>
  </si>
  <si>
    <t>A.16.1.7</t>
  </si>
  <si>
    <t>, CA-2, CA-7, PL-2, RA-5, SI-4, PM-14</t>
  </si>
  <si>
    <t>45 C.F.R. §§ 164.306(e), 164.308(a)(8)</t>
  </si>
  <si>
    <t>4.1.1</t>
  </si>
  <si>
    <t>RS</t>
  </si>
  <si>
    <t>Respond</t>
  </si>
  <si>
    <t>RP</t>
  </si>
  <si>
    <t>Response Planning (RS.RP):
Response processes and procedures are executed and maintained, to ensure response to detected cybersecurity incidents.</t>
  </si>
  <si>
    <t>Response plan is executed during or after an incident</t>
  </si>
  <si>
    <t>A.16.1.4</t>
  </si>
  <si>
    <t xml:space="preserve"> CP-2, CP-10, IR-4, IR-8 </t>
  </si>
  <si>
    <t>45 C.F.R. §§ 164.308(a)(6)(ii), 164.308(a)(7)(i), 164.308(a)(7)(ii)(A), 164.308(a)(7)(ii)(B), 164.308(a)(7)(ii)(C), 164.310(a)(2)(i), 164.312(a)(2)(ii)</t>
  </si>
  <si>
    <t>4.2.1</t>
  </si>
  <si>
    <t>CO</t>
  </si>
  <si>
    <t>Communications (RS.CO):
Response activities are coordinated with internal and external stakeholders (e.g. external support from law enforcement agencies).</t>
  </si>
  <si>
    <t>Personnel know their roles and order of operations when a response is needed</t>
  </si>
  <si>
    <t xml:space="preserve"> CP-2, CP-3, IR-3, IR-8</t>
  </si>
  <si>
    <t>45 C.F.R. §§ 164.308(a)(2), 164.308(a)(7)(ii)(A), 164.308(a)(7)(ii)(B), 164.308(a)(7)(ii)(C), 164.310(a)(2)(i), 164.308(a)(6)(i), 164.312(a)(2)(ii)</t>
  </si>
  <si>
    <t>4.2.2</t>
  </si>
  <si>
    <t>Incidents are reported consistent with established criteria</t>
  </si>
  <si>
    <t>A.12.2.1, A.16.1.5</t>
  </si>
  <si>
    <t xml:space="preserve"> AU-6, IR-6, IR-8</t>
  </si>
  <si>
    <t>45 C.F.R. §§ 164.308(a)(5)(ii)(B), 164.308(a)(5)(ii)(C), 164.308(a)(6)(ii), 164.314(a)(2)(i)(C), 164.314(a)(2)(iii)</t>
  </si>
  <si>
    <t>4.2.3</t>
  </si>
  <si>
    <t>Information is shared consistent with response plans</t>
  </si>
  <si>
    <t xml:space="preserve"> CA-2, CA-7, CP-2, IR-4, IR-8, PE-6, RA-5, SI-4 </t>
  </si>
  <si>
    <t>45 C.F.R. §§ 164.308(a)(5)(ii)(B), 164.308(a)(5)(ii)(C), 164.308(a)(6)(ii), 164.314(a)(2)(i)(C)</t>
  </si>
  <si>
    <t>4.2.4</t>
  </si>
  <si>
    <t>Coordination with stakeholders occurs consistent with response plans</t>
  </si>
  <si>
    <t xml:space="preserve"> CP-2, IR-4, IR-8</t>
  </si>
  <si>
    <t>BAI01.13</t>
  </si>
  <si>
    <t>4.2.5</t>
  </si>
  <si>
    <t xml:space="preserve">Voluntary information sharing occurs with external stakeholders to achieve broader cybersecurity situational awareness </t>
  </si>
  <si>
    <t xml:space="preserve"> SI-5, PM-15</t>
  </si>
  <si>
    <t>45 C.F.R. § 164.308(a)(6)</t>
  </si>
  <si>
    <t>4.3.1</t>
  </si>
  <si>
    <t>AN</t>
  </si>
  <si>
    <t>Analysis (RS.AN):
Analysis is conducted to ensure effective response and support recovery activities.</t>
  </si>
  <si>
    <t>Notifications from detection systems are investigated </t>
  </si>
  <si>
    <t>CIS CSC 4, 6, 8, 19</t>
  </si>
  <si>
    <t xml:space="preserve"> AU-6, CA-7, IR-4, IR-5, PE-6, SI-4 </t>
  </si>
  <si>
    <t>45 C.F.R. §§ 164.308(a)(1)(i), 164.308(a)(1)(ii)(D),164.308(a)(5)(ii)(B), 164.308(a)(5)(ii)(C), 164.308(a)(6)(ii), 164.312(b)</t>
  </si>
  <si>
    <t>DSS02.05, DSS03.04</t>
  </si>
  <si>
    <t>4.3.2</t>
  </si>
  <si>
    <t>The impact of the incident is understood</t>
  </si>
  <si>
    <t xml:space="preserve"> CP-2, IR-4</t>
  </si>
  <si>
    <t>45 C.F.R. §§ 164.308(a)(6)(ii), 164.308(a)(7)(ii)(B), 164.308(a)(7)(ii)(C), 164.308(a)(7)(ii)(E)</t>
  </si>
  <si>
    <t>BAI05.07</t>
  </si>
  <si>
    <t>4.3.3</t>
  </si>
  <si>
    <t>Forensics are performed</t>
  </si>
  <si>
    <t xml:space="preserve"> AU-7, IR-4</t>
  </si>
  <si>
    <t>BAI07.08</t>
  </si>
  <si>
    <t>4.3.4</t>
  </si>
  <si>
    <t>Incidents are categorized consistent with response plans</t>
  </si>
  <si>
    <t xml:space="preserve"> CP-2, IR-4, IR-5, IR-8</t>
  </si>
  <si>
    <t>EDM03.02</t>
  </si>
  <si>
    <t>4.3.5</t>
  </si>
  <si>
    <t>RS.AN-5</t>
  </si>
  <si>
    <t>Processes are established to receive, analyze and respond to vulnerabilities disclosed to the organization from internal and external sources (e.g. internal testing, security bulletins, or security researchers)</t>
  </si>
  <si>
    <t>CIS CSC 4, 19</t>
  </si>
  <si>
    <t>MEA03.02</t>
  </si>
  <si>
    <t>4.4.1</t>
  </si>
  <si>
    <t>MI</t>
  </si>
  <si>
    <t>Mitigation (RS.MI):
Activities are performed to prevent expansion of an event, mitigate its effects, and resolve the incident.</t>
  </si>
  <si>
    <t>Incidents are contained</t>
  </si>
  <si>
    <t xml:space="preserve"> IR-4</t>
  </si>
  <si>
    <t>4.4.2</t>
  </si>
  <si>
    <t>Incidents are mitigated</t>
  </si>
  <si>
    <t>4.4.3</t>
  </si>
  <si>
    <t>Newly identified vulnerabilities are mitigated or documented as accepted risks</t>
  </si>
  <si>
    <t xml:space="preserve"> CA-7, RA-3, RA-5</t>
  </si>
  <si>
    <t>45 C.F.R. §§ 164.308(a)(1)(ii)(A), 164.308(a)(1)(ii)(B), 164.308(a)(6)(ii)</t>
  </si>
  <si>
    <t>4.5.1</t>
  </si>
  <si>
    <t>IM</t>
  </si>
  <si>
    <t>Improvements (RS.IM):
Organizational response activities are improved by incorporating lessons learned from current and previous detection/response activities.</t>
  </si>
  <si>
    <t>Response plans incorporate lessons learned</t>
  </si>
  <si>
    <t>45 C.F.R. §§ 164.308(a)(7)(ii)(D), 164.308(a)(8), 164.316(b)(2)(iii)</t>
  </si>
  <si>
    <t>4.5.2</t>
  </si>
  <si>
    <t>Response strategies are updated</t>
  </si>
  <si>
    <t>45 C.F.R. §§164.308(a)(7)(ii)(D), 164.308(a)(8)</t>
  </si>
  <si>
    <t>5.1.1</t>
  </si>
  <si>
    <t>RC</t>
  </si>
  <si>
    <t>Recover</t>
  </si>
  <si>
    <t>Recovery Planning (RC.RP):
Recovery processes and procedures are executed and maintained to ensure restoration of systems or assets affected by cybersecurity incidents.</t>
  </si>
  <si>
    <t xml:space="preserve">Recovery plan is executed during or after a cybersecurity incident </t>
  </si>
  <si>
    <t xml:space="preserve"> CP-10, IR-4, IR-8</t>
  </si>
  <si>
    <t>45 C.F.R. §§ 164.308(a)(7), 164.310(a)(2)(i)</t>
  </si>
  <si>
    <t>5.2.1</t>
  </si>
  <si>
    <t>Improvements (RC.IM):
Recovery planning and processes are improved by incorporating lessons learned into future activities.</t>
  </si>
  <si>
    <t>Recovery plans incorporate lessons learned</t>
  </si>
  <si>
    <t>5.2.2</t>
  </si>
  <si>
    <t>Recovery strategies are updated</t>
  </si>
  <si>
    <t>45 C.F.R. §§ 164.308(a)(7)(ii)(D), 164.308(a)(8)</t>
  </si>
  <si>
    <t>5.3.1</t>
  </si>
  <si>
    <t>Communications (RC.CO):
Restoration activities are coordinated with internal and external parties (e.g.  coordinating centers, Internet Service Providers, owners of attacking systems, victims, other CSIRTs, and vendors).</t>
  </si>
  <si>
    <t>Public relations are managed</t>
  </si>
  <si>
    <t>45 C.F.R. § 164.308(a)(6)(i)5</t>
  </si>
  <si>
    <t>5.3.2</t>
  </si>
  <si>
    <t>RC.CO-2</t>
  </si>
  <si>
    <t xml:space="preserve">Reputation is repaired after an incident </t>
  </si>
  <si>
    <t>5.3.3</t>
  </si>
  <si>
    <t>Recovery activities are communicated to internal and external stakeholders as well as executive and management teams</t>
  </si>
  <si>
    <t xml:space="preserve"> CP-2, IR-4 </t>
  </si>
  <si>
    <t>45 C.F.R. §§ 164.308(a)(6)(ii), 164.308(a)(7)(ii)(B), 164.308(a)(7)(ii)(C), 164.310(a)(2)(i), 164.314(a)(2)(i)(C)</t>
  </si>
  <si>
    <t>SCORE Likelihood</t>
  </si>
  <si>
    <t>Employee Handbook</t>
  </si>
  <si>
    <t>Personnel are reguired to read and accept the Employee Handbook upon hire.</t>
  </si>
  <si>
    <t>HR</t>
  </si>
  <si>
    <t>Evidence</t>
  </si>
  <si>
    <t>Employee Handbook
Signed Acknowledgements</t>
  </si>
  <si>
    <t>Develop, Approve IS Policy
Education &amp; Ack plan</t>
  </si>
  <si>
    <t>In Development</t>
  </si>
  <si>
    <t>Compliance  Mapping</t>
  </si>
  <si>
    <t>IR Plan</t>
  </si>
  <si>
    <t>Incident Response plan is exercised and updated and/or reviewed annually</t>
  </si>
  <si>
    <t>IR Plan (with revision block)
Notes/Lessons Learned for IR exercies</t>
  </si>
  <si>
    <t>Risk Mgmt</t>
  </si>
  <si>
    <t>Risk Mgmt Policy and Risk Assessment/Mitigation tracking</t>
  </si>
  <si>
    <t>IS Policy
Risk Register
Monthly Agenda's</t>
  </si>
  <si>
    <t>CC 3.1.1
CC 3.1.2</t>
  </si>
  <si>
    <t>Define Logging/Auditing Plan
Determine Retention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</si>
</sst>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numFmt numFmtId="165" formatCode="mmm\ dd\,\ yyyy"/>
    <numFmt numFmtId="166" formatCode="yyyy\.mm\.dd;@"/>
  </numFmts>
  <fonts count="47"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b/>
      <sz val="22"/>
      <color theme="4"/>
      <name val="Century Gothic"/>
      <family val="2"/>
    </font>
    <font>
      <b/>
      <sz val="10"/>
      <color theme="0"/>
      <name val="Century Gothic"/>
      <family val="2"/>
    </font>
    <font>
      <sz val="12"/>
      <color theme="1"/>
      <name val="Century Gothic"/>
      <family val="2"/>
    </font>
    <font>
      <b/>
      <sz val="22"/>
      <color theme="0" tint="-0.499984740745262"/>
      <name val="Century Gothic"/>
      <family val="2"/>
    </font>
    <font>
      <sz val="10"/>
      <color theme="1"/>
      <name val="Century Gothic"/>
      <family val="1"/>
    </font>
    <font>
      <sz val="11"/>
      <color theme="1"/>
      <name val="Calibri"/>
      <family val="2"/>
      <scheme val="minor"/>
    </font>
    <font>
      <sz val="10"/>
      <color theme="1"/>
      <name val="Calibri"/>
      <family val="2"/>
      <scheme val="minor"/>
    </font>
    <font>
      <b/>
      <sz val="12"/>
      <color theme="1"/>
      <name val="Calibri"/>
      <family val="2"/>
      <scheme val="minor"/>
    </font>
    <font>
      <b/>
      <sz val="12"/>
      <color theme="1"/>
      <name val="Century Gothic"/>
      <family val="2"/>
    </font>
    <font>
      <sz val="10"/>
      <color theme="1" tint="0.249977111117893"/>
      <name val="Century Gothic"/>
      <family val="1"/>
    </font>
    <font>
      <sz val="10"/>
      <color theme="1" tint="0.249977111117893"/>
      <name val="Century Gothic"/>
      <family val="2"/>
    </font>
    <font>
      <sz val="10"/>
      <color theme="1"/>
      <name val="Arial"/>
      <family val="2"/>
    </font>
    <font>
      <b/>
      <sz val="22"/>
      <color theme="0" tint="-0.499984740745262"/>
      <name val="Montserrat"/>
      <family val="3"/>
    </font>
    <font>
      <b/>
      <sz val="10"/>
      <color theme="0"/>
      <name val="Arial"/>
      <family val="2"/>
    </font>
    <font>
      <sz val="8"/>
      <name val="Calibri"/>
      <family val="2"/>
      <scheme val="minor"/>
    </font>
    <font>
      <b/>
      <sz val="12"/>
      <color theme="1"/>
      <name val="Arial"/>
      <family val="2"/>
    </font>
    <font>
      <sz val="12"/>
      <color theme="0"/>
      <name val="Calibri"/>
      <family val="2"/>
      <scheme val="minor"/>
    </font>
    <font>
      <b/>
      <sz val="16"/>
      <color theme="0"/>
      <name val="Calibri"/>
      <family val="2"/>
      <scheme val="minor"/>
    </font>
    <font>
      <sz val="9"/>
      <color theme="1"/>
      <name val="Calibri"/>
      <family val="2"/>
      <scheme val="minor"/>
    </font>
    <font>
      <b/>
      <sz val="11"/>
      <color theme="0"/>
      <name val="Arial"/>
      <family val="2"/>
    </font>
    <font>
      <b/>
      <i/>
      <sz val="10"/>
      <color theme="0"/>
      <name val="Arial"/>
      <family val="2"/>
    </font>
    <font>
      <u/>
      <sz val="9"/>
      <color theme="1"/>
      <name val="Calibri"/>
      <family val="2"/>
      <scheme val="minor"/>
    </font>
    <font>
      <i/>
      <u/>
      <sz val="9"/>
      <color theme="1"/>
      <name val="Calibri"/>
      <family val="2"/>
      <scheme val="minor"/>
    </font>
    <font>
      <i/>
      <sz val="9"/>
      <color theme="1"/>
      <name val="Calibri"/>
      <family val="2"/>
      <scheme val="minor"/>
    </font>
    <font>
      <sz val="9"/>
      <color rgb="FF000000"/>
      <name val="Calibri"/>
      <family val="2"/>
      <scheme val="minor"/>
    </font>
    <font>
      <u/>
      <sz val="9"/>
      <color rgb="FF000000"/>
      <name val="Calibri"/>
      <family val="2"/>
      <scheme val="minor"/>
    </font>
    <font>
      <i/>
      <sz val="9"/>
      <color rgb="FF000000"/>
      <name val="Calibri"/>
      <family val="2"/>
      <scheme val="minor"/>
    </font>
    <font>
      <i/>
      <u/>
      <sz val="9"/>
      <color rgb="FF000000"/>
      <name val="Calibri"/>
      <family val="2"/>
      <scheme val="minor"/>
    </font>
    <font>
      <i/>
      <sz val="9"/>
      <color rgb="FFC00000"/>
      <name val="Calibri"/>
      <family val="2"/>
      <scheme val="minor"/>
    </font>
    <font>
      <i/>
      <u/>
      <sz val="9"/>
      <name val="Calibri"/>
      <family val="2"/>
      <scheme val="minor"/>
    </font>
    <font>
      <i/>
      <sz val="9"/>
      <name val="Calibri"/>
      <family val="2"/>
      <scheme val="minor"/>
    </font>
    <font>
      <sz val="11"/>
      <color rgb="FF000000"/>
      <name val="Calibri"/>
      <family val="2"/>
      <scheme val="minor"/>
    </font>
    <font>
      <sz val="9"/>
      <color rgb="FFFF0000"/>
      <name val="Calibri"/>
      <family val="2"/>
      <scheme val="minor"/>
    </font>
    <font>
      <b/>
      <u/>
      <sz val="9"/>
      <color rgb="FF000000"/>
      <name val="Calibri"/>
      <family val="2"/>
      <scheme val="minor"/>
    </font>
    <font>
      <sz val="9"/>
      <color rgb="FF252525"/>
      <name val="Calibri"/>
      <family val="2"/>
      <scheme val="minor"/>
    </font>
    <font>
      <u/>
      <sz val="9"/>
      <color rgb="FF252525"/>
      <name val="Calibri"/>
      <family val="2"/>
      <scheme val="minor"/>
    </font>
    <font>
      <i/>
      <u/>
      <sz val="9"/>
      <color rgb="FF252525"/>
      <name val="Calibri"/>
      <family val="2"/>
      <scheme val="minor"/>
    </font>
    <font>
      <b/>
      <sz val="8"/>
      <color theme="0" tint="-4.9989318521683403E-2"/>
      <name val="Arial"/>
      <family val="2"/>
    </font>
    <font>
      <sz val="8"/>
      <color theme="1"/>
      <name val="Arial"/>
      <family val="2"/>
    </font>
    <font>
      <b/>
      <sz val="14"/>
      <color theme="0"/>
      <name val="Calibri"/>
      <family val="2"/>
      <scheme val="minor"/>
    </font>
    <font>
      <b/>
      <sz val="14"/>
      <color theme="1"/>
      <name val="Calibri"/>
      <family val="2"/>
      <scheme val="minor"/>
    </font>
  </fonts>
  <fills count="29">
    <fill>
      <patternFill patternType="none"/>
    </fill>
    <fill>
      <patternFill patternType="gray125"/>
    </fill>
    <fill>
      <patternFill patternType="solid">
        <fgColor theme="3" tint="0.79998168889431442"/>
        <bgColor indexed="64"/>
      </patternFill>
    </fill>
    <fill>
      <patternFill patternType="solid">
        <fgColor theme="3" tint="-0.249977111117893"/>
        <bgColor indexed="64"/>
      </patternFill>
    </fill>
    <fill>
      <patternFill patternType="solid">
        <fgColor theme="3"/>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9"/>
        <bgColor indexed="64"/>
      </patternFill>
    </fill>
    <fill>
      <patternFill patternType="solid">
        <fgColor rgb="FFC00000"/>
        <bgColor indexed="64"/>
      </patternFill>
    </fill>
    <fill>
      <patternFill patternType="solid">
        <fgColor theme="7"/>
        <bgColor indexed="64"/>
      </patternFill>
    </fill>
    <fill>
      <patternFill patternType="solid">
        <fgColor rgb="FF0070C0"/>
        <bgColor indexed="64"/>
      </patternFill>
    </fill>
    <fill>
      <patternFill patternType="solid">
        <fgColor theme="1"/>
        <bgColor indexed="64"/>
      </patternFill>
    </fill>
    <fill>
      <patternFill patternType="solid">
        <fgColor theme="4" tint="0.79998168889431442"/>
        <bgColor indexed="64"/>
      </patternFill>
    </fill>
    <fill>
      <patternFill patternType="solid">
        <fgColor rgb="FFFFFFFF"/>
        <bgColor indexed="64"/>
      </patternFill>
    </fill>
    <fill>
      <patternFill patternType="solid">
        <fgColor theme="5" tint="-0.249977111117893"/>
        <bgColor indexed="64"/>
      </patternFill>
    </fill>
    <fill>
      <patternFill patternType="solid">
        <fgColor theme="8" tint="-0.49998474074526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7030A0"/>
        <bgColor indexed="64"/>
      </patternFill>
    </fill>
    <fill>
      <patternFill patternType="solid">
        <fgColor rgb="FFB381D9"/>
        <bgColor indexed="64"/>
      </patternFill>
    </fill>
    <fill>
      <patternFill patternType="solid">
        <fgColor rgb="FFD1B2E8"/>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6969"/>
        <bgColor indexed="64"/>
      </patternFill>
    </fill>
    <fill>
      <patternFill patternType="solid">
        <fgColor rgb="FFFFC9C9"/>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theme="9" tint="0.59999389629810485"/>
        <bgColor indexed="64"/>
      </patternFill>
    </fill>
  </fills>
  <borders count="24">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top/>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style="medium">
        <color indexed="64"/>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style="medium">
        <color indexed="64"/>
      </left>
      <right/>
      <top style="hair">
        <color indexed="64"/>
      </top>
      <bottom/>
      <diagonal/>
    </border>
    <border>
      <left style="thin">
        <color indexed="64"/>
      </left>
      <right/>
      <top style="thin">
        <color indexed="64"/>
      </top>
      <bottom style="thin">
        <color indexed="64"/>
      </bottom>
      <diagonal/>
    </border>
    <border>
      <left style="medium">
        <color indexed="64"/>
      </left>
      <right style="hair">
        <color indexed="64"/>
      </right>
      <top/>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s>
  <cellStyleXfs count="6">
    <xf numFmtId="0" fontId="0" fillId="0" borderId="0"/>
    <xf numFmtId="0" fontId="11" fillId="0" borderId="0"/>
    <xf numFmtId="0" fontId="4" fillId="0" borderId="0"/>
    <xf numFmtId="0" fontId="3" fillId="0" borderId="0"/>
    <xf numFmtId="0" fontId="2" fillId="0" borderId="0"/>
    <xf numFmtId="0" fontId="1" fillId="0" borderId="0"/>
  </cellStyleXfs>
  <cellXfs count="189">
    <xf numFmtId="0" fontId="0" fillId="0" borderId="0" xfId="0"/>
    <xf numFmtId="0" fontId="8" fillId="0" borderId="0" xfId="0" applyFont="1"/>
    <xf numFmtId="0" fontId="12" fillId="0" borderId="0" xfId="0" applyFont="1"/>
    <xf numFmtId="0" fontId="7" fillId="3" borderId="2" xfId="0" applyFont="1" applyFill="1" applyBorder="1" applyAlignment="1">
      <alignment horizontal="left" vertical="center" wrapText="1" indent="1"/>
    </xf>
    <xf numFmtId="0" fontId="13" fillId="0" borderId="0" xfId="0" applyFont="1"/>
    <xf numFmtId="0" fontId="14" fillId="0" borderId="0" xfId="0" applyFont="1"/>
    <xf numFmtId="0" fontId="6" fillId="0" borderId="0" xfId="0" applyFont="1" applyAlignment="1">
      <alignment horizontal="center"/>
    </xf>
    <xf numFmtId="0" fontId="5" fillId="0" borderId="0" xfId="0" applyFont="1" applyAlignment="1">
      <alignment horizontal="center" wrapText="1"/>
    </xf>
    <xf numFmtId="0" fontId="7" fillId="3" borderId="2" xfId="0" applyFont="1" applyFill="1" applyBorder="1" applyAlignment="1">
      <alignment horizontal="center" vertical="center" wrapText="1"/>
    </xf>
    <xf numFmtId="0" fontId="9" fillId="0" borderId="0" xfId="0" applyFont="1" applyFill="1" applyAlignment="1">
      <alignment horizontal="center" vertical="center"/>
    </xf>
    <xf numFmtId="0" fontId="7" fillId="4" borderId="1" xfId="0" applyFont="1" applyFill="1" applyBorder="1" applyAlignment="1">
      <alignment horizontal="center" vertical="center" wrapText="1"/>
    </xf>
    <xf numFmtId="164" fontId="7" fillId="4" borderId="1" xfId="0" applyNumberFormat="1" applyFont="1" applyFill="1" applyBorder="1" applyAlignment="1">
      <alignment horizontal="center" vertical="center" wrapText="1"/>
    </xf>
    <xf numFmtId="164" fontId="5" fillId="0" borderId="0" xfId="0" applyNumberFormat="1" applyFont="1" applyAlignment="1">
      <alignment horizontal="center" wrapText="1"/>
    </xf>
    <xf numFmtId="0" fontId="9" fillId="0" borderId="0" xfId="0" applyFont="1" applyFill="1" applyAlignment="1">
      <alignment horizontal="left" vertical="center"/>
    </xf>
    <xf numFmtId="0" fontId="7" fillId="4" borderId="2" xfId="0" applyFont="1" applyFill="1" applyBorder="1" applyAlignment="1">
      <alignment horizontal="center" vertical="center" wrapText="1"/>
    </xf>
    <xf numFmtId="0" fontId="0" fillId="0" borderId="0" xfId="0" applyAlignment="1">
      <alignment horizontal="center"/>
    </xf>
    <xf numFmtId="0" fontId="15" fillId="5" borderId="1" xfId="0" applyNumberFormat="1" applyFont="1" applyFill="1" applyBorder="1" applyAlignment="1">
      <alignment horizontal="center" vertical="center" wrapText="1"/>
    </xf>
    <xf numFmtId="0" fontId="16" fillId="5" borderId="0" xfId="0" applyFont="1" applyFill="1" applyAlignment="1">
      <alignment horizontal="center" vertical="center"/>
    </xf>
    <xf numFmtId="0" fontId="15" fillId="5" borderId="0" xfId="0" applyNumberFormat="1" applyFont="1" applyFill="1" applyBorder="1" applyAlignment="1">
      <alignment horizontal="center" vertical="center" wrapText="1"/>
    </xf>
    <xf numFmtId="0" fontId="16" fillId="5" borderId="1" xfId="0" applyNumberFormat="1" applyFont="1" applyFill="1" applyBorder="1" applyAlignment="1">
      <alignment horizontal="left" vertical="center" wrapText="1" indent="1"/>
    </xf>
    <xf numFmtId="0" fontId="0" fillId="0" borderId="0" xfId="0" applyAlignment="1">
      <alignment horizontal="left"/>
    </xf>
    <xf numFmtId="164" fontId="10" fillId="0" borderId="1" xfId="0" applyNumberFormat="1" applyFont="1" applyFill="1" applyBorder="1" applyAlignment="1">
      <alignment horizontal="left" vertical="center" wrapText="1"/>
    </xf>
    <xf numFmtId="0" fontId="10" fillId="0" borderId="1" xfId="0" applyNumberFormat="1" applyFont="1" applyFill="1" applyBorder="1" applyAlignment="1">
      <alignment horizontal="left" vertical="center" wrapText="1"/>
    </xf>
    <xf numFmtId="0" fontId="0" fillId="0" borderId="0" xfId="0" applyAlignment="1">
      <alignment wrapText="1"/>
    </xf>
    <xf numFmtId="0" fontId="16" fillId="5" borderId="3" xfId="0" applyNumberFormat="1" applyFont="1" applyFill="1" applyBorder="1" applyAlignment="1">
      <alignment horizontal="left" vertical="center" wrapText="1" indent="1"/>
    </xf>
    <xf numFmtId="0" fontId="5" fillId="0" borderId="0" xfId="0" applyFont="1" applyAlignment="1">
      <alignment horizontal="left" wrapText="1"/>
    </xf>
    <xf numFmtId="0" fontId="6" fillId="0" borderId="0" xfId="0" applyFont="1" applyAlignment="1">
      <alignment horizontal="left"/>
    </xf>
    <xf numFmtId="0" fontId="7" fillId="3" borderId="0" xfId="0" applyFont="1" applyFill="1" applyBorder="1" applyAlignment="1">
      <alignment horizontal="left" vertical="center" wrapText="1" indent="1"/>
    </xf>
    <xf numFmtId="1" fontId="6" fillId="0" borderId="0" xfId="0" applyNumberFormat="1" applyFont="1" applyAlignment="1">
      <alignment horizontal="center"/>
    </xf>
    <xf numFmtId="1" fontId="5" fillId="0" borderId="0" xfId="0" applyNumberFormat="1" applyFont="1" applyAlignment="1">
      <alignment horizontal="center" wrapText="1"/>
    </xf>
    <xf numFmtId="166" fontId="6" fillId="0" borderId="0" xfId="0" applyNumberFormat="1" applyFont="1" applyAlignment="1">
      <alignment horizontal="center"/>
    </xf>
    <xf numFmtId="166" fontId="5" fillId="0" borderId="0" xfId="0" applyNumberFormat="1" applyFont="1" applyAlignment="1">
      <alignment horizontal="center" wrapText="1"/>
    </xf>
    <xf numFmtId="166" fontId="0" fillId="0" borderId="0" xfId="0" applyNumberFormat="1"/>
    <xf numFmtId="0" fontId="18" fillId="0" borderId="0" xfId="0" applyFont="1" applyFill="1" applyAlignment="1">
      <alignment horizontal="left" vertical="center"/>
    </xf>
    <xf numFmtId="0" fontId="17" fillId="0" borderId="0" xfId="0" applyFont="1"/>
    <xf numFmtId="164" fontId="19" fillId="4" borderId="1" xfId="0" applyNumberFormat="1" applyFont="1" applyFill="1" applyBorder="1" applyAlignment="1">
      <alignment horizontal="center" vertical="center" wrapText="1"/>
    </xf>
    <xf numFmtId="166" fontId="19" fillId="4" borderId="0" xfId="0" applyNumberFormat="1" applyFont="1" applyFill="1" applyBorder="1" applyAlignment="1">
      <alignment horizontal="center" vertical="center" wrapText="1"/>
    </xf>
    <xf numFmtId="164" fontId="19" fillId="4" borderId="2" xfId="0" applyNumberFormat="1" applyFont="1" applyFill="1" applyBorder="1" applyAlignment="1">
      <alignment horizontal="center" vertical="center" wrapText="1"/>
    </xf>
    <xf numFmtId="0" fontId="19" fillId="3" borderId="2" xfId="0" applyFont="1" applyFill="1" applyBorder="1" applyAlignment="1">
      <alignment horizontal="center" vertical="center" wrapText="1"/>
    </xf>
    <xf numFmtId="165" fontId="19" fillId="4" borderId="0" xfId="0" applyNumberFormat="1" applyFont="1" applyFill="1" applyBorder="1" applyAlignment="1">
      <alignment horizontal="center" vertical="center" wrapText="1"/>
    </xf>
    <xf numFmtId="0" fontId="19" fillId="4" borderId="0" xfId="0" applyFont="1" applyFill="1" applyBorder="1" applyAlignment="1">
      <alignment horizontal="center" vertical="center" wrapText="1"/>
    </xf>
    <xf numFmtId="1" fontId="19" fillId="4" borderId="0" xfId="0" applyNumberFormat="1" applyFont="1" applyFill="1" applyBorder="1" applyAlignment="1">
      <alignment horizontal="center" vertical="center" wrapText="1"/>
    </xf>
    <xf numFmtId="0" fontId="5" fillId="0" borderId="0" xfId="0" applyFont="1"/>
    <xf numFmtId="0" fontId="19" fillId="4" borderId="1" xfId="0" applyFont="1" applyFill="1" applyBorder="1" applyAlignment="1">
      <alignment horizontal="center" vertical="center" wrapText="1"/>
    </xf>
    <xf numFmtId="0" fontId="5" fillId="0" borderId="0" xfId="0" applyFont="1" applyAlignment="1">
      <alignment vertical="center"/>
    </xf>
    <xf numFmtId="164" fontId="5" fillId="0" borderId="1" xfId="0" applyNumberFormat="1" applyFont="1" applyFill="1" applyBorder="1" applyAlignment="1">
      <alignment horizontal="center" vertical="center" wrapText="1"/>
    </xf>
    <xf numFmtId="166" fontId="5" fillId="0" borderId="1" xfId="0" applyNumberFormat="1" applyFont="1" applyFill="1" applyBorder="1" applyAlignment="1">
      <alignment horizontal="center" vertical="center" wrapText="1"/>
    </xf>
    <xf numFmtId="0" fontId="21" fillId="2"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165" fontId="5" fillId="0" borderId="1" xfId="0" applyNumberFormat="1" applyFont="1" applyFill="1" applyBorder="1" applyAlignment="1">
      <alignment horizontal="center" vertical="center" wrapText="1"/>
    </xf>
    <xf numFmtId="1" fontId="5" fillId="0" borderId="1" xfId="0" applyNumberFormat="1" applyFont="1" applyFill="1" applyBorder="1" applyAlignment="1">
      <alignment horizontal="center" vertical="center" wrapText="1"/>
    </xf>
    <xf numFmtId="165" fontId="10" fillId="0" borderId="1" xfId="0" applyNumberFormat="1" applyFont="1" applyBorder="1" applyAlignment="1">
      <alignment horizontal="left" vertical="center" wrapText="1"/>
    </xf>
    <xf numFmtId="164" fontId="19" fillId="4" borderId="5" xfId="0" applyNumberFormat="1" applyFont="1" applyFill="1" applyBorder="1" applyAlignment="1">
      <alignment horizontal="center" vertical="center" wrapText="1"/>
    </xf>
    <xf numFmtId="164" fontId="5" fillId="0" borderId="5" xfId="0" applyNumberFormat="1" applyFont="1" applyFill="1" applyBorder="1" applyAlignment="1">
      <alignment horizontal="center" vertical="center" wrapText="1"/>
    </xf>
    <xf numFmtId="0" fontId="0" fillId="0" borderId="0" xfId="0" pivotButton="1"/>
    <xf numFmtId="0" fontId="0" fillId="0" borderId="0" xfId="0" applyNumberFormat="1"/>
    <xf numFmtId="0" fontId="0" fillId="6" borderId="0" xfId="0" applyFill="1"/>
    <xf numFmtId="0" fontId="22" fillId="6" borderId="0" xfId="0" applyFont="1" applyFill="1"/>
    <xf numFmtId="0" fontId="23" fillId="6" borderId="0" xfId="0" applyFont="1" applyFill="1"/>
    <xf numFmtId="0" fontId="23" fillId="0" borderId="0" xfId="0" applyFont="1" applyFill="1"/>
    <xf numFmtId="0" fontId="0" fillId="0" borderId="0" xfId="0" applyFill="1"/>
    <xf numFmtId="0" fontId="4" fillId="0" borderId="0" xfId="2" applyAlignment="1">
      <alignment horizontal="left" vertical="center" wrapText="1"/>
    </xf>
    <xf numFmtId="49" fontId="4" fillId="0" borderId="0" xfId="2" applyNumberFormat="1" applyAlignment="1">
      <alignment horizontal="left" vertical="center" wrapText="1"/>
    </xf>
    <xf numFmtId="0" fontId="16" fillId="5" borderId="4" xfId="0" applyNumberFormat="1" applyFont="1" applyFill="1" applyBorder="1" applyAlignment="1">
      <alignment horizontal="left" vertical="center" wrapText="1" indent="1"/>
    </xf>
    <xf numFmtId="164" fontId="19" fillId="4" borderId="0" xfId="0" applyNumberFormat="1" applyFont="1" applyFill="1" applyBorder="1" applyAlignment="1">
      <alignment horizontal="center" vertical="center" wrapText="1"/>
    </xf>
    <xf numFmtId="0" fontId="7" fillId="3" borderId="6" xfId="0" applyFont="1" applyFill="1" applyBorder="1" applyAlignment="1">
      <alignment horizontal="left" vertical="center" wrapText="1" indent="1"/>
    </xf>
    <xf numFmtId="0" fontId="24" fillId="0" borderId="0" xfId="4" applyFont="1"/>
    <xf numFmtId="0" fontId="25" fillId="10" borderId="0" xfId="4" applyFont="1" applyFill="1" applyAlignment="1">
      <alignment horizontal="center"/>
    </xf>
    <xf numFmtId="0" fontId="2" fillId="0" borderId="0" xfId="4" applyAlignment="1">
      <alignment horizontal="center"/>
    </xf>
    <xf numFmtId="0" fontId="26" fillId="11" borderId="7" xfId="4" applyFont="1" applyFill="1" applyBorder="1" applyAlignment="1">
      <alignment vertical="top" wrapText="1"/>
    </xf>
    <xf numFmtId="0" fontId="2" fillId="11" borderId="0" xfId="4" applyFill="1" applyAlignment="1">
      <alignment vertical="top" wrapText="1"/>
    </xf>
    <xf numFmtId="0" fontId="2" fillId="0" borderId="0" xfId="4" applyAlignment="1">
      <alignment vertical="top"/>
    </xf>
    <xf numFmtId="0" fontId="2" fillId="0" borderId="0" xfId="4"/>
    <xf numFmtId="0" fontId="24" fillId="12" borderId="8" xfId="4" applyFont="1" applyFill="1" applyBorder="1" applyAlignment="1">
      <alignment horizontal="left" vertical="top" wrapText="1"/>
    </xf>
    <xf numFmtId="0" fontId="24" fillId="12" borderId="8" xfId="4" applyFont="1" applyFill="1" applyBorder="1" applyAlignment="1">
      <alignment vertical="top" wrapText="1"/>
    </xf>
    <xf numFmtId="0" fontId="24" fillId="0" borderId="0" xfId="4" applyFont="1" applyAlignment="1">
      <alignment vertical="top"/>
    </xf>
    <xf numFmtId="0" fontId="24" fillId="0" borderId="8" xfId="4" applyFont="1" applyBorder="1" applyAlignment="1">
      <alignment horizontal="left" vertical="top" wrapText="1"/>
    </xf>
    <xf numFmtId="0" fontId="27" fillId="0" borderId="8" xfId="4" applyFont="1" applyBorder="1" applyAlignment="1">
      <alignment horizontal="left" vertical="top" wrapText="1"/>
    </xf>
    <xf numFmtId="0" fontId="24" fillId="0" borderId="8" xfId="4" applyFont="1" applyBorder="1" applyAlignment="1">
      <alignment vertical="top" wrapText="1"/>
    </xf>
    <xf numFmtId="0" fontId="27" fillId="12" borderId="8" xfId="4" applyFont="1" applyFill="1" applyBorder="1" applyAlignment="1">
      <alignment horizontal="left" vertical="top" wrapText="1"/>
    </xf>
    <xf numFmtId="0" fontId="28" fillId="13" borderId="8" xfId="4" applyFont="1" applyFill="1" applyBorder="1" applyAlignment="1">
      <alignment horizontal="left" vertical="top" wrapText="1"/>
    </xf>
    <xf numFmtId="0" fontId="30" fillId="0" borderId="8" xfId="4" applyFont="1" applyBorder="1" applyAlignment="1">
      <alignment horizontal="left" vertical="top" wrapText="1"/>
    </xf>
    <xf numFmtId="0" fontId="31" fillId="0" borderId="8" xfId="4" applyFont="1" applyBorder="1" applyAlignment="1">
      <alignment horizontal="left" vertical="top" wrapText="1"/>
    </xf>
    <xf numFmtId="0" fontId="30" fillId="12" borderId="8" xfId="4" applyFont="1" applyFill="1" applyBorder="1" applyAlignment="1">
      <alignment horizontal="left" vertical="top" wrapText="1"/>
    </xf>
    <xf numFmtId="0" fontId="31" fillId="12" borderId="8" xfId="4" applyFont="1" applyFill="1" applyBorder="1" applyAlignment="1">
      <alignment horizontal="left" vertical="top" wrapText="1"/>
    </xf>
    <xf numFmtId="0" fontId="32" fillId="12" borderId="8" xfId="4" applyFont="1" applyFill="1" applyBorder="1" applyAlignment="1">
      <alignment horizontal="left" vertical="top" wrapText="1"/>
    </xf>
    <xf numFmtId="0" fontId="33" fillId="13" borderId="8" xfId="4" applyFont="1" applyFill="1" applyBorder="1" applyAlignment="1">
      <alignment horizontal="left" vertical="top" wrapText="1"/>
    </xf>
    <xf numFmtId="0" fontId="33" fillId="12" borderId="8" xfId="4" applyFont="1" applyFill="1" applyBorder="1" applyAlignment="1">
      <alignment horizontal="left" vertical="top" wrapText="1"/>
    </xf>
    <xf numFmtId="0" fontId="33" fillId="0" borderId="8" xfId="4" applyFont="1" applyBorder="1" applyAlignment="1">
      <alignment horizontal="left" vertical="top" wrapText="1"/>
    </xf>
    <xf numFmtId="0" fontId="24" fillId="12" borderId="0" xfId="4" applyFont="1" applyFill="1"/>
    <xf numFmtId="0" fontId="2" fillId="0" borderId="0" xfId="4" applyAlignment="1">
      <alignment wrapText="1"/>
    </xf>
    <xf numFmtId="0" fontId="32" fillId="0" borderId="8" xfId="4" applyFont="1" applyBorder="1" applyAlignment="1">
      <alignment horizontal="left" vertical="top" wrapText="1"/>
    </xf>
    <xf numFmtId="0" fontId="29" fillId="12" borderId="8" xfId="4" applyFont="1" applyFill="1" applyBorder="1" applyAlignment="1">
      <alignment horizontal="left" vertical="top" wrapText="1"/>
    </xf>
    <xf numFmtId="0" fontId="28" fillId="12" borderId="8" xfId="4" applyFont="1" applyFill="1" applyBorder="1" applyAlignment="1">
      <alignment horizontal="left" vertical="top" wrapText="1"/>
    </xf>
    <xf numFmtId="0" fontId="29" fillId="0" borderId="8" xfId="4" applyFont="1" applyBorder="1" applyAlignment="1">
      <alignment horizontal="left" vertical="top" wrapText="1"/>
    </xf>
    <xf numFmtId="0" fontId="35" fillId="0" borderId="8" xfId="4" applyFont="1" applyBorder="1" applyAlignment="1">
      <alignment horizontal="left" vertical="top" wrapText="1"/>
    </xf>
    <xf numFmtId="0" fontId="28" fillId="0" borderId="8" xfId="4" applyFont="1" applyBorder="1" applyAlignment="1">
      <alignment horizontal="left" vertical="top" wrapText="1"/>
    </xf>
    <xf numFmtId="0" fontId="37" fillId="0" borderId="0" xfId="4" applyFont="1" applyAlignment="1">
      <alignment vertical="top"/>
    </xf>
    <xf numFmtId="0" fontId="24" fillId="13" borderId="8" xfId="4" applyFont="1" applyFill="1" applyBorder="1" applyAlignment="1">
      <alignment horizontal="left" vertical="top" wrapText="1"/>
    </xf>
    <xf numFmtId="0" fontId="39" fillId="13" borderId="8" xfId="4" applyFont="1" applyFill="1" applyBorder="1" applyAlignment="1">
      <alignment horizontal="left" vertical="top" wrapText="1"/>
    </xf>
    <xf numFmtId="0" fontId="31" fillId="13" borderId="8" xfId="4" applyFont="1" applyFill="1" applyBorder="1" applyAlignment="1">
      <alignment horizontal="left" vertical="top" wrapText="1"/>
    </xf>
    <xf numFmtId="0" fontId="41" fillId="12" borderId="8" xfId="4" applyFont="1" applyFill="1" applyBorder="1" applyAlignment="1">
      <alignment horizontal="left" vertical="top" wrapText="1"/>
    </xf>
    <xf numFmtId="0" fontId="41" fillId="13" borderId="8" xfId="4" applyFont="1" applyFill="1" applyBorder="1" applyAlignment="1">
      <alignment horizontal="left" vertical="top" wrapText="1"/>
    </xf>
    <xf numFmtId="0" fontId="26" fillId="11" borderId="9" xfId="4" applyFont="1" applyFill="1" applyBorder="1" applyAlignment="1">
      <alignment vertical="top" wrapText="1"/>
    </xf>
    <xf numFmtId="0" fontId="2" fillId="11" borderId="8" xfId="4" applyFill="1" applyBorder="1" applyAlignment="1">
      <alignment vertical="top" wrapText="1"/>
    </xf>
    <xf numFmtId="0" fontId="24" fillId="0" borderId="10" xfId="4" applyFont="1" applyBorder="1" applyAlignment="1">
      <alignment horizontal="left" vertical="top" wrapText="1"/>
    </xf>
    <xf numFmtId="0" fontId="2" fillId="0" borderId="8" xfId="4" applyBorder="1" applyAlignment="1">
      <alignment vertical="top" wrapText="1"/>
    </xf>
    <xf numFmtId="0" fontId="31" fillId="12" borderId="10" xfId="4" applyFont="1" applyFill="1" applyBorder="1" applyAlignment="1">
      <alignment horizontal="left" vertical="top" wrapText="1"/>
    </xf>
    <xf numFmtId="0" fontId="2" fillId="12" borderId="8" xfId="4" applyFill="1" applyBorder="1" applyAlignment="1">
      <alignment vertical="top" wrapText="1"/>
    </xf>
    <xf numFmtId="0" fontId="31" fillId="0" borderId="10" xfId="4" applyFont="1" applyBorder="1" applyAlignment="1">
      <alignment horizontal="left" vertical="top" wrapText="1"/>
    </xf>
    <xf numFmtId="0" fontId="24" fillId="12" borderId="10" xfId="4" applyFont="1" applyFill="1" applyBorder="1" applyAlignment="1">
      <alignment horizontal="left" vertical="top" wrapText="1"/>
    </xf>
    <xf numFmtId="0" fontId="26" fillId="11" borderId="11" xfId="4" applyFont="1" applyFill="1" applyBorder="1" applyAlignment="1">
      <alignment vertical="top" wrapText="1"/>
    </xf>
    <xf numFmtId="0" fontId="26" fillId="11" borderId="12" xfId="4" applyFont="1" applyFill="1" applyBorder="1" applyAlignment="1">
      <alignment vertical="top" wrapText="1"/>
    </xf>
    <xf numFmtId="0" fontId="24" fillId="12" borderId="0" xfId="4" applyFont="1" applyFill="1" applyAlignment="1">
      <alignment horizontal="left" vertical="top" wrapText="1"/>
    </xf>
    <xf numFmtId="0" fontId="29" fillId="12" borderId="13" xfId="4" applyFont="1" applyFill="1" applyBorder="1" applyAlignment="1">
      <alignment horizontal="left" vertical="top" wrapText="1"/>
    </xf>
    <xf numFmtId="0" fontId="24" fillId="12" borderId="14" xfId="4" applyFont="1" applyFill="1" applyBorder="1" applyAlignment="1">
      <alignment horizontal="left" vertical="top" wrapText="1"/>
    </xf>
    <xf numFmtId="0" fontId="2" fillId="0" borderId="0" xfId="4" applyAlignment="1">
      <alignment vertical="top" wrapText="1"/>
    </xf>
    <xf numFmtId="0" fontId="35" fillId="12" borderId="8" xfId="4" applyFont="1" applyFill="1" applyBorder="1" applyAlignment="1">
      <alignment horizontal="left" vertical="top" wrapText="1"/>
    </xf>
    <xf numFmtId="0" fontId="28" fillId="13" borderId="10" xfId="4" applyFont="1" applyFill="1" applyBorder="1" applyAlignment="1">
      <alignment horizontal="left" vertical="top" wrapText="1"/>
    </xf>
    <xf numFmtId="0" fontId="2" fillId="12" borderId="8" xfId="4" applyFill="1" applyBorder="1" applyAlignment="1">
      <alignment vertical="top"/>
    </xf>
    <xf numFmtId="0" fontId="2" fillId="0" borderId="8" xfId="4" applyBorder="1" applyAlignment="1">
      <alignment vertical="top"/>
    </xf>
    <xf numFmtId="0" fontId="24" fillId="11" borderId="8" xfId="4" applyFont="1" applyFill="1" applyBorder="1" applyAlignment="1">
      <alignment vertical="top" wrapText="1"/>
    </xf>
    <xf numFmtId="0" fontId="28" fillId="12" borderId="10" xfId="4" applyFont="1" applyFill="1" applyBorder="1" applyAlignment="1">
      <alignment horizontal="left" vertical="top" wrapText="1"/>
    </xf>
    <xf numFmtId="0" fontId="2" fillId="0" borderId="8" xfId="4" applyBorder="1"/>
    <xf numFmtId="0" fontId="2" fillId="12" borderId="8" xfId="4" applyFill="1" applyBorder="1"/>
    <xf numFmtId="0" fontId="28" fillId="0" borderId="10" xfId="4" applyFont="1" applyBorder="1" applyAlignment="1">
      <alignment horizontal="left" vertical="top" wrapText="1"/>
    </xf>
    <xf numFmtId="0" fontId="33" fillId="0" borderId="10" xfId="4" applyFont="1" applyBorder="1" applyAlignment="1">
      <alignment horizontal="left" vertical="top" wrapText="1"/>
    </xf>
    <xf numFmtId="0" fontId="33" fillId="12" borderId="10" xfId="4" applyFont="1" applyFill="1" applyBorder="1" applyAlignment="1">
      <alignment horizontal="left" vertical="top" wrapText="1"/>
    </xf>
    <xf numFmtId="0" fontId="24" fillId="0" borderId="8" xfId="4" applyFont="1" applyBorder="1" applyAlignment="1">
      <alignment vertical="top"/>
    </xf>
    <xf numFmtId="0" fontId="43" fillId="0" borderId="15" xfId="4" applyFont="1" applyBorder="1" applyAlignment="1">
      <alignment horizontal="left" vertical="center" wrapText="1"/>
    </xf>
    <xf numFmtId="0" fontId="43" fillId="0" borderId="0" xfId="4" applyFont="1" applyAlignment="1">
      <alignment horizontal="left" vertical="center" wrapText="1"/>
    </xf>
    <xf numFmtId="0" fontId="44" fillId="0" borderId="0" xfId="4" applyFont="1" applyAlignment="1">
      <alignment horizontal="left" vertical="top" wrapText="1"/>
    </xf>
    <xf numFmtId="0" fontId="44" fillId="0" borderId="0" xfId="4" applyFont="1" applyAlignment="1">
      <alignment horizontal="center" vertical="top" wrapText="1"/>
    </xf>
    <xf numFmtId="0" fontId="44" fillId="5" borderId="0" xfId="4" applyFont="1" applyFill="1" applyAlignment="1">
      <alignment horizontal="left" vertical="center" indent="1"/>
    </xf>
    <xf numFmtId="0" fontId="44" fillId="5" borderId="0" xfId="4" applyFont="1" applyFill="1" applyAlignment="1">
      <alignment horizontal="left" vertical="top" wrapText="1"/>
    </xf>
    <xf numFmtId="0" fontId="0" fillId="0" borderId="0" xfId="0" applyAlignment="1">
      <alignment horizontal="left" vertical="center"/>
    </xf>
    <xf numFmtId="0" fontId="0" fillId="0" borderId="0" xfId="0" applyAlignment="1">
      <alignment horizontal="left" vertical="center" wrapText="1"/>
    </xf>
    <xf numFmtId="0" fontId="24" fillId="0" borderId="0" xfId="0" applyFont="1" applyAlignment="1">
      <alignment horizontal="left" vertical="center" wrapText="1"/>
    </xf>
    <xf numFmtId="0" fontId="0" fillId="0" borderId="0" xfId="0" applyFill="1" applyAlignment="1">
      <alignment horizontal="left" vertical="center" wrapText="1"/>
    </xf>
    <xf numFmtId="0" fontId="24" fillId="0" borderId="0" xfId="0" applyFont="1" applyFill="1" applyAlignment="1">
      <alignment horizontal="left" vertical="center" wrapText="1"/>
    </xf>
    <xf numFmtId="0" fontId="1" fillId="0" borderId="0" xfId="5" applyAlignment="1">
      <alignment horizontal="left" vertical="center" wrapText="1"/>
    </xf>
    <xf numFmtId="0" fontId="1" fillId="14" borderId="0" xfId="5" applyFill="1" applyAlignment="1">
      <alignment horizontal="left" vertical="center" wrapText="1"/>
    </xf>
    <xf numFmtId="0" fontId="45" fillId="15" borderId="0" xfId="5" applyFont="1" applyFill="1" applyAlignment="1">
      <alignment horizontal="left" vertical="center" wrapText="1"/>
    </xf>
    <xf numFmtId="0" fontId="46" fillId="16" borderId="0" xfId="5" applyFont="1" applyFill="1" applyAlignment="1">
      <alignment horizontal="left" vertical="center" wrapText="1"/>
    </xf>
    <xf numFmtId="0" fontId="1" fillId="16" borderId="0" xfId="5" applyFill="1" applyAlignment="1">
      <alignment horizontal="left" vertical="center" wrapText="1"/>
    </xf>
    <xf numFmtId="0" fontId="46" fillId="17" borderId="0" xfId="5" applyFont="1" applyFill="1" applyAlignment="1">
      <alignment horizontal="left" vertical="center" wrapText="1"/>
    </xf>
    <xf numFmtId="0" fontId="1" fillId="17" borderId="0" xfId="5" applyFill="1" applyAlignment="1">
      <alignment horizontal="left" vertical="center" wrapText="1"/>
    </xf>
    <xf numFmtId="0" fontId="1" fillId="0" borderId="0" xfId="5" applyAlignment="1">
      <alignment vertical="center" wrapText="1"/>
    </xf>
    <xf numFmtId="0" fontId="37" fillId="0" borderId="0" xfId="5" applyFont="1" applyAlignment="1">
      <alignment vertical="center" wrapText="1"/>
    </xf>
    <xf numFmtId="0" fontId="45" fillId="18" borderId="0" xfId="5" applyFont="1" applyFill="1" applyAlignment="1">
      <alignment horizontal="left" vertical="center" wrapText="1"/>
    </xf>
    <xf numFmtId="0" fontId="46" fillId="19" borderId="0" xfId="5" applyFont="1" applyFill="1" applyAlignment="1">
      <alignment horizontal="left" vertical="center" wrapText="1"/>
    </xf>
    <xf numFmtId="0" fontId="1" fillId="19" borderId="0" xfId="5" applyFill="1" applyAlignment="1">
      <alignment horizontal="left" vertical="center" wrapText="1"/>
    </xf>
    <xf numFmtId="0" fontId="46" fillId="20" borderId="0" xfId="5" applyFont="1" applyFill="1" applyAlignment="1">
      <alignment horizontal="left" vertical="center" wrapText="1"/>
    </xf>
    <xf numFmtId="0" fontId="1" fillId="20" borderId="0" xfId="5" applyFill="1" applyAlignment="1">
      <alignment horizontal="left" vertical="center" wrapText="1"/>
    </xf>
    <xf numFmtId="0" fontId="45" fillId="21" borderId="0" xfId="5" applyFont="1" applyFill="1" applyAlignment="1">
      <alignment horizontal="left" vertical="center" wrapText="1"/>
    </xf>
    <xf numFmtId="0" fontId="46" fillId="22" borderId="0" xfId="5" applyFont="1" applyFill="1" applyAlignment="1">
      <alignment horizontal="left" vertical="center" wrapText="1"/>
    </xf>
    <xf numFmtId="0" fontId="1" fillId="22" borderId="0" xfId="5" applyFill="1" applyAlignment="1">
      <alignment horizontal="left" vertical="center" wrapText="1"/>
    </xf>
    <xf numFmtId="0" fontId="46" fillId="23" borderId="0" xfId="5" applyFont="1" applyFill="1" applyAlignment="1">
      <alignment horizontal="left" vertical="center" wrapText="1"/>
    </xf>
    <xf numFmtId="0" fontId="1" fillId="23" borderId="0" xfId="5" applyFill="1" applyAlignment="1">
      <alignment horizontal="left" vertical="center" wrapText="1"/>
    </xf>
    <xf numFmtId="0" fontId="45" fillId="8" borderId="0" xfId="5" applyFont="1" applyFill="1" applyAlignment="1">
      <alignment horizontal="left" vertical="center" wrapText="1"/>
    </xf>
    <xf numFmtId="0" fontId="46" fillId="24" borderId="0" xfId="5" applyFont="1" applyFill="1" applyAlignment="1">
      <alignment horizontal="left" vertical="center" wrapText="1"/>
    </xf>
    <xf numFmtId="0" fontId="1" fillId="24" borderId="0" xfId="5" applyFill="1" applyAlignment="1">
      <alignment horizontal="left" vertical="center" wrapText="1"/>
    </xf>
    <xf numFmtId="0" fontId="46" fillId="25" borderId="0" xfId="5" applyFont="1" applyFill="1" applyAlignment="1">
      <alignment horizontal="left" vertical="center" wrapText="1"/>
    </xf>
    <xf numFmtId="0" fontId="1" fillId="25" borderId="0" xfId="5" applyFill="1" applyAlignment="1">
      <alignment horizontal="left" vertical="center" wrapText="1"/>
    </xf>
    <xf numFmtId="0" fontId="45" fillId="26" borderId="0" xfId="5" applyFont="1" applyFill="1" applyAlignment="1">
      <alignment horizontal="left" vertical="center" wrapText="1"/>
    </xf>
    <xf numFmtId="0" fontId="46" fillId="27" borderId="0" xfId="5" applyFont="1" applyFill="1" applyAlignment="1">
      <alignment horizontal="left" vertical="center" wrapText="1"/>
    </xf>
    <xf numFmtId="0" fontId="1" fillId="27" borderId="0" xfId="5" applyFill="1" applyAlignment="1">
      <alignment horizontal="left" vertical="center" wrapText="1"/>
    </xf>
    <xf numFmtId="0" fontId="46" fillId="28" borderId="0" xfId="5" applyFont="1" applyFill="1" applyAlignment="1">
      <alignment horizontal="left" vertical="center" wrapText="1"/>
    </xf>
    <xf numFmtId="0" fontId="1" fillId="28" borderId="0" xfId="5" applyFill="1" applyAlignment="1">
      <alignment horizontal="left" vertical="center" wrapText="1"/>
    </xf>
    <xf numFmtId="0" fontId="1" fillId="0" borderId="0" xfId="5" applyAlignment="1">
      <alignment horizontal="left" vertical="center"/>
    </xf>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applyBorder="1"/>
    <xf numFmtId="0" fontId="0" fillId="0" borderId="20" xfId="0" applyBorder="1"/>
    <xf numFmtId="0" fontId="0" fillId="7" borderId="0" xfId="0" applyFill="1" applyBorder="1"/>
    <xf numFmtId="0" fontId="0" fillId="9" borderId="0" xfId="0" applyFill="1" applyBorder="1"/>
    <xf numFmtId="0" fontId="0" fillId="8" borderId="0" xfId="0" applyFill="1" applyBorder="1"/>
    <xf numFmtId="0" fontId="0" fillId="8" borderId="20" xfId="0" applyFill="1" applyBorder="1"/>
    <xf numFmtId="0" fontId="0" fillId="9" borderId="20" xfId="0" applyFill="1" applyBorder="1"/>
    <xf numFmtId="0" fontId="0" fillId="0" borderId="21" xfId="0" applyBorder="1"/>
    <xf numFmtId="0" fontId="0" fillId="0" borderId="22" xfId="0" applyBorder="1"/>
    <xf numFmtId="0" fontId="0" fillId="7" borderId="22" xfId="0" applyFill="1" applyBorder="1"/>
    <xf numFmtId="0" fontId="0" fillId="9" borderId="23" xfId="0" applyFill="1" applyBorder="1"/>
    <xf numFmtId="0" fontId="0" fillId="22" borderId="0" xfId="0" applyFill="1" applyAlignment="1">
      <alignment horizontal="left" vertical="center" wrapText="1"/>
    </xf>
    <xf numFmtId="0" fontId="24" fillId="22" borderId="0" xfId="0" applyFont="1" applyFill="1" applyAlignment="1">
      <alignment horizontal="left" vertical="center" wrapText="1"/>
    </xf>
    <xf numFmtId="165" fontId="5" fillId="0" borderId="1" xfId="0" applyNumberFormat="1" applyFont="1" applyBorder="1" applyAlignment="1">
      <alignment horizontal="center" vertical="center" wrapText="1"/>
    </xf>
    <xf numFmtId="0" fontId="43" fillId="10" borderId="15" xfId="4" applyFont="1" applyFill="1" applyBorder="1" applyAlignment="1">
      <alignment horizontal="left" vertical="top" wrapText="1"/>
    </xf>
  </cellXfs>
  <cellStyles count="6">
    <cellStyle name="Normal" xfId="0" builtinId="0"/>
    <cellStyle name="Normal 113" xfId="3" xr:uid="{57E0363F-0162-43BF-B91A-7C8FD541B8B0}"/>
    <cellStyle name="Normal 2" xfId="1" xr:uid="{00000000-0005-0000-0000-000001000000}"/>
    <cellStyle name="Normal 3" xfId="2" xr:uid="{975D9D24-F865-4B51-9137-BB61301AB272}"/>
    <cellStyle name="Normal 4" xfId="4" xr:uid="{0EBC8190-CC1F-470B-95D4-7A8A9C419E51}"/>
    <cellStyle name="Normal 5" xfId="5" xr:uid="{9263CD2A-8E92-4FA5-AB81-6E5098381E14}"/>
  </cellStyles>
  <dxfs count="74">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strike val="0"/>
        <outline val="0"/>
        <shadow val="0"/>
        <u val="none"/>
        <vertAlign val="baseline"/>
        <sz val="14"/>
        <name val="Calibri"/>
        <family val="2"/>
        <scheme val="minor"/>
      </font>
      <alignment horizontal="left" vertical="center" textRotation="0" wrapText="1" indent="0" justifyLastLine="0" shrinkToFit="0" readingOrder="0"/>
    </dxf>
    <dxf>
      <font>
        <b val="0"/>
        <strike val="0"/>
        <outline val="0"/>
        <shadow val="0"/>
        <u val="none"/>
        <vertAlign val="baseline"/>
        <sz val="11"/>
        <color theme="1"/>
        <name val="Calibri"/>
        <family val="2"/>
        <scheme val="minor"/>
      </font>
      <alignment horizontal="left" vertical="center" textRotation="0" wrapText="1" indent="0" justifyLastLine="0" shrinkToFit="0" readingOrder="0"/>
    </dxf>
    <dxf>
      <font>
        <b/>
        <strike val="0"/>
        <outline val="0"/>
        <shadow val="0"/>
        <u val="none"/>
        <vertAlign val="baseline"/>
        <sz val="14"/>
        <name val="Calibri"/>
        <family val="2"/>
        <scheme val="minor"/>
      </font>
      <alignment horizontal="left" vertical="center" textRotation="0" wrapText="1" indent="0" justifyLastLine="0" shrinkToFit="0" readingOrder="0"/>
    </dxf>
    <dxf>
      <font>
        <b/>
        <strike val="0"/>
        <outline val="0"/>
        <shadow val="0"/>
        <u val="none"/>
        <vertAlign val="baseline"/>
        <sz val="14"/>
        <name val="Calibri"/>
        <family val="2"/>
        <scheme val="minor"/>
      </font>
      <alignment horizontal="left" vertical="center" textRotation="0" wrapText="1" indent="0" justifyLastLine="0" shrinkToFit="0" readingOrder="0"/>
    </dxf>
    <dxf>
      <font>
        <b/>
        <strike val="0"/>
        <outline val="0"/>
        <shadow val="0"/>
        <u val="none"/>
        <vertAlign val="baseline"/>
        <sz val="14"/>
        <name val="Calibri"/>
        <family val="2"/>
        <scheme val="minor"/>
      </font>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9"/>
        <color theme="1"/>
        <name val="Calibri"/>
        <family val="2"/>
        <scheme val="minor"/>
      </font>
      <alignment horizontal="left" vertical="center" textRotation="0" wrapText="1" indent="0" justifyLastLine="0" shrinkToFit="0" readingOrder="0"/>
    </dxf>
    <dxf>
      <font>
        <strike val="0"/>
        <outline val="0"/>
        <shadow val="0"/>
        <u val="none"/>
        <vertAlign val="baseline"/>
        <sz val="9"/>
        <color theme="1"/>
        <name val="Calibri"/>
        <family val="2"/>
        <scheme val="minor"/>
      </font>
      <alignment horizontal="left" vertical="center" textRotation="0" wrapText="1" indent="0" justifyLastLine="0" shrinkToFit="0" readingOrder="0"/>
    </dxf>
    <dxf>
      <font>
        <strike val="0"/>
        <outline val="0"/>
        <shadow val="0"/>
        <u val="none"/>
        <vertAlign val="baseline"/>
        <sz val="9"/>
        <color theme="1"/>
        <name val="Calibri"/>
        <family val="2"/>
        <scheme val="minor"/>
      </font>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6" formatCode="yyyy\.mm\.dd;@"/>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6" formatCode="yyyy\.mm\.dd;@"/>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5" formatCode="mmm\ dd\,\ yy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5" formatCode="mmm\ dd\,\ yy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5" formatCode="mmm\ dd\,\ yyyy"/>
      <fill>
        <patternFill patternType="none">
          <fgColor indexed="64"/>
          <bgColor indexed="65"/>
        </patternFill>
      </fill>
      <alignment horizontal="center" vertical="center"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left/>
        <right style="thin">
          <color theme="0" tint="-0.249977111117893"/>
        </right>
        <top style="thin">
          <color theme="0" tint="-0.249977111117893"/>
        </top>
        <bottom style="thin">
          <color theme="0" tint="-0.249977111117893"/>
        </bottom>
        <vertical/>
        <horizontal/>
      </border>
    </dxf>
    <dxf>
      <border outline="0">
        <left style="thin">
          <color rgb="FFBFBFBF"/>
        </left>
        <bottom style="thin">
          <color rgb="FFBFBFBF"/>
        </bottom>
      </border>
    </dxf>
    <dxf>
      <font>
        <b val="0"/>
        <i val="0"/>
        <strike val="0"/>
        <condense val="0"/>
        <extend val="0"/>
        <outline val="0"/>
        <shadow val="0"/>
        <u val="none"/>
        <vertAlign val="baseline"/>
        <sz val="12"/>
        <color rgb="FF000000"/>
        <name val="Arial"/>
        <family val="2"/>
        <scheme val="none"/>
      </font>
      <fill>
        <patternFill patternType="none">
          <fgColor rgb="FF000000"/>
          <bgColor rgb="FFFFFFFF"/>
        </patternFill>
      </fill>
      <alignment horizontal="center" vertical="center" textRotation="0" wrapText="1" indent="0" justifyLastLine="0" shrinkToFit="0" readingOrder="0"/>
    </dxf>
    <dxf>
      <fill>
        <patternFill>
          <bgColor theme="5" tint="0.79998168889431442"/>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6" formatCode="yyyy\.mm\.dd;@"/>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5" formatCode="mmm\ dd\,\ yy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5" formatCode="mmm\ dd\,\ yy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i val="0"/>
        <strike val="0"/>
        <condense val="0"/>
        <extend val="0"/>
        <outline val="0"/>
        <shadow val="0"/>
        <u val="none"/>
        <vertAlign val="baseline"/>
        <sz val="12"/>
        <color theme="1"/>
        <name val="Arial"/>
        <family val="2"/>
        <scheme val="none"/>
      </font>
      <numFmt numFmtId="0" formatCode="General"/>
      <fill>
        <patternFill patternType="solid">
          <fgColor indexed="64"/>
          <bgColor theme="3" tint="0.79998168889431442"/>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6" formatCode="yyyy\.mm\.dd;@"/>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2"/>
        <color theme="1"/>
        <name val="Arial"/>
        <family val="2"/>
        <scheme val="none"/>
      </font>
      <numFmt numFmtId="164" formatCode="m/d/yy;@"/>
      <fill>
        <patternFill patternType="none">
          <fgColor indexed="64"/>
          <bgColor indexed="65"/>
        </patternFill>
      </fill>
      <alignment horizontal="center" vertical="center" textRotation="0" wrapText="1" indent="0" justifyLastLine="0" shrinkToFit="0" readingOrder="0"/>
      <border diagonalUp="0" diagonalDown="0">
        <left/>
        <right style="thin">
          <color theme="0" tint="-0.249977111117893"/>
        </right>
        <top style="thin">
          <color theme="0" tint="-0.249977111117893"/>
        </top>
        <bottom style="thin">
          <color theme="0" tint="-0.249977111117893"/>
        </bottom>
        <vertical/>
        <horizontal/>
      </border>
    </dxf>
    <dxf>
      <border outline="0">
        <left style="thin">
          <color theme="0" tint="-0.249977111117893"/>
        </left>
        <bottom style="thin">
          <color theme="0" tint="-0.249977111117893"/>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center" vertical="center" textRotation="0" wrapText="1" indent="0" justifyLastLine="0" shrinkToFit="0" readingOrder="0"/>
    </dxf>
    <dxf>
      <fill>
        <patternFill>
          <bgColor rgb="FFA8D08C"/>
        </patternFill>
      </fill>
    </dxf>
    <dxf>
      <fill>
        <patternFill>
          <bgColor rgb="FFFFFF00"/>
        </patternFill>
      </fill>
    </dxf>
    <dxf>
      <fill>
        <patternFill>
          <bgColor rgb="FFC00000"/>
        </patternFill>
      </fill>
    </dxf>
    <dxf>
      <fill>
        <patternFill>
          <bgColor theme="5"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Medium7"/>
  <colors>
    <mruColors>
      <color rgb="FFA8D08C"/>
      <color rgb="FFE1E7EF"/>
      <color rgb="FF6E7E93"/>
      <color rgb="FF94AAC6"/>
      <color rgb="FFD0D6DE"/>
      <color rgb="FFF9F9F9"/>
      <color rgb="FFFAEAE3"/>
      <color rgb="FFFF8A47"/>
      <color rgb="FFFEAE63"/>
      <color rgb="FFF6FD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xdr:col>
      <xdr:colOff>88446</xdr:colOff>
      <xdr:row>1</xdr:row>
      <xdr:rowOff>54427</xdr:rowOff>
    </xdr:from>
    <xdr:to>
      <xdr:col>3</xdr:col>
      <xdr:colOff>5291</xdr:colOff>
      <xdr:row>3</xdr:row>
      <xdr:rowOff>421821</xdr:rowOff>
    </xdr:to>
    <mc:AlternateContent xmlns:mc="http://schemas.openxmlformats.org/markup-compatibility/2006" xmlns:sle15="http://schemas.microsoft.com/office/drawing/2012/slicer">
      <mc:Choice Requires="sle15">
        <xdr:graphicFrame macro="">
          <xdr:nvGraphicFramePr>
            <xdr:cNvPr id="2" name="Status">
              <a:extLst>
                <a:ext uri="{FF2B5EF4-FFF2-40B4-BE49-F238E27FC236}">
                  <a16:creationId xmlns:a16="http://schemas.microsoft.com/office/drawing/2014/main" id="{0443C66F-E46C-4110-94DE-7494087E371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33375" y="680356"/>
              <a:ext cx="1816553" cy="161925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170090</xdr:colOff>
      <xdr:row>1</xdr:row>
      <xdr:rowOff>68035</xdr:rowOff>
    </xdr:from>
    <xdr:to>
      <xdr:col>4</xdr:col>
      <xdr:colOff>964748</xdr:colOff>
      <xdr:row>3</xdr:row>
      <xdr:rowOff>435428</xdr:rowOff>
    </xdr:to>
    <mc:AlternateContent xmlns:mc="http://schemas.openxmlformats.org/markup-compatibility/2006" xmlns:sle15="http://schemas.microsoft.com/office/drawing/2012/slicer">
      <mc:Choice Requires="sle15">
        <xdr:graphicFrame macro="">
          <xdr:nvGraphicFramePr>
            <xdr:cNvPr id="3" name="SOURCE">
              <a:extLst>
                <a:ext uri="{FF2B5EF4-FFF2-40B4-BE49-F238E27FC236}">
                  <a16:creationId xmlns:a16="http://schemas.microsoft.com/office/drawing/2014/main" id="{CE819ACC-4EA3-4C79-B8FF-03EA90AB1A65}"/>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2320019" y="693964"/>
              <a:ext cx="1828800" cy="16192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ith S. Crawford" refreshedDate="44209.544875347223" createdVersion="6" refreshedVersion="6" minRefreshableVersion="3" recordCount="50" xr:uid="{99BC5D26-AB4A-468F-9DC1-ED07A07D0FDF}">
  <cacheSource type="worksheet">
    <worksheetSource name="Tbl_RiskRegister"/>
  </cacheSource>
  <cacheFields count="16">
    <cacheField name="RISK_x000a_ID" numFmtId="164">
      <sharedItems/>
    </cacheField>
    <cacheField name="SOURCE" numFmtId="164">
      <sharedItems containsNonDate="0" containsString="0" containsBlank="1"/>
    </cacheField>
    <cacheField name="DATE _x000a_Identified" numFmtId="166">
      <sharedItems containsNonDate="0" containsString="0" containsBlank="1"/>
    </cacheField>
    <cacheField name="Risk Name" numFmtId="164">
      <sharedItems containsNonDate="0" containsBlank="1" count="50">
        <m/>
        <s v="Contracts: IR" u="1"/>
        <s v="Physical Media Destruction" u="1"/>
        <s v="UPS Maintenance" u="1"/>
        <s v="Email Forwarding" u="1"/>
        <s v="Security Event Alerting" u="1"/>
        <s v="Security Event Detection" u="1"/>
        <s v="Clouberry/Ninja SCRM Review" u="1"/>
        <s v="Performance Baseline" u="1"/>
        <s v="Contracts: Data Destruction" u="1"/>
        <s v="PenTest 2020" u="1"/>
        <s v="Log Assurance" u="1"/>
        <s v="User Access Review" u="1"/>
        <s v="Exposed Credentials" u="1"/>
        <s v="New Employee Physical Access" u="1"/>
        <s v="SCRM Revision" u="1"/>
        <s v="WAN Single-Path" u="1"/>
        <s v="IR: Detect and Trigger" u="1"/>
        <s v="Log Monitoring" u="1"/>
        <s v="Phone System Outage" u="1"/>
        <s v="Vendor Access Monitoring" u="1"/>
        <s v="Lack of IR Plan" u="1"/>
        <s v="Browser Extensions" u="1"/>
        <s v="IR: Team" u="1"/>
        <s v="Backup Failure Ticket" u="1"/>
        <s v="Remote Access" u="1"/>
        <s v="365: Password Reset" u="1"/>
        <s v="Finastra Ransomware" u="1"/>
        <s v="365 Outage Awareness" u="1"/>
        <s v="Contracts: Noncompliance Recourse" u="1"/>
        <s v="365: MFA Admins" u="1"/>
        <s v="Windows Audit Logging" u="1"/>
        <s v="User Review" u="1"/>
        <s v="Config Baseline" u="1"/>
        <s v="User Review Documentation" u="1"/>
        <s v="Wkst Data Loss" u="1"/>
        <s v="Admin User Monitoring" u="1"/>
        <s v="365: App Install Controls" u="1"/>
        <s v="365: MFA Users" u="1"/>
        <s v="Firewall Rule: ALG" u="1"/>
        <s v="Network Infra. Config Mgmt." u="1"/>
        <s v="Admin Control &amp; Log" u="1"/>
        <s v="Contract: Independent Review" u="1"/>
        <s v="365: Legacy Auth" u="1"/>
        <s v="IR: Notification" u="1"/>
        <s v="Disable Physical Ports" u="1"/>
        <s v="Log Review" u="1"/>
        <s v="Data Flow Diagram" u="1"/>
        <s v="Asset Inventory &amp; Classification" u="1"/>
        <s v="BCDR: Core Director" u="1"/>
      </sharedItems>
    </cacheField>
    <cacheField name="Risk Description" numFmtId="164">
      <sharedItems containsNonDate="0" containsString="0" containsBlank="1"/>
    </cacheField>
    <cacheField name="Framework Reference" numFmtId="164">
      <sharedItems containsNonDate="0" containsString="0" containsBlank="1"/>
    </cacheField>
    <cacheField name="Likelihood" numFmtId="0">
      <sharedItems containsString="0" containsBlank="1" containsNumber="1" containsInteger="1" minValue="2" maxValue="2"/>
    </cacheField>
    <cacheField name="Impact" numFmtId="0">
      <sharedItems containsString="0" containsBlank="1" containsNumber="1" containsInteger="1" minValue="5" maxValue="5"/>
    </cacheField>
    <cacheField name="Risk Score" numFmtId="0">
      <sharedItems containsString="0" containsBlank="1" containsNumber="1" containsInteger="1" minValue="4" maxValue="25" count="12">
        <n v="10"/>
        <m/>
        <n v="12" u="1"/>
        <n v="25" u="1"/>
        <n v="6" u="1"/>
        <n v="15" u="1"/>
        <n v="16" u="1"/>
        <n v="8" u="1"/>
        <n v="4" u="1"/>
        <n v="9" u="1"/>
        <n v="20" u="1"/>
        <n v="5" u="1"/>
      </sharedItems>
    </cacheField>
    <cacheField name="Mitigation_x000a_Plan" numFmtId="0">
      <sharedItems containsNonDate="0" containsString="0" containsBlank="1"/>
    </cacheField>
    <cacheField name="Mitigation_x000a_Milestones &amp;  Changes" numFmtId="165">
      <sharedItems containsNonDate="0" containsString="0" containsBlank="1"/>
    </cacheField>
    <cacheField name="Point of Contact" numFmtId="165">
      <sharedItems containsNonDate="0" containsString="0" containsBlank="1"/>
    </cacheField>
    <cacheField name="Control(s)_x000a_or_x000a_Mitigation Action" numFmtId="0">
      <sharedItems containsNonDate="0" containsString="0" containsBlank="1"/>
    </cacheField>
    <cacheField name="Status" numFmtId="0">
      <sharedItems containsNonDate="0" containsBlank="1" count="4">
        <m/>
        <s v="Acceptable Risk" u="1"/>
        <s v="Sufficient Controls" u="1"/>
        <s v="Deficient Controls" u="1"/>
      </sharedItems>
    </cacheField>
    <cacheField name="DATE_x000a_Status" numFmtId="166">
      <sharedItems containsNonDate="0" containsString="0" containsBlank="1"/>
    </cacheField>
    <cacheField name="Review Needed?" numFmtId="1">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RR001"/>
    <m/>
    <m/>
    <x v="0"/>
    <m/>
    <m/>
    <n v="2"/>
    <n v="5"/>
    <x v="0"/>
    <m/>
    <m/>
    <m/>
    <m/>
    <x v="0"/>
    <m/>
    <s v=""/>
  </r>
  <r>
    <s v="RR002"/>
    <m/>
    <m/>
    <x v="0"/>
    <m/>
    <m/>
    <m/>
    <m/>
    <x v="1"/>
    <m/>
    <m/>
    <m/>
    <m/>
    <x v="0"/>
    <m/>
    <m/>
  </r>
  <r>
    <s v="RR003"/>
    <m/>
    <m/>
    <x v="0"/>
    <m/>
    <m/>
    <m/>
    <m/>
    <x v="1"/>
    <m/>
    <m/>
    <m/>
    <m/>
    <x v="0"/>
    <m/>
    <m/>
  </r>
  <r>
    <s v="RR004"/>
    <m/>
    <m/>
    <x v="0"/>
    <m/>
    <m/>
    <m/>
    <m/>
    <x v="1"/>
    <m/>
    <m/>
    <m/>
    <m/>
    <x v="0"/>
    <m/>
    <m/>
  </r>
  <r>
    <s v="RR005"/>
    <m/>
    <m/>
    <x v="0"/>
    <m/>
    <m/>
    <m/>
    <m/>
    <x v="1"/>
    <m/>
    <m/>
    <m/>
    <m/>
    <x v="0"/>
    <m/>
    <m/>
  </r>
  <r>
    <s v="RR006"/>
    <m/>
    <m/>
    <x v="0"/>
    <m/>
    <m/>
    <m/>
    <m/>
    <x v="1"/>
    <m/>
    <m/>
    <m/>
    <m/>
    <x v="0"/>
    <m/>
    <m/>
  </r>
  <r>
    <s v="RR007"/>
    <m/>
    <m/>
    <x v="0"/>
    <m/>
    <m/>
    <m/>
    <m/>
    <x v="1"/>
    <m/>
    <m/>
    <m/>
    <m/>
    <x v="0"/>
    <m/>
    <m/>
  </r>
  <r>
    <s v="RR008"/>
    <m/>
    <m/>
    <x v="0"/>
    <m/>
    <m/>
    <m/>
    <m/>
    <x v="1"/>
    <m/>
    <m/>
    <m/>
    <m/>
    <x v="0"/>
    <m/>
    <m/>
  </r>
  <r>
    <s v="RR009"/>
    <m/>
    <m/>
    <x v="0"/>
    <m/>
    <m/>
    <m/>
    <m/>
    <x v="1"/>
    <m/>
    <m/>
    <m/>
    <m/>
    <x v="0"/>
    <m/>
    <m/>
  </r>
  <r>
    <s v="RR010"/>
    <m/>
    <m/>
    <x v="0"/>
    <m/>
    <m/>
    <m/>
    <m/>
    <x v="1"/>
    <m/>
    <m/>
    <m/>
    <m/>
    <x v="0"/>
    <m/>
    <m/>
  </r>
  <r>
    <s v="RR011"/>
    <m/>
    <m/>
    <x v="0"/>
    <m/>
    <m/>
    <m/>
    <m/>
    <x v="1"/>
    <m/>
    <m/>
    <m/>
    <m/>
    <x v="0"/>
    <m/>
    <m/>
  </r>
  <r>
    <s v="RR012"/>
    <m/>
    <m/>
    <x v="0"/>
    <m/>
    <m/>
    <m/>
    <m/>
    <x v="1"/>
    <m/>
    <m/>
    <m/>
    <m/>
    <x v="0"/>
    <m/>
    <m/>
  </r>
  <r>
    <s v="RR013"/>
    <m/>
    <m/>
    <x v="0"/>
    <m/>
    <m/>
    <m/>
    <m/>
    <x v="1"/>
    <m/>
    <m/>
    <m/>
    <m/>
    <x v="0"/>
    <m/>
    <m/>
  </r>
  <r>
    <s v="RR014"/>
    <m/>
    <m/>
    <x v="0"/>
    <m/>
    <m/>
    <m/>
    <m/>
    <x v="1"/>
    <m/>
    <m/>
    <m/>
    <m/>
    <x v="0"/>
    <m/>
    <m/>
  </r>
  <r>
    <s v="RR015"/>
    <m/>
    <m/>
    <x v="0"/>
    <m/>
    <m/>
    <m/>
    <m/>
    <x v="1"/>
    <m/>
    <m/>
    <m/>
    <m/>
    <x v="0"/>
    <m/>
    <m/>
  </r>
  <r>
    <s v="RR016"/>
    <m/>
    <m/>
    <x v="0"/>
    <m/>
    <m/>
    <m/>
    <m/>
    <x v="1"/>
    <m/>
    <m/>
    <m/>
    <m/>
    <x v="0"/>
    <m/>
    <m/>
  </r>
  <r>
    <s v="RR017"/>
    <m/>
    <m/>
    <x v="0"/>
    <m/>
    <m/>
    <m/>
    <m/>
    <x v="1"/>
    <m/>
    <m/>
    <m/>
    <m/>
    <x v="0"/>
    <m/>
    <m/>
  </r>
  <r>
    <s v="RR018"/>
    <m/>
    <m/>
    <x v="0"/>
    <m/>
    <m/>
    <m/>
    <m/>
    <x v="1"/>
    <m/>
    <m/>
    <m/>
    <m/>
    <x v="0"/>
    <m/>
    <m/>
  </r>
  <r>
    <s v="RR019"/>
    <m/>
    <m/>
    <x v="0"/>
    <m/>
    <m/>
    <m/>
    <m/>
    <x v="1"/>
    <m/>
    <m/>
    <m/>
    <m/>
    <x v="0"/>
    <m/>
    <m/>
  </r>
  <r>
    <s v="RR020"/>
    <m/>
    <m/>
    <x v="0"/>
    <m/>
    <m/>
    <m/>
    <m/>
    <x v="1"/>
    <m/>
    <m/>
    <m/>
    <m/>
    <x v="0"/>
    <m/>
    <m/>
  </r>
  <r>
    <s v="RR021"/>
    <m/>
    <m/>
    <x v="0"/>
    <m/>
    <m/>
    <m/>
    <m/>
    <x v="1"/>
    <m/>
    <m/>
    <m/>
    <m/>
    <x v="0"/>
    <m/>
    <m/>
  </r>
  <r>
    <s v="RR022"/>
    <m/>
    <m/>
    <x v="0"/>
    <m/>
    <m/>
    <m/>
    <m/>
    <x v="1"/>
    <m/>
    <m/>
    <m/>
    <m/>
    <x v="0"/>
    <m/>
    <m/>
  </r>
  <r>
    <s v="RR023"/>
    <m/>
    <m/>
    <x v="0"/>
    <m/>
    <m/>
    <m/>
    <m/>
    <x v="1"/>
    <m/>
    <m/>
    <m/>
    <m/>
    <x v="0"/>
    <m/>
    <m/>
  </r>
  <r>
    <s v="RR024"/>
    <m/>
    <m/>
    <x v="0"/>
    <m/>
    <m/>
    <m/>
    <m/>
    <x v="1"/>
    <m/>
    <m/>
    <m/>
    <m/>
    <x v="0"/>
    <m/>
    <m/>
  </r>
  <r>
    <s v="RR025"/>
    <m/>
    <m/>
    <x v="0"/>
    <m/>
    <m/>
    <m/>
    <m/>
    <x v="1"/>
    <m/>
    <m/>
    <m/>
    <m/>
    <x v="0"/>
    <m/>
    <m/>
  </r>
  <r>
    <s v="RR026"/>
    <m/>
    <m/>
    <x v="0"/>
    <m/>
    <m/>
    <m/>
    <m/>
    <x v="1"/>
    <m/>
    <m/>
    <m/>
    <m/>
    <x v="0"/>
    <m/>
    <m/>
  </r>
  <r>
    <s v="RR027"/>
    <m/>
    <m/>
    <x v="0"/>
    <m/>
    <m/>
    <m/>
    <m/>
    <x v="1"/>
    <m/>
    <m/>
    <m/>
    <m/>
    <x v="0"/>
    <m/>
    <m/>
  </r>
  <r>
    <s v="RR028"/>
    <m/>
    <m/>
    <x v="0"/>
    <m/>
    <m/>
    <m/>
    <m/>
    <x v="1"/>
    <m/>
    <m/>
    <m/>
    <m/>
    <x v="0"/>
    <m/>
    <m/>
  </r>
  <r>
    <s v="RR029"/>
    <m/>
    <m/>
    <x v="0"/>
    <m/>
    <m/>
    <m/>
    <m/>
    <x v="1"/>
    <m/>
    <m/>
    <m/>
    <m/>
    <x v="0"/>
    <m/>
    <m/>
  </r>
  <r>
    <s v="RR030"/>
    <m/>
    <m/>
    <x v="0"/>
    <m/>
    <m/>
    <m/>
    <m/>
    <x v="1"/>
    <m/>
    <m/>
    <m/>
    <m/>
    <x v="0"/>
    <m/>
    <m/>
  </r>
  <r>
    <s v="RR031"/>
    <m/>
    <m/>
    <x v="0"/>
    <m/>
    <m/>
    <m/>
    <m/>
    <x v="1"/>
    <m/>
    <m/>
    <m/>
    <m/>
    <x v="0"/>
    <m/>
    <m/>
  </r>
  <r>
    <s v="RR032"/>
    <m/>
    <m/>
    <x v="0"/>
    <m/>
    <m/>
    <m/>
    <m/>
    <x v="1"/>
    <m/>
    <m/>
    <m/>
    <m/>
    <x v="0"/>
    <m/>
    <m/>
  </r>
  <r>
    <s v="RR033"/>
    <m/>
    <m/>
    <x v="0"/>
    <m/>
    <m/>
    <m/>
    <m/>
    <x v="1"/>
    <m/>
    <m/>
    <m/>
    <m/>
    <x v="0"/>
    <m/>
    <m/>
  </r>
  <r>
    <s v="RR034"/>
    <m/>
    <m/>
    <x v="0"/>
    <m/>
    <m/>
    <m/>
    <m/>
    <x v="1"/>
    <m/>
    <m/>
    <m/>
    <m/>
    <x v="0"/>
    <m/>
    <m/>
  </r>
  <r>
    <s v="RR035"/>
    <m/>
    <m/>
    <x v="0"/>
    <m/>
    <m/>
    <m/>
    <m/>
    <x v="1"/>
    <m/>
    <m/>
    <m/>
    <m/>
    <x v="0"/>
    <m/>
    <m/>
  </r>
  <r>
    <s v="RR036"/>
    <m/>
    <m/>
    <x v="0"/>
    <m/>
    <m/>
    <m/>
    <m/>
    <x v="1"/>
    <m/>
    <m/>
    <m/>
    <m/>
    <x v="0"/>
    <m/>
    <m/>
  </r>
  <r>
    <s v="RR037"/>
    <m/>
    <m/>
    <x v="0"/>
    <m/>
    <m/>
    <m/>
    <m/>
    <x v="1"/>
    <m/>
    <m/>
    <m/>
    <m/>
    <x v="0"/>
    <m/>
    <m/>
  </r>
  <r>
    <s v="RR038"/>
    <m/>
    <m/>
    <x v="0"/>
    <m/>
    <m/>
    <m/>
    <m/>
    <x v="1"/>
    <m/>
    <m/>
    <m/>
    <m/>
    <x v="0"/>
    <m/>
    <m/>
  </r>
  <r>
    <s v="RR039"/>
    <m/>
    <m/>
    <x v="0"/>
    <m/>
    <m/>
    <m/>
    <m/>
    <x v="1"/>
    <m/>
    <m/>
    <m/>
    <m/>
    <x v="0"/>
    <m/>
    <m/>
  </r>
  <r>
    <s v="RR040"/>
    <m/>
    <m/>
    <x v="0"/>
    <m/>
    <m/>
    <m/>
    <m/>
    <x v="1"/>
    <m/>
    <m/>
    <m/>
    <m/>
    <x v="0"/>
    <m/>
    <m/>
  </r>
  <r>
    <s v="RR041"/>
    <m/>
    <m/>
    <x v="0"/>
    <m/>
    <m/>
    <m/>
    <m/>
    <x v="1"/>
    <m/>
    <m/>
    <m/>
    <m/>
    <x v="0"/>
    <m/>
    <m/>
  </r>
  <r>
    <s v="RR042"/>
    <m/>
    <m/>
    <x v="0"/>
    <m/>
    <m/>
    <m/>
    <m/>
    <x v="1"/>
    <m/>
    <m/>
    <m/>
    <m/>
    <x v="0"/>
    <m/>
    <m/>
  </r>
  <r>
    <s v="RR043"/>
    <m/>
    <m/>
    <x v="0"/>
    <m/>
    <m/>
    <m/>
    <m/>
    <x v="1"/>
    <m/>
    <m/>
    <m/>
    <m/>
    <x v="0"/>
    <m/>
    <m/>
  </r>
  <r>
    <s v="RR044"/>
    <m/>
    <m/>
    <x v="0"/>
    <m/>
    <m/>
    <m/>
    <m/>
    <x v="1"/>
    <m/>
    <m/>
    <m/>
    <m/>
    <x v="0"/>
    <m/>
    <m/>
  </r>
  <r>
    <s v="RR045"/>
    <m/>
    <m/>
    <x v="0"/>
    <m/>
    <m/>
    <m/>
    <m/>
    <x v="1"/>
    <m/>
    <m/>
    <m/>
    <m/>
    <x v="0"/>
    <m/>
    <m/>
  </r>
  <r>
    <s v="RR046"/>
    <m/>
    <m/>
    <x v="0"/>
    <m/>
    <m/>
    <m/>
    <m/>
    <x v="1"/>
    <m/>
    <m/>
    <m/>
    <m/>
    <x v="0"/>
    <m/>
    <m/>
  </r>
  <r>
    <s v="RR047"/>
    <m/>
    <m/>
    <x v="0"/>
    <m/>
    <m/>
    <m/>
    <m/>
    <x v="1"/>
    <m/>
    <m/>
    <m/>
    <m/>
    <x v="0"/>
    <m/>
    <m/>
  </r>
  <r>
    <s v="RR048"/>
    <m/>
    <m/>
    <x v="0"/>
    <m/>
    <m/>
    <m/>
    <m/>
    <x v="1"/>
    <m/>
    <m/>
    <m/>
    <m/>
    <x v="0"/>
    <m/>
    <m/>
  </r>
  <r>
    <s v="RR049"/>
    <m/>
    <m/>
    <x v="0"/>
    <m/>
    <m/>
    <m/>
    <m/>
    <x v="1"/>
    <m/>
    <m/>
    <m/>
    <m/>
    <x v="0"/>
    <m/>
    <m/>
  </r>
  <r>
    <s v="RR050"/>
    <m/>
    <m/>
    <x v="0"/>
    <m/>
    <m/>
    <m/>
    <m/>
    <x v="1"/>
    <m/>
    <m/>
    <m/>
    <m/>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A6CB5F-2FC2-4DCF-B59D-7A7B58F19983}" name="PTbl_RiskbyScore"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Risk Score">
  <location ref="A11:B12" firstHeaderRow="1" firstDataRow="2" firstDataCol="1"/>
  <pivotFields count="16">
    <pivotField dataField="1" showAll="0"/>
    <pivotField showAll="0"/>
    <pivotField showAll="0"/>
    <pivotField axis="axisRow" showAll="0">
      <items count="51">
        <item m="1" x="28"/>
        <item m="1" x="37"/>
        <item m="1" x="43"/>
        <item m="1" x="30"/>
        <item m="1" x="38"/>
        <item m="1" x="26"/>
        <item m="1" x="41"/>
        <item m="1" x="36"/>
        <item m="1" x="48"/>
        <item m="1" x="24"/>
        <item m="1" x="49"/>
        <item m="1" x="22"/>
        <item m="1" x="7"/>
        <item m="1" x="33"/>
        <item m="1" x="42"/>
        <item m="1" x="9"/>
        <item m="1" x="1"/>
        <item m="1" x="29"/>
        <item m="1" x="47"/>
        <item m="1" x="45"/>
        <item m="1" x="4"/>
        <item m="1" x="13"/>
        <item m="1" x="27"/>
        <item m="1" x="39"/>
        <item m="1" x="17"/>
        <item m="1" x="44"/>
        <item m="1" x="23"/>
        <item m="1" x="21"/>
        <item m="1" x="11"/>
        <item m="1" x="18"/>
        <item m="1" x="46"/>
        <item m="1" x="40"/>
        <item m="1" x="14"/>
        <item m="1" x="10"/>
        <item m="1" x="8"/>
        <item m="1" x="19"/>
        <item m="1" x="2"/>
        <item m="1" x="25"/>
        <item m="1" x="15"/>
        <item m="1" x="5"/>
        <item m="1" x="6"/>
        <item m="1" x="3"/>
        <item m="1" x="12"/>
        <item m="1" x="32"/>
        <item m="1" x="34"/>
        <item m="1" x="20"/>
        <item m="1" x="16"/>
        <item m="1" x="31"/>
        <item m="1" x="35"/>
        <item x="0"/>
        <item t="default"/>
      </items>
    </pivotField>
    <pivotField showAll="0"/>
    <pivotField showAll="0"/>
    <pivotField showAll="0"/>
    <pivotField showAll="0"/>
    <pivotField axis="axisRow" showAll="0">
      <items count="13">
        <item m="1" x="8"/>
        <item m="1" x="11"/>
        <item m="1" x="4"/>
        <item m="1" x="7"/>
        <item m="1" x="9"/>
        <item x="0"/>
        <item m="1" x="2"/>
        <item m="1" x="5"/>
        <item m="1" x="6"/>
        <item m="1" x="10"/>
        <item m="1" x="3"/>
        <item x="1"/>
        <item t="default"/>
      </items>
    </pivotField>
    <pivotField showAll="0"/>
    <pivotField showAll="0"/>
    <pivotField showAll="0"/>
    <pivotField showAll="0"/>
    <pivotField axis="axisCol" showAll="0">
      <items count="5">
        <item h="1" m="1" x="1"/>
        <item n="Risks w/ Deficient Controls" m="1" x="3"/>
        <item h="1" m="1" x="2"/>
        <item h="1" x="0"/>
        <item t="default"/>
      </items>
    </pivotField>
    <pivotField showAll="0"/>
    <pivotField showAll="0"/>
  </pivotFields>
  <rowFields count="2">
    <field x="8"/>
    <field x="3"/>
  </rowFields>
  <colFields count="1">
    <field x="13"/>
  </colFields>
  <dataFields count="1">
    <dataField name="Count of RISK_x000a_ID" fld="0"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ED0D3B-2E61-431C-8B37-74EC8A1FDB06}" name="Ptbl_Riskby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tus">
  <location ref="A4:B5" firstHeaderRow="1" firstDataRow="1" firstDataCol="1"/>
  <pivotFields count="1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m="1" x="1"/>
        <item m="1" x="3"/>
        <item m="1" x="2"/>
        <item h="1" x="0"/>
        <item t="default"/>
      </items>
    </pivotField>
    <pivotField showAll="0"/>
    <pivotField showAll="0"/>
  </pivotFields>
  <rowFields count="1">
    <field x="13"/>
  </rowFields>
  <rowItems count="1">
    <i t="grand">
      <x/>
    </i>
  </rowItems>
  <colItems count="1">
    <i/>
  </colItems>
  <dataFields count="1">
    <dataField name="# of Risks" fld="0"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F17918E-BEC1-4292-A6B2-D48DDE1FE6FB}" sourceName="Status">
  <extLst>
    <x:ext xmlns:x15="http://schemas.microsoft.com/office/spreadsheetml/2010/11/main" uri="{2F2917AC-EB37-4324-AD4E-5DD8C200BD13}">
      <x15:tableSlicerCache tableId="1" column="14"/>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9E58FED1-3A2D-4EC6-AFD8-C6D21720AAE6}" sourceName="SOURCE">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AA4A2439-A919-4D86-875C-383F7A45905F}" cache="Slicer_Status" caption="Status" rowHeight="257175"/>
  <slicer name="SOURCE" xr10:uid="{AFDCB55C-332E-4865-8C41-2274ED318FDF}" cache="Slicer_SOURCE" caption="SOURC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A1138E-4AA2-4AC3-8FEA-D6221C2E40D6}" name="Tbl_RiskRegister" displayName="Tbl_RiskRegister" ref="B5:U55" totalsRowShown="0" dataDxfId="66" tableBorderDxfId="65">
  <autoFilter ref="B5:U55" xr:uid="{7E2714DC-35D7-4213-850D-6898F3BC2483}"/>
  <tableColumns count="20">
    <tableColumn id="1" xr3:uid="{602BAD31-558C-41FF-884F-9FDA0B2CFFA0}" name="RISK_x000a_ID" dataDxfId="64"/>
    <tableColumn id="2" xr3:uid="{09AD002B-5795-4B27-A300-6201A097E237}" name="SOURCE" dataDxfId="63"/>
    <tableColumn id="3" xr3:uid="{E130C8AC-F09F-4201-B558-DFED7B45D0FC}" name="DATE _x000a_Identified" dataDxfId="62"/>
    <tableColumn id="4" xr3:uid="{D130FF79-8A66-499A-8B44-88B3AFBE91BA}" name="Risk Name" dataDxfId="61"/>
    <tableColumn id="5" xr3:uid="{F8D5AF06-D6D4-4759-A883-E83358DA2D73}" name="Risk Description" dataDxfId="60"/>
    <tableColumn id="6" xr3:uid="{1CD1E0CB-1AFE-493D-9085-AD3463FEC70D}" name="Framework Reference" dataDxfId="59"/>
    <tableColumn id="7" xr3:uid="{D7046E35-83F9-428B-AC64-2AAF08B3EA1E}" name="Likelihood" dataDxfId="58"/>
    <tableColumn id="18" xr3:uid="{4F4E0122-6E55-47F7-B8BF-A238F5010A86}" name="SCORE Likelihood" dataDxfId="57">
      <calculatedColumnFormula>VLOOKUP(Tbl_RiskRegister[[#This Row],[Likelihood]],KEY!$G$3:$H$7,2,)</calculatedColumnFormula>
    </tableColumn>
    <tableColumn id="8" xr3:uid="{D1E65E5E-7E5C-4914-BA68-17B2EAE556C6}" name="Impact" dataDxfId="56"/>
    <tableColumn id="19" xr3:uid="{78F4AA93-1530-48CF-A943-38689FC1DE7D}" name="SCORE Impact" dataDxfId="55">
      <calculatedColumnFormula>VLOOKUP(Tbl_RiskRegister[[#This Row],[Impact]],KEY!$J$3:$K$7,2,0)</calculatedColumnFormula>
    </tableColumn>
    <tableColumn id="20" xr3:uid="{37A542DA-0789-49DA-A0EB-59A2BB828557}" name="SCORE Risk" dataDxfId="54">
      <calculatedColumnFormula>Tbl_RiskRegister[[#This Row],[SCORE Likelihood]]*Tbl_RiskRegister[[#This Row],[SCORE Impact]]</calculatedColumnFormula>
    </tableColumn>
    <tableColumn id="9" xr3:uid="{A040077A-A4B6-4EA6-9FCD-F69E8BA7E9D5}" name="Risk Rating" dataDxfId="53">
      <calculatedColumnFormula>IF(Tbl_RiskRegister[[#This Row],[SCORE Risk]]&lt;=7,"Low",(IF(Tbl_RiskRegister[[#This Row],[SCORE Risk]]&lt;=19,"Medium",(IF(Tbl_RiskRegister[[#This Row],[SCORE Risk]]&gt;19,"High","Error")))))</calculatedColumnFormula>
    </tableColumn>
    <tableColumn id="10" xr3:uid="{831829AC-7067-428F-B26B-82D642B7EA4D}" name="Mitigation_x000a_Plan" dataDxfId="52"/>
    <tableColumn id="11" xr3:uid="{86E0EF99-125E-40AD-A84D-F96048A0FC56}" name="Mitigation_x000a_Milestones &amp;  Changes" dataDxfId="51"/>
    <tableColumn id="12" xr3:uid="{1E6953A6-DAB7-49BD-B523-7C0B1442B8D6}" name="Point of Contact" dataDxfId="50"/>
    <tableColumn id="13" xr3:uid="{D12EE9B6-0197-4AEC-94A1-524E8F397FF2}" name="Control(s)_x000a_or_x000a_Mitigation Action" dataDxfId="49"/>
    <tableColumn id="17" xr3:uid="{6FBE281A-FA18-4C81-8EBC-3DD92932C3BC}" name="Control Reference" dataDxfId="48"/>
    <tableColumn id="14" xr3:uid="{26890968-96F0-44BC-A4FD-F306719B3DB9}" name="Status" dataDxfId="47"/>
    <tableColumn id="15" xr3:uid="{DC33FF43-3ED8-4975-9AC8-927B400A5DA8}" name="DATE_x000a_Status" dataDxfId="46"/>
    <tableColumn id="16" xr3:uid="{93132975-285E-4096-B8C6-713548E240A6}" name="Review Needed?" dataDxfId="45">
      <calculatedColumnFormula>IF(T6=0,"",(IF((TODAY()-T6)&gt;365,"YES","No")))</calculatedColumnFormula>
    </tableColumn>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1205C8-D231-49FA-8CA6-B178920BEAC4}" name="Tbl_ControlLib" displayName="Tbl_ControlLib" ref="B5:O55" totalsRowShown="0" dataDxfId="43" tableBorderDxfId="42">
  <autoFilter ref="B5:O55" xr:uid="{7E2714DC-35D7-4213-850D-6898F3BC2483}"/>
  <tableColumns count="14">
    <tableColumn id="1" xr3:uid="{852046E8-2881-4858-87F7-16454A07FA0E}" name="Control_x000a_ID" dataDxfId="41"/>
    <tableColumn id="4" xr3:uid="{A9A81CD2-207C-44BB-AF5A-C305C9314BB2}" name="Control Name" dataDxfId="40"/>
    <tableColumn id="5" xr3:uid="{C765AE87-B8CF-4872-A8F7-8295DCCE1DBF}" name="Description" dataDxfId="39"/>
    <tableColumn id="6" xr3:uid="{D19EA120-05BB-48C1-9963-5FEA9B16D40F}" name="Control TYPE" dataDxfId="38"/>
    <tableColumn id="10" xr3:uid="{51D251F3-92A8-4D8B-8ACC-DB7E1BAD68C8}" name="Control FUNCTION" dataDxfId="37"/>
    <tableColumn id="11" xr3:uid="{7D012C06-2BC0-49E5-8A1D-4DD56C620E86}" name="Frequency" dataDxfId="36"/>
    <tableColumn id="12" xr3:uid="{2E7870A5-98C0-4878-8AE8-4795070659CF}" name="Owner" dataDxfId="35"/>
    <tableColumn id="2" xr3:uid="{A16F3A41-47B6-4095-9C3F-54F37DF4E59C}" name="Evidence" dataDxfId="34"/>
    <tableColumn id="13" xr3:uid="{7F1311D4-D88F-4FF1-99C9-D2CB856F98FF}" name="Risk Mapping" dataDxfId="33"/>
    <tableColumn id="17" xr3:uid="{71C4D2AC-8FA1-4DEA-89DA-57084F1360DF}" name="Compliance  Mapping" dataDxfId="32"/>
    <tableColumn id="14" xr3:uid="{854919B8-F155-4380-BF0A-1388DEF6085C}" name="Status" dataDxfId="31"/>
    <tableColumn id="15" xr3:uid="{0F5F362D-D8B3-4175-B117-BDF561ED2E71}" name="DATE_x000a_Implementation" dataDxfId="30"/>
    <tableColumn id="18" xr3:uid="{77CC03BB-9058-45AA-87B9-5906E8E8A79C}" name="DATE_x000a_Review or Validation" dataDxfId="29"/>
    <tableColumn id="16" xr3:uid="{585D30B8-C94D-48A6-8496-5F3FDFFAFC87}" name="Review Needed?" dataDxfId="28">
      <calculatedColumnFormula>IF(Tbl_ControlLib[[#This Row],[DATE
Review or Validation]]=0,"",(IF((TODAY()-Tbl_ControlLib[[#This Row],[DATE
Review or Validation]])&gt;365,"YES","No")))</calculatedColumnFormula>
    </tableColumn>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44D83B-6553-4225-97FA-79C9195890D5}" name="Table4" displayName="Table4" ref="A1:D408" totalsRowShown="0" headerRowDxfId="27" dataDxfId="26">
  <autoFilter ref="A1:D408" xr:uid="{F8AF86F6-D096-40C0-8D86-7FD5847ED70E}"/>
  <tableColumns count="4">
    <tableColumn id="1" xr3:uid="{182DCBA4-9E69-4DFC-906B-172B4E9C84A5}" name="TSC Ref. #" dataDxfId="25"/>
    <tableColumn id="2" xr3:uid="{C894B418-D5AF-4068-A318-199245A1C421}" name="TSC" dataDxfId="24"/>
    <tableColumn id="3" xr3:uid="{609ECB72-D029-4A2D-A313-E502D928E087}" name="Points of Focus" dataDxfId="23"/>
    <tableColumn id="4" xr3:uid="{C4419515-8231-4C03-BD8C-146DE1334477}" name="NIST CSF" dataDxfId="22"/>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011505-F68E-4B0C-9A87-2986CE736723}" name="Tbl_Assess" displayName="Tbl_Assess" ref="A1:M109" totalsRowShown="0" headerRowDxfId="21" dataDxfId="20">
  <autoFilter ref="A1:M109" xr:uid="{8402F42F-004A-4AD5-9D84-EB15219C5FE1}"/>
  <tableColumns count="13">
    <tableColumn id="1" xr3:uid="{0AB00A4D-BB28-427C-8F9D-CD2FCC6C2FA2}" name="Sort" dataDxfId="19"/>
    <tableColumn id="2" xr3:uid="{953EA91E-77D1-41F5-BA5F-F9865586C42C}" name="Function" dataDxfId="18"/>
    <tableColumn id="3" xr3:uid="{974F8E24-5DE9-49A7-A4A1-46E69F61FB06}" name="Function Desc." dataDxfId="17"/>
    <tableColumn id="4" xr3:uid="{8EE78582-76D5-4BBC-9EBC-EBBA9CAF1586}" name="Category" dataDxfId="16"/>
    <tableColumn id="5" xr3:uid="{697C5CBA-B190-4714-8DDA-52B075452229}" name="Category Desc." dataDxfId="15"/>
    <tableColumn id="6" xr3:uid="{EA0652C3-C8C3-4ADF-8ACE-B6BBC7001865}" name="Subcategory" dataDxfId="14"/>
    <tableColumn id="7" xr3:uid="{8540AB23-0F59-4C57-808B-CA3BE53F431A}" name="SubCategory Desc." dataDxfId="13"/>
    <tableColumn id="14" xr3:uid="{2FE13904-C500-4DB9-B690-8501CA1ED532}" name="Ref:_x000a_CIS" dataDxfId="12"/>
    <tableColumn id="15" xr3:uid="{91DCB4D9-A7FC-4FB7-B20E-A40D245B6309}" name="Ref:_x000a_ISO" dataDxfId="11"/>
    <tableColumn id="16" xr3:uid="{EB311E83-C78E-4F0C-AF48-0BCC04E9E191}" name="Ref: _x000a_800-53 R4" dataDxfId="10"/>
    <tableColumn id="17" xr3:uid="{5D1BBAE8-EF2F-459A-926F-8D6A16485748}" name="Ref:_x000a_HIPAA" dataDxfId="9"/>
    <tableColumn id="18" xr3:uid="{3EF3E2A0-BC95-4D46-95D6-9D2AD2D9A60F}" name="Ref: HITRUST" dataDxfId="8"/>
    <tableColumn id="19" xr3:uid="{73E89D10-C729-468D-86C4-4AA3220324F0}" name="Ref:_x000a_COBIT 5" dataDxfId="7"/>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371FB2-2051-4D89-ABCE-9CE10AE131B4}" name="Tbl_zREF_80053" displayName="Tbl_zREF_80053" ref="A1:E1190" totalsRowShown="0" headerRowDxfId="6" dataDxfId="5">
  <autoFilter ref="A1:E1190" xr:uid="{41886B65-67CA-4837-9CF3-EDA68A70BD5B}"/>
  <tableColumns count="5">
    <tableColumn id="1" xr3:uid="{ACDA740B-6261-4C62-9B78-EA5D8098DE37}" name="Control Identifier" dataDxfId="4"/>
    <tableColumn id="2" xr3:uid="{2D9014C0-7FFD-4C5A-9D9A-CEC045F69B03}" name="Control (or Control Enhancement) Name" dataDxfId="3"/>
    <tableColumn id="3" xr3:uid="{9D63B20A-9392-455F-B5B7-CDA36C8C8069}" name="Control (or Control Enhancement) " dataDxfId="2"/>
    <tableColumn id="4" xr3:uid="{9660C47F-7779-4F7F-84BA-7F17F64EE759}" name="Discussion" dataDxfId="1"/>
    <tableColumn id="5" xr3:uid="{10DA64A5-DFDB-4C7B-8F02-0EDFE5E4C3AB}" name="Related Control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77"/>
  <sheetViews>
    <sheetView workbookViewId="0">
      <selection activeCell="I9" sqref="I9"/>
    </sheetView>
  </sheetViews>
  <sheetFormatPr defaultColWidth="8.875" defaultRowHeight="15.75" x14ac:dyDescent="0.25"/>
  <cols>
    <col min="1" max="1" width="2.5" customWidth="1"/>
    <col min="2" max="2" width="8.5" style="20" bestFit="1" customWidth="1"/>
    <col min="3" max="3" width="7" style="20" bestFit="1" customWidth="1"/>
    <col min="4" max="4" width="47.375" style="20" bestFit="1" customWidth="1"/>
    <col min="5" max="8" width="7.5" style="15" customWidth="1"/>
    <col min="9" max="9" width="11.875" style="15" customWidth="1"/>
  </cols>
  <sheetData>
    <row r="1" spans="2:9" ht="24.95" customHeight="1" x14ac:dyDescent="0.25">
      <c r="B1" s="13" t="s">
        <v>0</v>
      </c>
    </row>
    <row r="2" spans="2:9" s="23" customFormat="1" ht="50.25" customHeight="1" x14ac:dyDescent="0.25">
      <c r="B2" s="11" t="s">
        <v>1</v>
      </c>
      <c r="C2" s="11" t="s">
        <v>2</v>
      </c>
      <c r="D2" s="10" t="s">
        <v>3</v>
      </c>
      <c r="E2" s="14" t="s">
        <v>4</v>
      </c>
      <c r="F2" s="11" t="s">
        <v>5</v>
      </c>
      <c r="G2" s="11" t="s">
        <v>6</v>
      </c>
      <c r="H2" s="10" t="s">
        <v>7</v>
      </c>
      <c r="I2" s="10" t="s">
        <v>8</v>
      </c>
    </row>
    <row r="3" spans="2:9" ht="24.95" customHeight="1" x14ac:dyDescent="0.25">
      <c r="B3" s="21" t="s">
        <v>9</v>
      </c>
      <c r="C3" s="21" t="s">
        <v>10</v>
      </c>
      <c r="D3" s="22" t="s">
        <v>11</v>
      </c>
      <c r="E3" s="15" t="e">
        <f>COUNTIF('Risk Register'!#REF!,"*"&amp;C3&amp;"*")</f>
        <v>#REF!</v>
      </c>
      <c r="F3" s="15" t="e">
        <f>COUNTIFS('Risk Register'!#REF!,"*"&amp;C3&amp;"*",'Risk Register'!M:M,"&gt;=16")</f>
        <v>#REF!</v>
      </c>
      <c r="G3" s="15" t="e">
        <f>COUNTIFS('Risk Register'!#REF!,"*"&amp;C3&amp;"*",'Risk Register'!M:M,"&gt;=7",'Risk Register'!M:M,"&lt;=15")</f>
        <v>#REF!</v>
      </c>
      <c r="H3" s="15" t="e">
        <f>COUNTIFS('Risk Register'!#REF!,"*"&amp;C3&amp;"*",'Risk Register'!M:M,"&lt;=6")</f>
        <v>#REF!</v>
      </c>
      <c r="I3" s="15" t="e">
        <f>SUM(COUNTIFS('Risk Register'!#REF!,"*"&amp;C3&amp;"*",'Risk Register'!S6:S55,{"Not Considered","Partial Controls"}))</f>
        <v>#REF!</v>
      </c>
    </row>
    <row r="4" spans="2:9" ht="24.95" customHeight="1" x14ac:dyDescent="0.25">
      <c r="B4" s="21" t="s">
        <v>9</v>
      </c>
      <c r="C4" s="21" t="s">
        <v>12</v>
      </c>
      <c r="D4" s="22" t="s">
        <v>13</v>
      </c>
      <c r="E4" s="15" t="e">
        <f>COUNTIF('Risk Register'!#REF!,"*"&amp;C4&amp;"*")</f>
        <v>#REF!</v>
      </c>
      <c r="F4" s="15" t="e">
        <f>COUNTIFS('Risk Register'!#REF!,"*"&amp;C4&amp;"*",'Risk Register'!M:M,"&gt;=16")</f>
        <v>#REF!</v>
      </c>
      <c r="G4" s="15" t="e">
        <f>COUNTIFS('Risk Register'!#REF!,"*"&amp;C4&amp;"*",'Risk Register'!M:M,"&gt;=7",'Risk Register'!M:M,"&lt;=15")</f>
        <v>#REF!</v>
      </c>
      <c r="H4" s="15" t="e">
        <f>COUNTIFS('Risk Register'!#REF!,"*"&amp;C4&amp;"*",'Risk Register'!M:M,"&lt;=6")</f>
        <v>#REF!</v>
      </c>
    </row>
    <row r="5" spans="2:9" ht="24.95" customHeight="1" x14ac:dyDescent="0.25">
      <c r="B5" s="21" t="s">
        <v>9</v>
      </c>
      <c r="C5" s="21" t="s">
        <v>14</v>
      </c>
      <c r="D5" s="22" t="s">
        <v>15</v>
      </c>
      <c r="E5" s="15" t="e">
        <f>COUNTIF('Risk Register'!#REF!,"*"&amp;C5&amp;"*")</f>
        <v>#REF!</v>
      </c>
      <c r="F5" s="15" t="e">
        <f>COUNTIFS('Risk Register'!#REF!,"*"&amp;C5&amp;"*",'Risk Register'!M:M,"&gt;=16")</f>
        <v>#REF!</v>
      </c>
      <c r="G5" s="15" t="e">
        <f>COUNTIFS('Risk Register'!#REF!,"*"&amp;C5&amp;"*",'Risk Register'!M:M,"&gt;=7",'Risk Register'!M:M,"&lt;=15")</f>
        <v>#REF!</v>
      </c>
      <c r="H5" s="15" t="e">
        <f>COUNTIFS('Risk Register'!#REF!,"*"&amp;C5&amp;"*",'Risk Register'!M:M,"&lt;=6")</f>
        <v>#REF!</v>
      </c>
    </row>
    <row r="6" spans="2:9" ht="24.95" customHeight="1" x14ac:dyDescent="0.25">
      <c r="B6" s="21" t="s">
        <v>9</v>
      </c>
      <c r="C6" s="21" t="s">
        <v>16</v>
      </c>
      <c r="D6" s="22" t="s">
        <v>17</v>
      </c>
      <c r="E6" s="15" t="e">
        <f>COUNTIF('Risk Register'!#REF!,"*"&amp;C6&amp;"*")</f>
        <v>#REF!</v>
      </c>
      <c r="F6" s="15" t="e">
        <f>COUNTIFS('Risk Register'!#REF!,"*"&amp;C6&amp;"*",'Risk Register'!M:M,"&gt;=16")</f>
        <v>#REF!</v>
      </c>
      <c r="G6" s="15" t="e">
        <f>COUNTIFS('Risk Register'!#REF!,"*"&amp;C6&amp;"*",'Risk Register'!M:M,"&gt;=7",'Risk Register'!M:M,"&lt;=15")</f>
        <v>#REF!</v>
      </c>
      <c r="H6" s="15" t="e">
        <f>COUNTIFS('Risk Register'!#REF!,"*"&amp;C6&amp;"*",'Risk Register'!M:M,"&lt;=6")</f>
        <v>#REF!</v>
      </c>
    </row>
    <row r="7" spans="2:9" ht="24.95" customHeight="1" x14ac:dyDescent="0.25">
      <c r="B7" s="21" t="s">
        <v>9</v>
      </c>
      <c r="C7" s="21" t="s">
        <v>18</v>
      </c>
      <c r="D7" s="22" t="s">
        <v>19</v>
      </c>
      <c r="E7" s="15" t="e">
        <f>COUNTIF('Risk Register'!#REF!,"*"&amp;C7&amp;"*")</f>
        <v>#REF!</v>
      </c>
      <c r="F7" s="15" t="e">
        <f>COUNTIFS('Risk Register'!#REF!,"*"&amp;C7&amp;"*",'Risk Register'!M:M,"&gt;=16")</f>
        <v>#REF!</v>
      </c>
      <c r="G7" s="15" t="e">
        <f>COUNTIFS('Risk Register'!#REF!,"*"&amp;C7&amp;"*",'Risk Register'!M:M,"&gt;=7",'Risk Register'!M:M,"&lt;=15")</f>
        <v>#REF!</v>
      </c>
      <c r="H7" s="15" t="e">
        <f>COUNTIFS('Risk Register'!#REF!,"*"&amp;C7&amp;"*",'Risk Register'!M:M,"&lt;=6")</f>
        <v>#REF!</v>
      </c>
    </row>
    <row r="8" spans="2:9" ht="24.95" customHeight="1" x14ac:dyDescent="0.25">
      <c r="B8" s="21" t="s">
        <v>9</v>
      </c>
      <c r="C8" s="21" t="s">
        <v>20</v>
      </c>
      <c r="D8" s="22" t="s">
        <v>21</v>
      </c>
      <c r="E8" s="15" t="e">
        <f>COUNTIF('Risk Register'!#REF!,"*"&amp;C8&amp;"*")</f>
        <v>#REF!</v>
      </c>
      <c r="F8" s="15" t="e">
        <f>COUNTIFS('Risk Register'!#REF!,"*"&amp;C8&amp;"*",'Risk Register'!M:M,"&gt;=16")</f>
        <v>#REF!</v>
      </c>
      <c r="G8" s="15" t="e">
        <f>COUNTIFS('Risk Register'!#REF!,"*"&amp;C8&amp;"*",'Risk Register'!M:M,"&gt;=7",'Risk Register'!M:M,"&lt;=15")</f>
        <v>#REF!</v>
      </c>
      <c r="H8" s="15" t="e">
        <f>COUNTIFS('Risk Register'!#REF!,"*"&amp;C8&amp;"*",'Risk Register'!M:M,"&lt;=6")</f>
        <v>#REF!</v>
      </c>
    </row>
    <row r="9" spans="2:9" ht="24.95" customHeight="1" x14ac:dyDescent="0.25">
      <c r="B9" s="21" t="s">
        <v>9</v>
      </c>
      <c r="C9" s="21" t="s">
        <v>22</v>
      </c>
      <c r="D9" s="22" t="s">
        <v>23</v>
      </c>
      <c r="E9" s="15" t="e">
        <f>COUNTIF('Risk Register'!#REF!,"*"&amp;C9&amp;"*")</f>
        <v>#REF!</v>
      </c>
      <c r="F9" s="15" t="e">
        <f>COUNTIFS('Risk Register'!#REF!,"*"&amp;C9&amp;"*",'Risk Register'!M:M,"&gt;=16")</f>
        <v>#REF!</v>
      </c>
      <c r="G9" s="15" t="e">
        <f>COUNTIFS('Risk Register'!#REF!,"*"&amp;C9&amp;"*",'Risk Register'!M:M,"&gt;=7",'Risk Register'!M:M,"&lt;=15")</f>
        <v>#REF!</v>
      </c>
      <c r="H9" s="15" t="e">
        <f>COUNTIFS('Risk Register'!#REF!,"*"&amp;C9&amp;"*",'Risk Register'!M:M,"&lt;=6")</f>
        <v>#REF!</v>
      </c>
    </row>
    <row r="10" spans="2:9" ht="24.95" customHeight="1" x14ac:dyDescent="0.25">
      <c r="B10" s="21" t="s">
        <v>9</v>
      </c>
      <c r="C10" s="21" t="s">
        <v>24</v>
      </c>
      <c r="D10" s="22" t="s">
        <v>25</v>
      </c>
      <c r="E10" s="15" t="e">
        <f>COUNTIF('Risk Register'!#REF!,"*"&amp;C10&amp;"*")</f>
        <v>#REF!</v>
      </c>
      <c r="F10" s="15" t="e">
        <f>COUNTIFS('Risk Register'!#REF!,"*"&amp;C10&amp;"*",'Risk Register'!M:M,"&gt;=16")</f>
        <v>#REF!</v>
      </c>
      <c r="G10" s="15" t="e">
        <f>COUNTIFS('Risk Register'!#REF!,"*"&amp;C10&amp;"*",'Risk Register'!M:M,"&gt;=7",'Risk Register'!M:M,"&lt;=15")</f>
        <v>#REF!</v>
      </c>
      <c r="H10" s="15" t="e">
        <f>COUNTIFS('Risk Register'!#REF!,"*"&amp;C10&amp;"*",'Risk Register'!M:M,"&lt;=6")</f>
        <v>#REF!</v>
      </c>
    </row>
    <row r="11" spans="2:9" ht="24.95" customHeight="1" x14ac:dyDescent="0.25">
      <c r="B11" s="21" t="s">
        <v>9</v>
      </c>
      <c r="C11" s="21" t="s">
        <v>26</v>
      </c>
      <c r="D11" s="22" t="s">
        <v>27</v>
      </c>
      <c r="E11" s="15" t="e">
        <f>COUNTIF('Risk Register'!#REF!,"*"&amp;C11&amp;"*")</f>
        <v>#REF!</v>
      </c>
      <c r="F11" s="15" t="e">
        <f>COUNTIFS('Risk Register'!#REF!,"*"&amp;C11&amp;"*",'Risk Register'!M:M,"&gt;=16")</f>
        <v>#REF!</v>
      </c>
      <c r="G11" s="15" t="e">
        <f>COUNTIFS('Risk Register'!#REF!,"*"&amp;C11&amp;"*",'Risk Register'!M:M,"&gt;=7",'Risk Register'!M:M,"&lt;=15")</f>
        <v>#REF!</v>
      </c>
      <c r="H11" s="15" t="e">
        <f>COUNTIFS('Risk Register'!#REF!,"*"&amp;C11&amp;"*",'Risk Register'!M:M,"&lt;=6")</f>
        <v>#REF!</v>
      </c>
    </row>
    <row r="12" spans="2:9" ht="24.95" customHeight="1" x14ac:dyDescent="0.25">
      <c r="B12" s="21" t="s">
        <v>9</v>
      </c>
      <c r="C12" s="21" t="s">
        <v>28</v>
      </c>
      <c r="D12" s="22" t="s">
        <v>29</v>
      </c>
      <c r="E12" s="15" t="e">
        <f>COUNTIF('Risk Register'!#REF!,"*"&amp;C12&amp;"*")</f>
        <v>#REF!</v>
      </c>
      <c r="F12" s="15" t="e">
        <f>COUNTIFS('Risk Register'!#REF!,"*"&amp;C12&amp;"*",'Risk Register'!M:M,"&gt;=16")</f>
        <v>#REF!</v>
      </c>
      <c r="G12" s="15" t="e">
        <f>COUNTIFS('Risk Register'!#REF!,"*"&amp;C12&amp;"*",'Risk Register'!M:M,"&gt;=7",'Risk Register'!M:M,"&lt;=15")</f>
        <v>#REF!</v>
      </c>
      <c r="H12" s="15" t="e">
        <f>COUNTIFS('Risk Register'!#REF!,"*"&amp;C12&amp;"*",'Risk Register'!M:M,"&lt;=6")</f>
        <v>#REF!</v>
      </c>
    </row>
    <row r="13" spans="2:9" ht="24.95" customHeight="1" x14ac:dyDescent="0.25">
      <c r="B13" s="21" t="s">
        <v>9</v>
      </c>
      <c r="C13" s="21" t="s">
        <v>30</v>
      </c>
      <c r="D13" s="22" t="s">
        <v>31</v>
      </c>
      <c r="E13" s="15" t="e">
        <f>COUNTIF('Risk Register'!#REF!,"*"&amp;C13&amp;"*")</f>
        <v>#REF!</v>
      </c>
      <c r="F13" s="15" t="e">
        <f>COUNTIFS('Risk Register'!#REF!,"*"&amp;C13&amp;"*",'Risk Register'!M:M,"&gt;=16")</f>
        <v>#REF!</v>
      </c>
      <c r="G13" s="15" t="e">
        <f>COUNTIFS('Risk Register'!#REF!,"*"&amp;C13&amp;"*",'Risk Register'!M:M,"&gt;=7",'Risk Register'!M:M,"&lt;=15")</f>
        <v>#REF!</v>
      </c>
      <c r="H13" s="15" t="e">
        <f>COUNTIFS('Risk Register'!#REF!,"*"&amp;C13&amp;"*",'Risk Register'!M:M,"&lt;=6")</f>
        <v>#REF!</v>
      </c>
    </row>
    <row r="14" spans="2:9" ht="24.95" customHeight="1" x14ac:dyDescent="0.25">
      <c r="B14" s="21" t="s">
        <v>9</v>
      </c>
      <c r="C14" s="21" t="s">
        <v>32</v>
      </c>
      <c r="D14" s="22" t="s">
        <v>33</v>
      </c>
      <c r="E14" s="15" t="e">
        <f>COUNTIF('Risk Register'!#REF!,"*"&amp;C14&amp;"*")</f>
        <v>#REF!</v>
      </c>
      <c r="F14" s="15" t="e">
        <f>COUNTIFS('Risk Register'!#REF!,"*"&amp;C14&amp;"*",'Risk Register'!M:M,"&gt;=16")</f>
        <v>#REF!</v>
      </c>
      <c r="G14" s="15" t="e">
        <f>COUNTIFS('Risk Register'!#REF!,"*"&amp;C14&amp;"*",'Risk Register'!M:M,"&gt;=7",'Risk Register'!M:M,"&lt;=15")</f>
        <v>#REF!</v>
      </c>
      <c r="H14" s="15" t="e">
        <f>COUNTIFS('Risk Register'!#REF!,"*"&amp;C14&amp;"*",'Risk Register'!M:M,"&lt;=6")</f>
        <v>#REF!</v>
      </c>
    </row>
    <row r="15" spans="2:9" ht="24.95" customHeight="1" x14ac:dyDescent="0.25">
      <c r="B15" s="21" t="s">
        <v>9</v>
      </c>
      <c r="C15" s="21" t="s">
        <v>34</v>
      </c>
      <c r="D15" s="22" t="s">
        <v>35</v>
      </c>
      <c r="E15" s="15" t="e">
        <f>COUNTIF('Risk Register'!#REF!,"*"&amp;C15&amp;"*")</f>
        <v>#REF!</v>
      </c>
      <c r="F15" s="15" t="e">
        <f>COUNTIFS('Risk Register'!#REF!,"*"&amp;C15&amp;"*",'Risk Register'!M:M,"&gt;=16")</f>
        <v>#REF!</v>
      </c>
      <c r="G15" s="15" t="e">
        <f>COUNTIFS('Risk Register'!#REF!,"*"&amp;C15&amp;"*",'Risk Register'!M:M,"&gt;=7",'Risk Register'!M:M,"&lt;=15")</f>
        <v>#REF!</v>
      </c>
      <c r="H15" s="15" t="e">
        <f>COUNTIFS('Risk Register'!#REF!,"*"&amp;C15&amp;"*",'Risk Register'!M:M,"&lt;=6")</f>
        <v>#REF!</v>
      </c>
    </row>
    <row r="16" spans="2:9" ht="24.95" customHeight="1" x14ac:dyDescent="0.25">
      <c r="B16" s="21" t="s">
        <v>9</v>
      </c>
      <c r="C16" s="21" t="s">
        <v>36</v>
      </c>
      <c r="D16" s="22" t="s">
        <v>37</v>
      </c>
      <c r="E16" s="15" t="e">
        <f>COUNTIF('Risk Register'!#REF!,"*"&amp;C16&amp;"*")</f>
        <v>#REF!</v>
      </c>
      <c r="F16" s="15" t="e">
        <f>COUNTIFS('Risk Register'!#REF!,"*"&amp;C16&amp;"*",'Risk Register'!M:M,"&gt;=16")</f>
        <v>#REF!</v>
      </c>
      <c r="G16" s="15" t="e">
        <f>COUNTIFS('Risk Register'!#REF!,"*"&amp;C16&amp;"*",'Risk Register'!M:M,"&gt;=7",'Risk Register'!M:M,"&lt;=15")</f>
        <v>#REF!</v>
      </c>
      <c r="H16" s="15" t="e">
        <f>COUNTIFS('Risk Register'!#REF!,"*"&amp;C16&amp;"*",'Risk Register'!M:M,"&lt;=6")</f>
        <v>#REF!</v>
      </c>
    </row>
    <row r="17" spans="2:8" ht="24.95" customHeight="1" x14ac:dyDescent="0.25">
      <c r="B17" s="21" t="s">
        <v>38</v>
      </c>
      <c r="C17" s="21" t="s">
        <v>39</v>
      </c>
      <c r="D17" s="22" t="s">
        <v>40</v>
      </c>
      <c r="E17" s="15" t="e">
        <f>COUNTIF('Risk Register'!#REF!,"*"&amp;C17&amp;"*")</f>
        <v>#REF!</v>
      </c>
      <c r="F17" s="15" t="e">
        <f>COUNTIFS('Risk Register'!#REF!,"*"&amp;C17&amp;"*",'Risk Register'!M:M,"&gt;=16")</f>
        <v>#REF!</v>
      </c>
      <c r="G17" s="15" t="e">
        <f>COUNTIFS('Risk Register'!#REF!,"*"&amp;C17&amp;"*",'Risk Register'!M:M,"&gt;=7",'Risk Register'!M:M,"&lt;=15")</f>
        <v>#REF!</v>
      </c>
      <c r="H17" s="15" t="e">
        <f>COUNTIFS('Risk Register'!#REF!,"*"&amp;C17&amp;"*",'Risk Register'!M:M,"&lt;=6")</f>
        <v>#REF!</v>
      </c>
    </row>
    <row r="18" spans="2:8" ht="24.95" customHeight="1" x14ac:dyDescent="0.25">
      <c r="B18" s="21" t="s">
        <v>38</v>
      </c>
      <c r="C18" s="21" t="s">
        <v>41</v>
      </c>
      <c r="D18" s="22" t="s">
        <v>42</v>
      </c>
      <c r="E18" s="15" t="e">
        <f>COUNTIF('Risk Register'!#REF!,"*"&amp;C18&amp;"*")</f>
        <v>#REF!</v>
      </c>
      <c r="F18" s="15" t="e">
        <f>COUNTIFS('Risk Register'!#REF!,"*"&amp;C18&amp;"*",'Risk Register'!M:M,"&gt;=16")</f>
        <v>#REF!</v>
      </c>
      <c r="G18" s="15" t="e">
        <f>COUNTIFS('Risk Register'!#REF!,"*"&amp;C18&amp;"*",'Risk Register'!M:M,"&gt;=7",'Risk Register'!M:M,"&lt;=15")</f>
        <v>#REF!</v>
      </c>
      <c r="H18" s="15" t="e">
        <f>COUNTIFS('Risk Register'!#REF!,"*"&amp;C18&amp;"*",'Risk Register'!M:M,"&lt;=6")</f>
        <v>#REF!</v>
      </c>
    </row>
    <row r="19" spans="2:8" ht="24.95" customHeight="1" x14ac:dyDescent="0.25">
      <c r="B19" s="21" t="s">
        <v>38</v>
      </c>
      <c r="C19" s="21" t="s">
        <v>43</v>
      </c>
      <c r="D19" s="22" t="s">
        <v>44</v>
      </c>
      <c r="E19" s="15" t="e">
        <f>COUNTIF('Risk Register'!#REF!,"*"&amp;C19&amp;"*")</f>
        <v>#REF!</v>
      </c>
      <c r="F19" s="15" t="e">
        <f>COUNTIFS('Risk Register'!#REF!,"*"&amp;C19&amp;"*",'Risk Register'!M:M,"&gt;=16")</f>
        <v>#REF!</v>
      </c>
      <c r="G19" s="15" t="e">
        <f>COUNTIFS('Risk Register'!#REF!,"*"&amp;C19&amp;"*",'Risk Register'!M:M,"&gt;=7",'Risk Register'!M:M,"&lt;=15")</f>
        <v>#REF!</v>
      </c>
      <c r="H19" s="15" t="e">
        <f>COUNTIFS('Risk Register'!#REF!,"*"&amp;C19&amp;"*",'Risk Register'!M:M,"&lt;=6")</f>
        <v>#REF!</v>
      </c>
    </row>
    <row r="20" spans="2:8" ht="24.95" customHeight="1" x14ac:dyDescent="0.25">
      <c r="B20" s="21" t="s">
        <v>38</v>
      </c>
      <c r="C20" s="21" t="s">
        <v>45</v>
      </c>
      <c r="D20" s="22" t="s">
        <v>46</v>
      </c>
      <c r="E20" s="15" t="e">
        <f>COUNTIF('Risk Register'!#REF!,"*"&amp;C20&amp;"*")</f>
        <v>#REF!</v>
      </c>
      <c r="F20" s="15" t="e">
        <f>COUNTIFS('Risk Register'!#REF!,"*"&amp;C20&amp;"*",'Risk Register'!M:M,"&gt;=16")</f>
        <v>#REF!</v>
      </c>
      <c r="G20" s="15" t="e">
        <f>COUNTIFS('Risk Register'!#REF!,"*"&amp;C20&amp;"*",'Risk Register'!M:M,"&gt;=7",'Risk Register'!M:M,"&lt;=15")</f>
        <v>#REF!</v>
      </c>
      <c r="H20" s="15" t="e">
        <f>COUNTIFS('Risk Register'!#REF!,"*"&amp;C20&amp;"*",'Risk Register'!M:M,"&lt;=6")</f>
        <v>#REF!</v>
      </c>
    </row>
    <row r="21" spans="2:8" ht="24.95" customHeight="1" x14ac:dyDescent="0.25">
      <c r="B21" s="21" t="s">
        <v>38</v>
      </c>
      <c r="C21" s="21" t="s">
        <v>47</v>
      </c>
      <c r="D21" s="22" t="s">
        <v>48</v>
      </c>
      <c r="E21" s="15" t="e">
        <f>COUNTIF('Risk Register'!#REF!,"*"&amp;C21&amp;"*")</f>
        <v>#REF!</v>
      </c>
      <c r="F21" s="15" t="e">
        <f>COUNTIFS('Risk Register'!#REF!,"*"&amp;C21&amp;"*",'Risk Register'!M:M,"&gt;=16")</f>
        <v>#REF!</v>
      </c>
      <c r="G21" s="15" t="e">
        <f>COUNTIFS('Risk Register'!#REF!,"*"&amp;C21&amp;"*",'Risk Register'!M:M,"&gt;=7",'Risk Register'!M:M,"&lt;=15")</f>
        <v>#REF!</v>
      </c>
      <c r="H21" s="15" t="e">
        <f>COUNTIFS('Risk Register'!#REF!,"*"&amp;C21&amp;"*",'Risk Register'!M:M,"&lt;=6")</f>
        <v>#REF!</v>
      </c>
    </row>
    <row r="22" spans="2:8" ht="24.95" customHeight="1" x14ac:dyDescent="0.25">
      <c r="B22" s="21" t="s">
        <v>38</v>
      </c>
      <c r="C22" s="21" t="s">
        <v>49</v>
      </c>
      <c r="D22" s="22" t="s">
        <v>50</v>
      </c>
      <c r="E22" s="15" t="e">
        <f>COUNTIF('Risk Register'!#REF!,"*"&amp;C22&amp;"*")</f>
        <v>#REF!</v>
      </c>
      <c r="F22" s="15" t="e">
        <f>COUNTIFS('Risk Register'!#REF!,"*"&amp;C22&amp;"*",'Risk Register'!M:M,"&gt;=16")</f>
        <v>#REF!</v>
      </c>
      <c r="G22" s="15" t="e">
        <f>COUNTIFS('Risk Register'!#REF!,"*"&amp;C22&amp;"*",'Risk Register'!M:M,"&gt;=7",'Risk Register'!M:M,"&lt;=15")</f>
        <v>#REF!</v>
      </c>
      <c r="H22" s="15" t="e">
        <f>COUNTIFS('Risk Register'!#REF!,"*"&amp;C22&amp;"*",'Risk Register'!M:M,"&lt;=6")</f>
        <v>#REF!</v>
      </c>
    </row>
    <row r="23" spans="2:8" ht="24.95" customHeight="1" x14ac:dyDescent="0.25">
      <c r="B23" s="21" t="s">
        <v>38</v>
      </c>
      <c r="C23" s="21" t="s">
        <v>51</v>
      </c>
      <c r="D23" s="22" t="s">
        <v>52</v>
      </c>
      <c r="E23" s="15" t="e">
        <f>COUNTIF('Risk Register'!#REF!,"*"&amp;C23&amp;"*")</f>
        <v>#REF!</v>
      </c>
      <c r="F23" s="15" t="e">
        <f>COUNTIFS('Risk Register'!#REF!,"*"&amp;C23&amp;"*",'Risk Register'!M:M,"&gt;=16")</f>
        <v>#REF!</v>
      </c>
      <c r="G23" s="15" t="e">
        <f>COUNTIFS('Risk Register'!#REF!,"*"&amp;C23&amp;"*",'Risk Register'!M:M,"&gt;=7",'Risk Register'!M:M,"&lt;=15")</f>
        <v>#REF!</v>
      </c>
      <c r="H23" s="15" t="e">
        <f>COUNTIFS('Risk Register'!#REF!,"*"&amp;C23&amp;"*",'Risk Register'!M:M,"&lt;=6")</f>
        <v>#REF!</v>
      </c>
    </row>
    <row r="24" spans="2:8" ht="24.95" customHeight="1" x14ac:dyDescent="0.25">
      <c r="B24" s="21" t="s">
        <v>38</v>
      </c>
      <c r="C24" s="21" t="s">
        <v>53</v>
      </c>
      <c r="D24" s="22" t="s">
        <v>54</v>
      </c>
      <c r="E24" s="15" t="e">
        <f>COUNTIF('Risk Register'!#REF!,"*"&amp;C24&amp;"*")</f>
        <v>#REF!</v>
      </c>
      <c r="F24" s="15" t="e">
        <f>COUNTIFS('Risk Register'!#REF!,"*"&amp;C24&amp;"*",'Risk Register'!M:M,"&gt;=16")</f>
        <v>#REF!</v>
      </c>
      <c r="G24" s="15" t="e">
        <f>COUNTIFS('Risk Register'!#REF!,"*"&amp;C24&amp;"*",'Risk Register'!M:M,"&gt;=7",'Risk Register'!M:M,"&lt;=15")</f>
        <v>#REF!</v>
      </c>
      <c r="H24" s="15" t="e">
        <f>COUNTIFS('Risk Register'!#REF!,"*"&amp;C24&amp;"*",'Risk Register'!M:M,"&lt;=6")</f>
        <v>#REF!</v>
      </c>
    </row>
    <row r="25" spans="2:8" ht="24.95" customHeight="1" x14ac:dyDescent="0.25">
      <c r="B25" s="21" t="s">
        <v>38</v>
      </c>
      <c r="C25" s="21" t="s">
        <v>55</v>
      </c>
      <c r="D25" s="22" t="s">
        <v>56</v>
      </c>
      <c r="E25" s="15" t="e">
        <f>COUNTIF('Risk Register'!#REF!,"*"&amp;C25&amp;"*")</f>
        <v>#REF!</v>
      </c>
      <c r="F25" s="15" t="e">
        <f>COUNTIFS('Risk Register'!#REF!,"*"&amp;C25&amp;"*",'Risk Register'!M:M,"&gt;=16")</f>
        <v>#REF!</v>
      </c>
      <c r="G25" s="15" t="e">
        <f>COUNTIFS('Risk Register'!#REF!,"*"&amp;C25&amp;"*",'Risk Register'!M:M,"&gt;=7",'Risk Register'!M:M,"&lt;=15")</f>
        <v>#REF!</v>
      </c>
      <c r="H25" s="15" t="e">
        <f>COUNTIFS('Risk Register'!#REF!,"*"&amp;C25&amp;"*",'Risk Register'!M:M,"&lt;=6")</f>
        <v>#REF!</v>
      </c>
    </row>
    <row r="26" spans="2:8" ht="24.95" customHeight="1" x14ac:dyDescent="0.25">
      <c r="B26" s="21" t="s">
        <v>38</v>
      </c>
      <c r="C26" s="21" t="s">
        <v>57</v>
      </c>
      <c r="D26" s="22" t="s">
        <v>58</v>
      </c>
      <c r="E26" s="15" t="e">
        <f>COUNTIF('Risk Register'!#REF!,"*"&amp;C26&amp;"*")</f>
        <v>#REF!</v>
      </c>
      <c r="F26" s="15" t="e">
        <f>COUNTIFS('Risk Register'!#REF!,"*"&amp;C26&amp;"*",'Risk Register'!M:M,"&gt;=16")</f>
        <v>#REF!</v>
      </c>
      <c r="G26" s="15" t="e">
        <f>COUNTIFS('Risk Register'!#REF!,"*"&amp;C26&amp;"*",'Risk Register'!M:M,"&gt;=7",'Risk Register'!M:M,"&lt;=15")</f>
        <v>#REF!</v>
      </c>
      <c r="H26" s="15" t="e">
        <f>COUNTIFS('Risk Register'!#REF!,"*"&amp;C26&amp;"*",'Risk Register'!M:M,"&lt;=6")</f>
        <v>#REF!</v>
      </c>
    </row>
    <row r="27" spans="2:8" ht="24.95" customHeight="1" x14ac:dyDescent="0.25">
      <c r="B27" s="21" t="s">
        <v>38</v>
      </c>
      <c r="C27" s="21" t="s">
        <v>59</v>
      </c>
      <c r="D27" s="22" t="s">
        <v>60</v>
      </c>
      <c r="E27" s="15" t="e">
        <f>COUNTIF('Risk Register'!#REF!,"*"&amp;C27&amp;"*")</f>
        <v>#REF!</v>
      </c>
      <c r="F27" s="15" t="e">
        <f>COUNTIFS('Risk Register'!#REF!,"*"&amp;C27&amp;"*",'Risk Register'!M:M,"&gt;=16")</f>
        <v>#REF!</v>
      </c>
      <c r="G27" s="15" t="e">
        <f>COUNTIFS('Risk Register'!#REF!,"*"&amp;C27&amp;"*",'Risk Register'!M:M,"&gt;=7",'Risk Register'!M:M,"&lt;=15")</f>
        <v>#REF!</v>
      </c>
      <c r="H27" s="15" t="e">
        <f>COUNTIFS('Risk Register'!#REF!,"*"&amp;C27&amp;"*",'Risk Register'!M:M,"&lt;=6")</f>
        <v>#REF!</v>
      </c>
    </row>
    <row r="28" spans="2:8" ht="24.95" customHeight="1" x14ac:dyDescent="0.25">
      <c r="B28" s="21" t="s">
        <v>38</v>
      </c>
      <c r="C28" s="21" t="s">
        <v>61</v>
      </c>
      <c r="D28" s="22" t="s">
        <v>62</v>
      </c>
      <c r="E28" s="15" t="e">
        <f>COUNTIF('Risk Register'!#REF!,"*"&amp;C28&amp;"*")</f>
        <v>#REF!</v>
      </c>
      <c r="F28" s="15" t="e">
        <f>COUNTIFS('Risk Register'!#REF!,"*"&amp;C28&amp;"*",'Risk Register'!M:M,"&gt;=16")</f>
        <v>#REF!</v>
      </c>
      <c r="G28" s="15" t="e">
        <f>COUNTIFS('Risk Register'!#REF!,"*"&amp;C28&amp;"*",'Risk Register'!M:M,"&gt;=7",'Risk Register'!M:M,"&lt;=15")</f>
        <v>#REF!</v>
      </c>
      <c r="H28" s="15" t="e">
        <f>COUNTIFS('Risk Register'!#REF!,"*"&amp;C28&amp;"*",'Risk Register'!M:M,"&lt;=6")</f>
        <v>#REF!</v>
      </c>
    </row>
    <row r="29" spans="2:8" ht="24.95" customHeight="1" x14ac:dyDescent="0.25">
      <c r="B29" s="21" t="s">
        <v>38</v>
      </c>
      <c r="C29" s="21" t="s">
        <v>63</v>
      </c>
      <c r="D29" s="22" t="s">
        <v>64</v>
      </c>
      <c r="E29" s="15" t="e">
        <f>COUNTIF('Risk Register'!#REF!,"*"&amp;C29&amp;"*")</f>
        <v>#REF!</v>
      </c>
      <c r="F29" s="15" t="e">
        <f>COUNTIFS('Risk Register'!#REF!,"*"&amp;C29&amp;"*",'Risk Register'!M:M,"&gt;=16")</f>
        <v>#REF!</v>
      </c>
      <c r="G29" s="15" t="e">
        <f>COUNTIFS('Risk Register'!#REF!,"*"&amp;C29&amp;"*",'Risk Register'!M:M,"&gt;=7",'Risk Register'!M:M,"&lt;=15")</f>
        <v>#REF!</v>
      </c>
      <c r="H29" s="15" t="e">
        <f>COUNTIFS('Risk Register'!#REF!,"*"&amp;C29&amp;"*",'Risk Register'!M:M,"&lt;=6")</f>
        <v>#REF!</v>
      </c>
    </row>
    <row r="30" spans="2:8" ht="24.95" customHeight="1" x14ac:dyDescent="0.25">
      <c r="B30" s="21" t="s">
        <v>65</v>
      </c>
      <c r="C30" s="21" t="s">
        <v>66</v>
      </c>
      <c r="D30" s="22" t="s">
        <v>67</v>
      </c>
      <c r="E30" s="15" t="e">
        <f>COUNTIF('Risk Register'!#REF!,"*"&amp;C30&amp;"*")</f>
        <v>#REF!</v>
      </c>
      <c r="F30" s="15" t="e">
        <f>COUNTIFS('Risk Register'!#REF!,"*"&amp;C30&amp;"*",'Risk Register'!M:M,"&gt;=16")</f>
        <v>#REF!</v>
      </c>
      <c r="G30" s="15" t="e">
        <f>COUNTIFS('Risk Register'!#REF!,"*"&amp;C30&amp;"*",'Risk Register'!M:M,"&gt;=7",'Risk Register'!M:M,"&lt;=15")</f>
        <v>#REF!</v>
      </c>
      <c r="H30" s="15" t="e">
        <f>COUNTIFS('Risk Register'!#REF!,"*"&amp;C30&amp;"*",'Risk Register'!M:M,"&lt;=6")</f>
        <v>#REF!</v>
      </c>
    </row>
    <row r="31" spans="2:8" ht="24.95" customHeight="1" x14ac:dyDescent="0.25">
      <c r="B31" s="21" t="s">
        <v>65</v>
      </c>
      <c r="C31" s="21" t="s">
        <v>68</v>
      </c>
      <c r="D31" s="22" t="s">
        <v>69</v>
      </c>
      <c r="E31" s="15" t="e">
        <f>COUNTIF('Risk Register'!#REF!,"*"&amp;C31&amp;"*")</f>
        <v>#REF!</v>
      </c>
      <c r="F31" s="15" t="e">
        <f>COUNTIFS('Risk Register'!#REF!,"*"&amp;C31&amp;"*",'Risk Register'!M:M,"&gt;=16")</f>
        <v>#REF!</v>
      </c>
      <c r="G31" s="15" t="e">
        <f>COUNTIFS('Risk Register'!#REF!,"*"&amp;C31&amp;"*",'Risk Register'!M:M,"&gt;=7",'Risk Register'!M:M,"&lt;=15")</f>
        <v>#REF!</v>
      </c>
      <c r="H31" s="15" t="e">
        <f>COUNTIFS('Risk Register'!#REF!,"*"&amp;C31&amp;"*",'Risk Register'!M:M,"&lt;=6")</f>
        <v>#REF!</v>
      </c>
    </row>
    <row r="32" spans="2:8" ht="24.95" customHeight="1" x14ac:dyDescent="0.25">
      <c r="B32" s="21" t="s">
        <v>65</v>
      </c>
      <c r="C32" s="21" t="s">
        <v>70</v>
      </c>
      <c r="D32" s="22" t="s">
        <v>71</v>
      </c>
      <c r="E32" s="15" t="e">
        <f>COUNTIF('Risk Register'!#REF!,"*"&amp;C32&amp;"*")</f>
        <v>#REF!</v>
      </c>
      <c r="F32" s="15" t="e">
        <f>COUNTIFS('Risk Register'!#REF!,"*"&amp;C32&amp;"*",'Risk Register'!M:M,"&gt;=16")</f>
        <v>#REF!</v>
      </c>
      <c r="G32" s="15" t="e">
        <f>COUNTIFS('Risk Register'!#REF!,"*"&amp;C32&amp;"*",'Risk Register'!M:M,"&gt;=7",'Risk Register'!M:M,"&lt;=15")</f>
        <v>#REF!</v>
      </c>
      <c r="H32" s="15" t="e">
        <f>COUNTIFS('Risk Register'!#REF!,"*"&amp;C32&amp;"*",'Risk Register'!M:M,"&lt;=6")</f>
        <v>#REF!</v>
      </c>
    </row>
    <row r="33" spans="2:8" ht="24.95" customHeight="1" x14ac:dyDescent="0.25">
      <c r="B33" s="21" t="s">
        <v>65</v>
      </c>
      <c r="C33" s="21" t="s">
        <v>72</v>
      </c>
      <c r="D33" s="22" t="s">
        <v>73</v>
      </c>
      <c r="E33" s="15" t="e">
        <f>COUNTIF('Risk Register'!#REF!,"*"&amp;C33&amp;"*")</f>
        <v>#REF!</v>
      </c>
      <c r="F33" s="15" t="e">
        <f>COUNTIFS('Risk Register'!#REF!,"*"&amp;C33&amp;"*",'Risk Register'!M:M,"&gt;=16")</f>
        <v>#REF!</v>
      </c>
      <c r="G33" s="15" t="e">
        <f>COUNTIFS('Risk Register'!#REF!,"*"&amp;C33&amp;"*",'Risk Register'!M:M,"&gt;=7",'Risk Register'!M:M,"&lt;=15")</f>
        <v>#REF!</v>
      </c>
      <c r="H33" s="15" t="e">
        <f>COUNTIFS('Risk Register'!#REF!,"*"&amp;C33&amp;"*",'Risk Register'!M:M,"&lt;=6")</f>
        <v>#REF!</v>
      </c>
    </row>
    <row r="34" spans="2:8" ht="24.95" customHeight="1" x14ac:dyDescent="0.25">
      <c r="B34" s="21" t="s">
        <v>65</v>
      </c>
      <c r="C34" s="21" t="s">
        <v>74</v>
      </c>
      <c r="D34" s="22" t="s">
        <v>75</v>
      </c>
      <c r="E34" s="15" t="e">
        <f>COUNTIF('Risk Register'!#REF!,"*"&amp;C34&amp;"*")</f>
        <v>#REF!</v>
      </c>
      <c r="F34" s="15" t="e">
        <f>COUNTIFS('Risk Register'!#REF!,"*"&amp;C34&amp;"*",'Risk Register'!M:M,"&gt;=16")</f>
        <v>#REF!</v>
      </c>
      <c r="G34" s="15" t="e">
        <f>COUNTIFS('Risk Register'!#REF!,"*"&amp;C34&amp;"*",'Risk Register'!M:M,"&gt;=7",'Risk Register'!M:M,"&lt;=15")</f>
        <v>#REF!</v>
      </c>
      <c r="H34" s="15" t="e">
        <f>COUNTIFS('Risk Register'!#REF!,"*"&amp;C34&amp;"*",'Risk Register'!M:M,"&lt;=6")</f>
        <v>#REF!</v>
      </c>
    </row>
    <row r="35" spans="2:8" ht="24.95" customHeight="1" x14ac:dyDescent="0.25">
      <c r="B35" s="21" t="s">
        <v>65</v>
      </c>
      <c r="C35" s="21" t="s">
        <v>76</v>
      </c>
      <c r="D35" s="22" t="s">
        <v>77</v>
      </c>
      <c r="E35" s="15" t="e">
        <f>COUNTIF('Risk Register'!#REF!,"*"&amp;C35&amp;"*")</f>
        <v>#REF!</v>
      </c>
      <c r="F35" s="15" t="e">
        <f>COUNTIFS('Risk Register'!#REF!,"*"&amp;C35&amp;"*",'Risk Register'!M:M,"&gt;=16")</f>
        <v>#REF!</v>
      </c>
      <c r="G35" s="15" t="e">
        <f>COUNTIFS('Risk Register'!#REF!,"*"&amp;C35&amp;"*",'Risk Register'!M:M,"&gt;=7",'Risk Register'!M:M,"&lt;=15")</f>
        <v>#REF!</v>
      </c>
      <c r="H35" s="15" t="e">
        <f>COUNTIFS('Risk Register'!#REF!,"*"&amp;C35&amp;"*",'Risk Register'!M:M,"&lt;=6")</f>
        <v>#REF!</v>
      </c>
    </row>
    <row r="36" spans="2:8" ht="24.95" customHeight="1" x14ac:dyDescent="0.25">
      <c r="B36" s="21" t="s">
        <v>65</v>
      </c>
      <c r="C36" s="21" t="s">
        <v>78</v>
      </c>
      <c r="D36" s="22" t="s">
        <v>79</v>
      </c>
      <c r="E36" s="15" t="e">
        <f>COUNTIF('Risk Register'!#REF!,"*"&amp;C36&amp;"*")</f>
        <v>#REF!</v>
      </c>
      <c r="F36" s="15" t="e">
        <f>COUNTIFS('Risk Register'!#REF!,"*"&amp;C36&amp;"*",'Risk Register'!M:M,"&gt;=16")</f>
        <v>#REF!</v>
      </c>
      <c r="G36" s="15" t="e">
        <f>COUNTIFS('Risk Register'!#REF!,"*"&amp;C36&amp;"*",'Risk Register'!M:M,"&gt;=7",'Risk Register'!M:M,"&lt;=15")</f>
        <v>#REF!</v>
      </c>
      <c r="H36" s="15" t="e">
        <f>COUNTIFS('Risk Register'!#REF!,"*"&amp;C36&amp;"*",'Risk Register'!M:M,"&lt;=6")</f>
        <v>#REF!</v>
      </c>
    </row>
    <row r="37" spans="2:8" ht="24.95" customHeight="1" x14ac:dyDescent="0.25">
      <c r="B37" s="21" t="s">
        <v>80</v>
      </c>
      <c r="C37" s="21" t="s">
        <v>81</v>
      </c>
      <c r="D37" s="22" t="s">
        <v>82</v>
      </c>
      <c r="E37" s="15" t="e">
        <f>COUNTIF('Risk Register'!#REF!,"*"&amp;C37&amp;"*")</f>
        <v>#REF!</v>
      </c>
      <c r="F37" s="15" t="e">
        <f>COUNTIFS('Risk Register'!#REF!,"*"&amp;C37&amp;"*",'Risk Register'!M:M,"&gt;=16")</f>
        <v>#REF!</v>
      </c>
      <c r="G37" s="15" t="e">
        <f>COUNTIFS('Risk Register'!#REF!,"*"&amp;C37&amp;"*",'Risk Register'!M:M,"&gt;=7",'Risk Register'!M:M,"&lt;=15")</f>
        <v>#REF!</v>
      </c>
      <c r="H37" s="15" t="e">
        <f>COUNTIFS('Risk Register'!#REF!,"*"&amp;C37&amp;"*",'Risk Register'!M:M,"&lt;=6")</f>
        <v>#REF!</v>
      </c>
    </row>
    <row r="38" spans="2:8" ht="24.95" customHeight="1" x14ac:dyDescent="0.25">
      <c r="B38" s="21" t="s">
        <v>80</v>
      </c>
      <c r="C38" s="21" t="s">
        <v>83</v>
      </c>
      <c r="D38" s="22" t="s">
        <v>84</v>
      </c>
      <c r="E38" s="15" t="e">
        <f>COUNTIF('Risk Register'!#REF!,"*"&amp;C38&amp;"*")</f>
        <v>#REF!</v>
      </c>
      <c r="F38" s="15" t="e">
        <f>COUNTIFS('Risk Register'!#REF!,"*"&amp;C38&amp;"*",'Risk Register'!M:M,"&gt;=16")</f>
        <v>#REF!</v>
      </c>
      <c r="G38" s="15" t="e">
        <f>COUNTIFS('Risk Register'!#REF!,"*"&amp;C38&amp;"*",'Risk Register'!M:M,"&gt;=7",'Risk Register'!M:M,"&lt;=15")</f>
        <v>#REF!</v>
      </c>
      <c r="H38" s="15" t="e">
        <f>COUNTIFS('Risk Register'!#REF!,"*"&amp;C38&amp;"*",'Risk Register'!M:M,"&lt;=6")</f>
        <v>#REF!</v>
      </c>
    </row>
    <row r="39" spans="2:8" ht="24.95" customHeight="1" x14ac:dyDescent="0.25">
      <c r="B39" s="21" t="s">
        <v>80</v>
      </c>
      <c r="C39" s="21" t="s">
        <v>85</v>
      </c>
      <c r="D39" s="22" t="s">
        <v>86</v>
      </c>
      <c r="E39" s="15" t="e">
        <f>COUNTIF('Risk Register'!#REF!,"*"&amp;C39&amp;"*")</f>
        <v>#REF!</v>
      </c>
      <c r="F39" s="15" t="e">
        <f>COUNTIFS('Risk Register'!#REF!,"*"&amp;C39&amp;"*",'Risk Register'!M:M,"&gt;=16")</f>
        <v>#REF!</v>
      </c>
      <c r="G39" s="15" t="e">
        <f>COUNTIFS('Risk Register'!#REF!,"*"&amp;C39&amp;"*",'Risk Register'!M:M,"&gt;=7",'Risk Register'!M:M,"&lt;=15")</f>
        <v>#REF!</v>
      </c>
      <c r="H39" s="15" t="e">
        <f>COUNTIFS('Risk Register'!#REF!,"*"&amp;C39&amp;"*",'Risk Register'!M:M,"&lt;=6")</f>
        <v>#REF!</v>
      </c>
    </row>
    <row r="40" spans="2:8" ht="24.95" customHeight="1" x14ac:dyDescent="0.25">
      <c r="B40" s="21" t="s">
        <v>80</v>
      </c>
      <c r="C40" s="21" t="s">
        <v>87</v>
      </c>
      <c r="D40" s="22" t="s">
        <v>88</v>
      </c>
      <c r="E40" s="15" t="e">
        <f>COUNTIF('Risk Register'!#REF!,"*"&amp;C40&amp;"*")</f>
        <v>#REF!</v>
      </c>
      <c r="F40" s="15" t="e">
        <f>COUNTIFS('Risk Register'!#REF!,"*"&amp;C40&amp;"*",'Risk Register'!M:M,"&gt;=16")</f>
        <v>#REF!</v>
      </c>
      <c r="G40" s="15" t="e">
        <f>COUNTIFS('Risk Register'!#REF!,"*"&amp;C40&amp;"*",'Risk Register'!M:M,"&gt;=7",'Risk Register'!M:M,"&lt;=15")</f>
        <v>#REF!</v>
      </c>
      <c r="H40" s="15" t="e">
        <f>COUNTIFS('Risk Register'!#REF!,"*"&amp;C40&amp;"*",'Risk Register'!M:M,"&lt;=6")</f>
        <v>#REF!</v>
      </c>
    </row>
    <row r="41" spans="2:8" ht="24.95" customHeight="1" x14ac:dyDescent="0.25">
      <c r="B41" s="21" t="s">
        <v>80</v>
      </c>
      <c r="C41" s="21" t="s">
        <v>89</v>
      </c>
      <c r="D41" s="22" t="s">
        <v>90</v>
      </c>
      <c r="E41" s="15" t="e">
        <f>COUNTIF('Risk Register'!#REF!,"*"&amp;C41&amp;"*")</f>
        <v>#REF!</v>
      </c>
      <c r="F41" s="15" t="e">
        <f>COUNTIFS('Risk Register'!#REF!,"*"&amp;C41&amp;"*",'Risk Register'!M:M,"&gt;=16")</f>
        <v>#REF!</v>
      </c>
      <c r="G41" s="15" t="e">
        <f>COUNTIFS('Risk Register'!#REF!,"*"&amp;C41&amp;"*",'Risk Register'!M:M,"&gt;=7",'Risk Register'!M:M,"&lt;=15")</f>
        <v>#REF!</v>
      </c>
      <c r="H41" s="15" t="e">
        <f>COUNTIFS('Risk Register'!#REF!,"*"&amp;C41&amp;"*",'Risk Register'!M:M,"&lt;=6")</f>
        <v>#REF!</v>
      </c>
    </row>
    <row r="42" spans="2:8" ht="24.95" customHeight="1" x14ac:dyDescent="0.25">
      <c r="B42" s="21" t="s">
        <v>80</v>
      </c>
      <c r="C42" s="21" t="s">
        <v>91</v>
      </c>
      <c r="D42" s="22" t="s">
        <v>92</v>
      </c>
      <c r="E42" s="15" t="e">
        <f>COUNTIF('Risk Register'!#REF!,"*"&amp;C42&amp;"*")</f>
        <v>#REF!</v>
      </c>
      <c r="F42" s="15" t="e">
        <f>COUNTIFS('Risk Register'!#REF!,"*"&amp;C42&amp;"*",'Risk Register'!M:M,"&gt;=16")</f>
        <v>#REF!</v>
      </c>
      <c r="G42" s="15" t="e">
        <f>COUNTIFS('Risk Register'!#REF!,"*"&amp;C42&amp;"*",'Risk Register'!M:M,"&gt;=7",'Risk Register'!M:M,"&lt;=15")</f>
        <v>#REF!</v>
      </c>
      <c r="H42" s="15" t="e">
        <f>COUNTIFS('Risk Register'!#REF!,"*"&amp;C42&amp;"*",'Risk Register'!M:M,"&lt;=6")</f>
        <v>#REF!</v>
      </c>
    </row>
    <row r="43" spans="2:8" ht="24.95" customHeight="1" x14ac:dyDescent="0.25">
      <c r="B43" s="21" t="s">
        <v>80</v>
      </c>
      <c r="C43" s="21" t="s">
        <v>93</v>
      </c>
      <c r="D43" s="22" t="s">
        <v>94</v>
      </c>
      <c r="E43" s="15" t="e">
        <f>COUNTIF('Risk Register'!#REF!,"*"&amp;C43&amp;"*")</f>
        <v>#REF!</v>
      </c>
      <c r="F43" s="15" t="e">
        <f>COUNTIFS('Risk Register'!#REF!,"*"&amp;C43&amp;"*",'Risk Register'!M:M,"&gt;=16")</f>
        <v>#REF!</v>
      </c>
      <c r="G43" s="15" t="e">
        <f>COUNTIFS('Risk Register'!#REF!,"*"&amp;C43&amp;"*",'Risk Register'!M:M,"&gt;=7",'Risk Register'!M:M,"&lt;=15")</f>
        <v>#REF!</v>
      </c>
      <c r="H43" s="15" t="e">
        <f>COUNTIFS('Risk Register'!#REF!,"*"&amp;C43&amp;"*",'Risk Register'!M:M,"&lt;=6")</f>
        <v>#REF!</v>
      </c>
    </row>
    <row r="44" spans="2:8" ht="24.95" customHeight="1" x14ac:dyDescent="0.25">
      <c r="B44" s="21" t="s">
        <v>80</v>
      </c>
      <c r="C44" s="21" t="s">
        <v>95</v>
      </c>
      <c r="D44" s="22" t="s">
        <v>96</v>
      </c>
      <c r="E44" s="15" t="e">
        <f>COUNTIF('Risk Register'!#REF!,"*"&amp;C44&amp;"*")</f>
        <v>#REF!</v>
      </c>
      <c r="F44" s="15" t="e">
        <f>COUNTIFS('Risk Register'!#REF!,"*"&amp;C44&amp;"*",'Risk Register'!M:M,"&gt;=16")</f>
        <v>#REF!</v>
      </c>
      <c r="G44" s="15" t="e">
        <f>COUNTIFS('Risk Register'!#REF!,"*"&amp;C44&amp;"*",'Risk Register'!M:M,"&gt;=7",'Risk Register'!M:M,"&lt;=15")</f>
        <v>#REF!</v>
      </c>
      <c r="H44" s="15" t="e">
        <f>COUNTIFS('Risk Register'!#REF!,"*"&amp;C44&amp;"*",'Risk Register'!M:M,"&lt;=6")</f>
        <v>#REF!</v>
      </c>
    </row>
    <row r="45" spans="2:8" ht="24.95" customHeight="1" x14ac:dyDescent="0.25">
      <c r="B45" s="21" t="s">
        <v>80</v>
      </c>
      <c r="C45" s="21" t="s">
        <v>97</v>
      </c>
      <c r="D45" s="22" t="s">
        <v>98</v>
      </c>
      <c r="E45" s="15" t="e">
        <f>COUNTIF('Risk Register'!#REF!,"*"&amp;C45&amp;"*")</f>
        <v>#REF!</v>
      </c>
      <c r="F45" s="15" t="e">
        <f>COUNTIFS('Risk Register'!#REF!,"*"&amp;C45&amp;"*",'Risk Register'!M:M,"&gt;=16")</f>
        <v>#REF!</v>
      </c>
      <c r="G45" s="15" t="e">
        <f>COUNTIFS('Risk Register'!#REF!,"*"&amp;C45&amp;"*",'Risk Register'!M:M,"&gt;=7",'Risk Register'!M:M,"&lt;=15")</f>
        <v>#REF!</v>
      </c>
      <c r="H45" s="15" t="e">
        <f>COUNTIFS('Risk Register'!#REF!,"*"&amp;C45&amp;"*",'Risk Register'!M:M,"&lt;=6")</f>
        <v>#REF!</v>
      </c>
    </row>
    <row r="46" spans="2:8" ht="24.95" customHeight="1" x14ac:dyDescent="0.25">
      <c r="B46" s="21" t="s">
        <v>80</v>
      </c>
      <c r="C46" s="21" t="s">
        <v>99</v>
      </c>
      <c r="D46" s="22" t="s">
        <v>100</v>
      </c>
      <c r="E46" s="15" t="e">
        <f>COUNTIF('Risk Register'!#REF!,"*"&amp;C46&amp;"*")</f>
        <v>#REF!</v>
      </c>
      <c r="F46" s="15" t="e">
        <f>COUNTIFS('Risk Register'!#REF!,"*"&amp;C46&amp;"*",'Risk Register'!M:M,"&gt;=16")</f>
        <v>#REF!</v>
      </c>
      <c r="G46" s="15" t="e">
        <f>COUNTIFS('Risk Register'!#REF!,"*"&amp;C46&amp;"*",'Risk Register'!M:M,"&gt;=7",'Risk Register'!M:M,"&lt;=15")</f>
        <v>#REF!</v>
      </c>
      <c r="H46" s="15" t="e">
        <f>COUNTIFS('Risk Register'!#REF!,"*"&amp;C46&amp;"*",'Risk Register'!M:M,"&lt;=6")</f>
        <v>#REF!</v>
      </c>
    </row>
    <row r="47" spans="2:8" ht="24.95" customHeight="1" x14ac:dyDescent="0.25">
      <c r="B47" s="21" t="s">
        <v>80</v>
      </c>
      <c r="C47" s="21" t="s">
        <v>101</v>
      </c>
      <c r="D47" s="22" t="s">
        <v>102</v>
      </c>
      <c r="E47" s="15" t="e">
        <f>COUNTIF('Risk Register'!#REF!,"*"&amp;C47&amp;"*")</f>
        <v>#REF!</v>
      </c>
      <c r="F47" s="15" t="e">
        <f>COUNTIFS('Risk Register'!#REF!,"*"&amp;C47&amp;"*",'Risk Register'!M:M,"&gt;=16")</f>
        <v>#REF!</v>
      </c>
      <c r="G47" s="15" t="e">
        <f>COUNTIFS('Risk Register'!#REF!,"*"&amp;C47&amp;"*",'Risk Register'!M:M,"&gt;=7",'Risk Register'!M:M,"&lt;=15")</f>
        <v>#REF!</v>
      </c>
      <c r="H47" s="15" t="e">
        <f>COUNTIFS('Risk Register'!#REF!,"*"&amp;C47&amp;"*",'Risk Register'!M:M,"&lt;=6")</f>
        <v>#REF!</v>
      </c>
    </row>
    <row r="48" spans="2:8" ht="24.95" customHeight="1" x14ac:dyDescent="0.25">
      <c r="B48" s="21" t="s">
        <v>80</v>
      </c>
      <c r="C48" s="21" t="s">
        <v>103</v>
      </c>
      <c r="D48" s="22" t="s">
        <v>104</v>
      </c>
      <c r="E48" s="15" t="e">
        <f>COUNTIF('Risk Register'!#REF!,"*"&amp;C48&amp;"*")</f>
        <v>#REF!</v>
      </c>
      <c r="F48" s="15" t="e">
        <f>COUNTIFS('Risk Register'!#REF!,"*"&amp;C48&amp;"*",'Risk Register'!M:M,"&gt;=16")</f>
        <v>#REF!</v>
      </c>
      <c r="G48" s="15" t="e">
        <f>COUNTIFS('Risk Register'!#REF!,"*"&amp;C48&amp;"*",'Risk Register'!M:M,"&gt;=7",'Risk Register'!M:M,"&lt;=15")</f>
        <v>#REF!</v>
      </c>
      <c r="H48" s="15" t="e">
        <f>COUNTIFS('Risk Register'!#REF!,"*"&amp;C48&amp;"*",'Risk Register'!M:M,"&lt;=6")</f>
        <v>#REF!</v>
      </c>
    </row>
    <row r="49" spans="2:8" ht="24.95" customHeight="1" x14ac:dyDescent="0.25">
      <c r="B49" s="21" t="s">
        <v>80</v>
      </c>
      <c r="C49" s="21" t="s">
        <v>105</v>
      </c>
      <c r="D49" s="22" t="s">
        <v>106</v>
      </c>
      <c r="E49" s="15" t="e">
        <f>COUNTIF('Risk Register'!#REF!,"*"&amp;C49&amp;"*")</f>
        <v>#REF!</v>
      </c>
      <c r="F49" s="15" t="e">
        <f>COUNTIFS('Risk Register'!#REF!,"*"&amp;C49&amp;"*",'Risk Register'!M:M,"&gt;=16")</f>
        <v>#REF!</v>
      </c>
      <c r="G49" s="15" t="e">
        <f>COUNTIFS('Risk Register'!#REF!,"*"&amp;C49&amp;"*",'Risk Register'!M:M,"&gt;=7",'Risk Register'!M:M,"&lt;=15")</f>
        <v>#REF!</v>
      </c>
      <c r="H49" s="15" t="e">
        <f>COUNTIFS('Risk Register'!#REF!,"*"&amp;C49&amp;"*",'Risk Register'!M:M,"&lt;=6")</f>
        <v>#REF!</v>
      </c>
    </row>
    <row r="50" spans="2:8" ht="24.95" customHeight="1" x14ac:dyDescent="0.25">
      <c r="B50" s="21" t="s">
        <v>80</v>
      </c>
      <c r="C50" s="21" t="s">
        <v>107</v>
      </c>
      <c r="D50" s="22" t="s">
        <v>108</v>
      </c>
      <c r="E50" s="15" t="e">
        <f>COUNTIF('Risk Register'!#REF!,"*"&amp;C50&amp;"*")</f>
        <v>#REF!</v>
      </c>
      <c r="F50" s="15" t="e">
        <f>COUNTIFS('Risk Register'!#REF!,"*"&amp;C50&amp;"*",'Risk Register'!M:M,"&gt;=16")</f>
        <v>#REF!</v>
      </c>
      <c r="G50" s="15" t="e">
        <f>COUNTIFS('Risk Register'!#REF!,"*"&amp;C50&amp;"*",'Risk Register'!M:M,"&gt;=7",'Risk Register'!M:M,"&lt;=15")</f>
        <v>#REF!</v>
      </c>
      <c r="H50" s="15" t="e">
        <f>COUNTIFS('Risk Register'!#REF!,"*"&amp;C50&amp;"*",'Risk Register'!M:M,"&lt;=6")</f>
        <v>#REF!</v>
      </c>
    </row>
    <row r="51" spans="2:8" ht="24.95" customHeight="1" x14ac:dyDescent="0.25">
      <c r="B51" s="21" t="s">
        <v>80</v>
      </c>
      <c r="C51" s="21" t="s">
        <v>109</v>
      </c>
      <c r="D51" s="22" t="s">
        <v>110</v>
      </c>
      <c r="E51" s="15" t="e">
        <f>COUNTIF('Risk Register'!#REF!,"*"&amp;C51&amp;"*")</f>
        <v>#REF!</v>
      </c>
      <c r="F51" s="15" t="e">
        <f>COUNTIFS('Risk Register'!#REF!,"*"&amp;C51&amp;"*",'Risk Register'!M:M,"&gt;=16")</f>
        <v>#REF!</v>
      </c>
      <c r="G51" s="15" t="e">
        <f>COUNTIFS('Risk Register'!#REF!,"*"&amp;C51&amp;"*",'Risk Register'!M:M,"&gt;=7",'Risk Register'!M:M,"&lt;=15")</f>
        <v>#REF!</v>
      </c>
      <c r="H51" s="15" t="e">
        <f>COUNTIFS('Risk Register'!#REF!,"*"&amp;C51&amp;"*",'Risk Register'!M:M,"&lt;=6")</f>
        <v>#REF!</v>
      </c>
    </row>
    <row r="52" spans="2:8" ht="24.95" customHeight="1" x14ac:dyDescent="0.25">
      <c r="B52" s="21" t="s">
        <v>80</v>
      </c>
      <c r="C52" s="21" t="s">
        <v>111</v>
      </c>
      <c r="D52" s="22" t="s">
        <v>112</v>
      </c>
      <c r="E52" s="15" t="e">
        <f>COUNTIF('Risk Register'!#REF!,"*"&amp;C52&amp;"*")</f>
        <v>#REF!</v>
      </c>
      <c r="F52" s="15" t="e">
        <f>COUNTIFS('Risk Register'!#REF!,"*"&amp;C52&amp;"*",'Risk Register'!M:M,"&gt;=16")</f>
        <v>#REF!</v>
      </c>
      <c r="G52" s="15" t="e">
        <f>COUNTIFS('Risk Register'!#REF!,"*"&amp;C52&amp;"*",'Risk Register'!M:M,"&gt;=7",'Risk Register'!M:M,"&lt;=15")</f>
        <v>#REF!</v>
      </c>
      <c r="H52" s="15" t="e">
        <f>COUNTIFS('Risk Register'!#REF!,"*"&amp;C52&amp;"*",'Risk Register'!M:M,"&lt;=6")</f>
        <v>#REF!</v>
      </c>
    </row>
    <row r="53" spans="2:8" ht="24.95" customHeight="1" x14ac:dyDescent="0.25">
      <c r="B53" s="21" t="s">
        <v>80</v>
      </c>
      <c r="C53" s="21" t="s">
        <v>113</v>
      </c>
      <c r="D53" s="22" t="s">
        <v>114</v>
      </c>
      <c r="E53" s="15" t="e">
        <f>COUNTIF('Risk Register'!#REF!,"*"&amp;C53&amp;"*")</f>
        <v>#REF!</v>
      </c>
      <c r="F53" s="15" t="e">
        <f>COUNTIFS('Risk Register'!#REF!,"*"&amp;C53&amp;"*",'Risk Register'!M:M,"&gt;=16")</f>
        <v>#REF!</v>
      </c>
      <c r="G53" s="15" t="e">
        <f>COUNTIFS('Risk Register'!#REF!,"*"&amp;C53&amp;"*",'Risk Register'!M:M,"&gt;=7",'Risk Register'!M:M,"&lt;=15")</f>
        <v>#REF!</v>
      </c>
      <c r="H53" s="15" t="e">
        <f>COUNTIFS('Risk Register'!#REF!,"*"&amp;C53&amp;"*",'Risk Register'!M:M,"&lt;=6")</f>
        <v>#REF!</v>
      </c>
    </row>
    <row r="54" spans="2:8" ht="24.95" customHeight="1" x14ac:dyDescent="0.25">
      <c r="B54" s="21" t="s">
        <v>80</v>
      </c>
      <c r="C54" s="21" t="s">
        <v>115</v>
      </c>
      <c r="D54" s="22" t="s">
        <v>116</v>
      </c>
      <c r="E54" s="15" t="e">
        <f>COUNTIF('Risk Register'!#REF!,"*"&amp;C54&amp;"*")</f>
        <v>#REF!</v>
      </c>
      <c r="F54" s="15" t="e">
        <f>COUNTIFS('Risk Register'!#REF!,"*"&amp;C54&amp;"*",'Risk Register'!M:M,"&gt;=16")</f>
        <v>#REF!</v>
      </c>
      <c r="G54" s="15" t="e">
        <f>COUNTIFS('Risk Register'!#REF!,"*"&amp;C54&amp;"*",'Risk Register'!M:M,"&gt;=7",'Risk Register'!M:M,"&lt;=15")</f>
        <v>#REF!</v>
      </c>
      <c r="H54" s="15" t="e">
        <f>COUNTIFS('Risk Register'!#REF!,"*"&amp;C54&amp;"*",'Risk Register'!M:M,"&lt;=6")</f>
        <v>#REF!</v>
      </c>
    </row>
    <row r="55" spans="2:8" ht="24.95" customHeight="1" x14ac:dyDescent="0.25">
      <c r="B55" s="21" t="s">
        <v>80</v>
      </c>
      <c r="C55" s="21" t="s">
        <v>117</v>
      </c>
      <c r="D55" s="22" t="s">
        <v>118</v>
      </c>
      <c r="E55" s="15" t="e">
        <f>COUNTIF('Risk Register'!#REF!,"*"&amp;C55&amp;"*")</f>
        <v>#REF!</v>
      </c>
      <c r="F55" s="15" t="e">
        <f>COUNTIFS('Risk Register'!#REF!,"*"&amp;C55&amp;"*",'Risk Register'!M:M,"&gt;=16")</f>
        <v>#REF!</v>
      </c>
      <c r="G55" s="15" t="e">
        <f>COUNTIFS('Risk Register'!#REF!,"*"&amp;C55&amp;"*",'Risk Register'!M:M,"&gt;=7",'Risk Register'!M:M,"&lt;=15")</f>
        <v>#REF!</v>
      </c>
      <c r="H55" s="15" t="e">
        <f>COUNTIFS('Risk Register'!#REF!,"*"&amp;C55&amp;"*",'Risk Register'!M:M,"&lt;=6")</f>
        <v>#REF!</v>
      </c>
    </row>
    <row r="56" spans="2:8" ht="24.95" customHeight="1" x14ac:dyDescent="0.25">
      <c r="B56" s="21" t="s">
        <v>80</v>
      </c>
      <c r="C56" s="21" t="s">
        <v>119</v>
      </c>
      <c r="D56" s="22" t="s">
        <v>120</v>
      </c>
      <c r="E56" s="15" t="e">
        <f>COUNTIF('Risk Register'!#REF!,"*"&amp;C56&amp;"*")</f>
        <v>#REF!</v>
      </c>
      <c r="F56" s="15" t="e">
        <f>COUNTIFS('Risk Register'!#REF!,"*"&amp;C56&amp;"*",'Risk Register'!M:M,"&gt;=16")</f>
        <v>#REF!</v>
      </c>
      <c r="G56" s="15" t="e">
        <f>COUNTIFS('Risk Register'!#REF!,"*"&amp;C56&amp;"*",'Risk Register'!M:M,"&gt;=7",'Risk Register'!M:M,"&lt;=15")</f>
        <v>#REF!</v>
      </c>
      <c r="H56" s="15" t="e">
        <f>COUNTIFS('Risk Register'!#REF!,"*"&amp;C56&amp;"*",'Risk Register'!M:M,"&lt;=6")</f>
        <v>#REF!</v>
      </c>
    </row>
    <row r="57" spans="2:8" ht="24.95" customHeight="1" x14ac:dyDescent="0.25">
      <c r="B57" s="21" t="s">
        <v>80</v>
      </c>
      <c r="C57" s="21" t="s">
        <v>121</v>
      </c>
      <c r="D57" s="22" t="s">
        <v>122</v>
      </c>
      <c r="E57" s="15" t="e">
        <f>COUNTIF('Risk Register'!#REF!,"*"&amp;C57&amp;"*")</f>
        <v>#REF!</v>
      </c>
      <c r="F57" s="15" t="e">
        <f>COUNTIFS('Risk Register'!#REF!,"*"&amp;C57&amp;"*",'Risk Register'!M:M,"&gt;=16")</f>
        <v>#REF!</v>
      </c>
      <c r="G57" s="15" t="e">
        <f>COUNTIFS('Risk Register'!#REF!,"*"&amp;C57&amp;"*",'Risk Register'!M:M,"&gt;=7",'Risk Register'!M:M,"&lt;=15")</f>
        <v>#REF!</v>
      </c>
      <c r="H57" s="15" t="e">
        <f>COUNTIFS('Risk Register'!#REF!,"*"&amp;C57&amp;"*",'Risk Register'!M:M,"&lt;=6")</f>
        <v>#REF!</v>
      </c>
    </row>
    <row r="58" spans="2:8" ht="24.95" customHeight="1" x14ac:dyDescent="0.25">
      <c r="B58" s="21" t="s">
        <v>80</v>
      </c>
      <c r="C58" s="21" t="s">
        <v>123</v>
      </c>
      <c r="D58" s="22" t="s">
        <v>124</v>
      </c>
      <c r="E58" s="15" t="e">
        <f>COUNTIF('Risk Register'!#REF!,"*"&amp;C58&amp;"*")</f>
        <v>#REF!</v>
      </c>
      <c r="F58" s="15" t="e">
        <f>COUNTIFS('Risk Register'!#REF!,"*"&amp;C58&amp;"*",'Risk Register'!M:M,"&gt;=16")</f>
        <v>#REF!</v>
      </c>
      <c r="G58" s="15" t="e">
        <f>COUNTIFS('Risk Register'!#REF!,"*"&amp;C58&amp;"*",'Risk Register'!M:M,"&gt;=7",'Risk Register'!M:M,"&lt;=15")</f>
        <v>#REF!</v>
      </c>
      <c r="H58" s="15" t="e">
        <f>COUNTIFS('Risk Register'!#REF!,"*"&amp;C58&amp;"*",'Risk Register'!M:M,"&lt;=6")</f>
        <v>#REF!</v>
      </c>
    </row>
    <row r="59" spans="2:8" ht="24.95" customHeight="1" x14ac:dyDescent="0.25">
      <c r="B59" s="21" t="s">
        <v>80</v>
      </c>
      <c r="C59" s="21" t="s">
        <v>125</v>
      </c>
      <c r="D59" s="22" t="s">
        <v>126</v>
      </c>
      <c r="E59" s="15" t="e">
        <f>COUNTIF('Risk Register'!#REF!,"*"&amp;C59&amp;"*")</f>
        <v>#REF!</v>
      </c>
      <c r="F59" s="15" t="e">
        <f>COUNTIFS('Risk Register'!#REF!,"*"&amp;C59&amp;"*",'Risk Register'!M:M,"&gt;=16")</f>
        <v>#REF!</v>
      </c>
      <c r="G59" s="15" t="e">
        <f>COUNTIFS('Risk Register'!#REF!,"*"&amp;C59&amp;"*",'Risk Register'!M:M,"&gt;=7",'Risk Register'!M:M,"&lt;=15")</f>
        <v>#REF!</v>
      </c>
      <c r="H59" s="15" t="e">
        <f>COUNTIFS('Risk Register'!#REF!,"*"&amp;C59&amp;"*",'Risk Register'!M:M,"&lt;=6")</f>
        <v>#REF!</v>
      </c>
    </row>
    <row r="60" spans="2:8" ht="24.95" customHeight="1" x14ac:dyDescent="0.25">
      <c r="B60" s="21" t="s">
        <v>80</v>
      </c>
      <c r="C60" s="21" t="s">
        <v>127</v>
      </c>
      <c r="D60" s="22" t="s">
        <v>128</v>
      </c>
      <c r="E60" s="15" t="e">
        <f>COUNTIF('Risk Register'!#REF!,"*"&amp;C60&amp;"*")</f>
        <v>#REF!</v>
      </c>
      <c r="F60" s="15" t="e">
        <f>COUNTIFS('Risk Register'!#REF!,"*"&amp;C60&amp;"*",'Risk Register'!M:M,"&gt;=16")</f>
        <v>#REF!</v>
      </c>
      <c r="G60" s="15" t="e">
        <f>COUNTIFS('Risk Register'!#REF!,"*"&amp;C60&amp;"*",'Risk Register'!M:M,"&gt;=7",'Risk Register'!M:M,"&lt;=15")</f>
        <v>#REF!</v>
      </c>
      <c r="H60" s="15" t="e">
        <f>COUNTIFS('Risk Register'!#REF!,"*"&amp;C60&amp;"*",'Risk Register'!M:M,"&lt;=6")</f>
        <v>#REF!</v>
      </c>
    </row>
    <row r="61" spans="2:8" ht="24.95" customHeight="1" x14ac:dyDescent="0.25">
      <c r="B61" s="21" t="s">
        <v>80</v>
      </c>
      <c r="C61" s="21" t="s">
        <v>129</v>
      </c>
      <c r="D61" s="22" t="s">
        <v>130</v>
      </c>
      <c r="E61" s="15" t="e">
        <f>COUNTIF('Risk Register'!#REF!,"*"&amp;C61&amp;"*")</f>
        <v>#REF!</v>
      </c>
      <c r="F61" s="15" t="e">
        <f>COUNTIFS('Risk Register'!#REF!,"*"&amp;C61&amp;"*",'Risk Register'!M:M,"&gt;=16")</f>
        <v>#REF!</v>
      </c>
      <c r="G61" s="15" t="e">
        <f>COUNTIFS('Risk Register'!#REF!,"*"&amp;C61&amp;"*",'Risk Register'!M:M,"&gt;=7",'Risk Register'!M:M,"&lt;=15")</f>
        <v>#REF!</v>
      </c>
      <c r="H61" s="15" t="e">
        <f>COUNTIFS('Risk Register'!#REF!,"*"&amp;C61&amp;"*",'Risk Register'!M:M,"&lt;=6")</f>
        <v>#REF!</v>
      </c>
    </row>
    <row r="62" spans="2:8" ht="24.95" customHeight="1" x14ac:dyDescent="0.25">
      <c r="B62" s="21" t="s">
        <v>80</v>
      </c>
      <c r="C62" s="21" t="s">
        <v>131</v>
      </c>
      <c r="D62" s="22" t="s">
        <v>132</v>
      </c>
      <c r="E62" s="15" t="e">
        <f>COUNTIF('Risk Register'!#REF!,"*"&amp;C62&amp;"*")</f>
        <v>#REF!</v>
      </c>
      <c r="F62" s="15" t="e">
        <f>COUNTIFS('Risk Register'!#REF!,"*"&amp;C62&amp;"*",'Risk Register'!M:M,"&gt;=16")</f>
        <v>#REF!</v>
      </c>
      <c r="G62" s="15" t="e">
        <f>COUNTIFS('Risk Register'!#REF!,"*"&amp;C62&amp;"*",'Risk Register'!M:M,"&gt;=7",'Risk Register'!M:M,"&lt;=15")</f>
        <v>#REF!</v>
      </c>
      <c r="H62" s="15" t="e">
        <f>COUNTIFS('Risk Register'!#REF!,"*"&amp;C62&amp;"*",'Risk Register'!M:M,"&lt;=6")</f>
        <v>#REF!</v>
      </c>
    </row>
    <row r="63" spans="2:8" ht="24.95" customHeight="1" x14ac:dyDescent="0.25">
      <c r="B63" s="21" t="s">
        <v>80</v>
      </c>
      <c r="C63" s="21" t="s">
        <v>133</v>
      </c>
      <c r="D63" s="22" t="s">
        <v>134</v>
      </c>
      <c r="E63" s="15" t="e">
        <f>COUNTIF('Risk Register'!#REF!,"*"&amp;C63&amp;"*")</f>
        <v>#REF!</v>
      </c>
      <c r="F63" s="15" t="e">
        <f>COUNTIFS('Risk Register'!#REF!,"*"&amp;C63&amp;"*",'Risk Register'!M:M,"&gt;=16")</f>
        <v>#REF!</v>
      </c>
      <c r="G63" s="15" t="e">
        <f>COUNTIFS('Risk Register'!#REF!,"*"&amp;C63&amp;"*",'Risk Register'!M:M,"&gt;=7",'Risk Register'!M:M,"&lt;=15")</f>
        <v>#REF!</v>
      </c>
      <c r="H63" s="15" t="e">
        <f>COUNTIFS('Risk Register'!#REF!,"*"&amp;C63&amp;"*",'Risk Register'!M:M,"&lt;=6")</f>
        <v>#REF!</v>
      </c>
    </row>
    <row r="64" spans="2:8" ht="24.95" customHeight="1" x14ac:dyDescent="0.25">
      <c r="B64" s="21" t="s">
        <v>80</v>
      </c>
      <c r="C64" s="21" t="s">
        <v>135</v>
      </c>
      <c r="D64" s="22" t="s">
        <v>136</v>
      </c>
      <c r="E64" s="15" t="e">
        <f>COUNTIF('Risk Register'!#REF!,"*"&amp;C64&amp;"*")</f>
        <v>#REF!</v>
      </c>
      <c r="F64" s="15" t="e">
        <f>COUNTIFS('Risk Register'!#REF!,"*"&amp;C64&amp;"*",'Risk Register'!M:M,"&gt;=16")</f>
        <v>#REF!</v>
      </c>
      <c r="G64" s="15" t="e">
        <f>COUNTIFS('Risk Register'!#REF!,"*"&amp;C64&amp;"*",'Risk Register'!M:M,"&gt;=7",'Risk Register'!M:M,"&lt;=15")</f>
        <v>#REF!</v>
      </c>
      <c r="H64" s="15" t="e">
        <f>COUNTIFS('Risk Register'!#REF!,"*"&amp;C64&amp;"*",'Risk Register'!M:M,"&lt;=6")</f>
        <v>#REF!</v>
      </c>
    </row>
    <row r="65" spans="2:8" ht="24.95" customHeight="1" x14ac:dyDescent="0.25">
      <c r="B65" s="21" t="s">
        <v>80</v>
      </c>
      <c r="C65" s="21" t="s">
        <v>137</v>
      </c>
      <c r="D65" s="22" t="s">
        <v>138</v>
      </c>
      <c r="E65" s="15" t="e">
        <f>COUNTIF('Risk Register'!#REF!,"*"&amp;C65&amp;"*")</f>
        <v>#REF!</v>
      </c>
      <c r="F65" s="15" t="e">
        <f>COUNTIFS('Risk Register'!#REF!,"*"&amp;C65&amp;"*",'Risk Register'!M:M,"&gt;=16")</f>
        <v>#REF!</v>
      </c>
      <c r="G65" s="15" t="e">
        <f>COUNTIFS('Risk Register'!#REF!,"*"&amp;C65&amp;"*",'Risk Register'!M:M,"&gt;=7",'Risk Register'!M:M,"&lt;=15")</f>
        <v>#REF!</v>
      </c>
      <c r="H65" s="15" t="e">
        <f>COUNTIFS('Risk Register'!#REF!,"*"&amp;C65&amp;"*",'Risk Register'!M:M,"&lt;=6")</f>
        <v>#REF!</v>
      </c>
    </row>
    <row r="66" spans="2:8" ht="24.95" customHeight="1" x14ac:dyDescent="0.25">
      <c r="B66" s="21" t="s">
        <v>80</v>
      </c>
      <c r="C66" s="21" t="s">
        <v>139</v>
      </c>
      <c r="D66" s="22" t="s">
        <v>140</v>
      </c>
      <c r="E66" s="15" t="e">
        <f>COUNTIF('Risk Register'!#REF!,"*"&amp;C66&amp;"*")</f>
        <v>#REF!</v>
      </c>
      <c r="F66" s="15" t="e">
        <f>COUNTIFS('Risk Register'!#REF!,"*"&amp;C66&amp;"*",'Risk Register'!M:M,"&gt;=16")</f>
        <v>#REF!</v>
      </c>
      <c r="G66" s="15" t="e">
        <f>COUNTIFS('Risk Register'!#REF!,"*"&amp;C66&amp;"*",'Risk Register'!M:M,"&gt;=7",'Risk Register'!M:M,"&lt;=15")</f>
        <v>#REF!</v>
      </c>
      <c r="H66" s="15" t="e">
        <f>COUNTIFS('Risk Register'!#REF!,"*"&amp;C66&amp;"*",'Risk Register'!M:M,"&lt;=6")</f>
        <v>#REF!</v>
      </c>
    </row>
    <row r="67" spans="2:8" ht="24.95" customHeight="1" x14ac:dyDescent="0.25">
      <c r="B67" s="21" t="s">
        <v>80</v>
      </c>
      <c r="C67" s="21" t="s">
        <v>141</v>
      </c>
      <c r="D67" s="22" t="s">
        <v>142</v>
      </c>
      <c r="E67" s="15" t="e">
        <f>COUNTIF('Risk Register'!#REF!,"*"&amp;C67&amp;"*")</f>
        <v>#REF!</v>
      </c>
      <c r="F67" s="15" t="e">
        <f>COUNTIFS('Risk Register'!#REF!,"*"&amp;C67&amp;"*",'Risk Register'!M:M,"&gt;=16")</f>
        <v>#REF!</v>
      </c>
      <c r="G67" s="15" t="e">
        <f>COUNTIFS('Risk Register'!#REF!,"*"&amp;C67&amp;"*",'Risk Register'!M:M,"&gt;=7",'Risk Register'!M:M,"&lt;=15")</f>
        <v>#REF!</v>
      </c>
      <c r="H67" s="15" t="e">
        <f>COUNTIFS('Risk Register'!#REF!,"*"&amp;C67&amp;"*",'Risk Register'!M:M,"&lt;=6")</f>
        <v>#REF!</v>
      </c>
    </row>
    <row r="68" spans="2:8" ht="24.95" customHeight="1" x14ac:dyDescent="0.25">
      <c r="B68" s="21" t="s">
        <v>80</v>
      </c>
      <c r="C68" s="21" t="s">
        <v>143</v>
      </c>
      <c r="D68" s="22" t="s">
        <v>144</v>
      </c>
      <c r="E68" s="15" t="e">
        <f>COUNTIF('Risk Register'!#REF!,"*"&amp;C68&amp;"*")</f>
        <v>#REF!</v>
      </c>
      <c r="F68" s="15" t="e">
        <f>COUNTIFS('Risk Register'!#REF!,"*"&amp;C68&amp;"*",'Risk Register'!M:M,"&gt;=16")</f>
        <v>#REF!</v>
      </c>
      <c r="G68" s="15" t="e">
        <f>COUNTIFS('Risk Register'!#REF!,"*"&amp;C68&amp;"*",'Risk Register'!M:M,"&gt;=7",'Risk Register'!M:M,"&lt;=15")</f>
        <v>#REF!</v>
      </c>
      <c r="H68" s="15" t="e">
        <f>COUNTIFS('Risk Register'!#REF!,"*"&amp;C68&amp;"*",'Risk Register'!M:M,"&lt;=6")</f>
        <v>#REF!</v>
      </c>
    </row>
    <row r="69" spans="2:8" ht="24.95" customHeight="1" x14ac:dyDescent="0.25">
      <c r="B69" s="21" t="s">
        <v>80</v>
      </c>
      <c r="C69" s="21" t="s">
        <v>145</v>
      </c>
      <c r="D69" s="22" t="s">
        <v>146</v>
      </c>
      <c r="E69" s="15" t="e">
        <f>COUNTIF('Risk Register'!#REF!,"*"&amp;C69&amp;"*")</f>
        <v>#REF!</v>
      </c>
      <c r="F69" s="15" t="e">
        <f>COUNTIFS('Risk Register'!#REF!,"*"&amp;C69&amp;"*",'Risk Register'!M:M,"&gt;=16")</f>
        <v>#REF!</v>
      </c>
      <c r="G69" s="15" t="e">
        <f>COUNTIFS('Risk Register'!#REF!,"*"&amp;C69&amp;"*",'Risk Register'!M:M,"&gt;=7",'Risk Register'!M:M,"&lt;=15")</f>
        <v>#REF!</v>
      </c>
      <c r="H69" s="15" t="e">
        <f>COUNTIFS('Risk Register'!#REF!,"*"&amp;C69&amp;"*",'Risk Register'!M:M,"&lt;=6")</f>
        <v>#REF!</v>
      </c>
    </row>
    <row r="70" spans="2:8" ht="24.95" customHeight="1" x14ac:dyDescent="0.25">
      <c r="B70" s="21" t="s">
        <v>80</v>
      </c>
      <c r="C70" s="21" t="s">
        <v>147</v>
      </c>
      <c r="D70" s="22" t="s">
        <v>148</v>
      </c>
      <c r="E70" s="15" t="e">
        <f>COUNTIF('Risk Register'!#REF!,"*"&amp;C70&amp;"*")</f>
        <v>#REF!</v>
      </c>
      <c r="F70" s="15" t="e">
        <f>COUNTIFS('Risk Register'!#REF!,"*"&amp;C70&amp;"*",'Risk Register'!M:M,"&gt;=16")</f>
        <v>#REF!</v>
      </c>
      <c r="G70" s="15" t="e">
        <f>COUNTIFS('Risk Register'!#REF!,"*"&amp;C70&amp;"*",'Risk Register'!M:M,"&gt;=7",'Risk Register'!M:M,"&lt;=15")</f>
        <v>#REF!</v>
      </c>
      <c r="H70" s="15" t="e">
        <f>COUNTIFS('Risk Register'!#REF!,"*"&amp;C70&amp;"*",'Risk Register'!M:M,"&lt;=6")</f>
        <v>#REF!</v>
      </c>
    </row>
    <row r="71" spans="2:8" ht="24.95" customHeight="1" x14ac:dyDescent="0.25">
      <c r="B71" s="21" t="s">
        <v>80</v>
      </c>
      <c r="C71" s="21" t="s">
        <v>149</v>
      </c>
      <c r="D71" s="22" t="s">
        <v>150</v>
      </c>
      <c r="E71" s="15" t="e">
        <f>COUNTIF('Risk Register'!#REF!,"*"&amp;C71&amp;"*")</f>
        <v>#REF!</v>
      </c>
      <c r="F71" s="15" t="e">
        <f>COUNTIFS('Risk Register'!#REF!,"*"&amp;C71&amp;"*",'Risk Register'!M:M,"&gt;=16")</f>
        <v>#REF!</v>
      </c>
      <c r="G71" s="15" t="e">
        <f>COUNTIFS('Risk Register'!#REF!,"*"&amp;C71&amp;"*",'Risk Register'!M:M,"&gt;=7",'Risk Register'!M:M,"&lt;=15")</f>
        <v>#REF!</v>
      </c>
      <c r="H71" s="15" t="e">
        <f>COUNTIFS('Risk Register'!#REF!,"*"&amp;C71&amp;"*",'Risk Register'!M:M,"&lt;=6")</f>
        <v>#REF!</v>
      </c>
    </row>
    <row r="72" spans="2:8" ht="24.95" customHeight="1" x14ac:dyDescent="0.25">
      <c r="B72" s="21" t="s">
        <v>80</v>
      </c>
      <c r="C72" s="21" t="s">
        <v>151</v>
      </c>
      <c r="D72" s="22" t="s">
        <v>152</v>
      </c>
      <c r="E72" s="15" t="e">
        <f>COUNTIF('Risk Register'!#REF!,"*"&amp;C72&amp;"*")</f>
        <v>#REF!</v>
      </c>
      <c r="F72" s="15" t="e">
        <f>COUNTIFS('Risk Register'!#REF!,"*"&amp;C72&amp;"*",'Risk Register'!M:M,"&gt;=16")</f>
        <v>#REF!</v>
      </c>
      <c r="G72" s="15" t="e">
        <f>COUNTIFS('Risk Register'!#REF!,"*"&amp;C72&amp;"*",'Risk Register'!M:M,"&gt;=7",'Risk Register'!M:M,"&lt;=15")</f>
        <v>#REF!</v>
      </c>
      <c r="H72" s="15" t="e">
        <f>COUNTIFS('Risk Register'!#REF!,"*"&amp;C72&amp;"*",'Risk Register'!M:M,"&lt;=6")</f>
        <v>#REF!</v>
      </c>
    </row>
    <row r="73" spans="2:8" ht="24.95" customHeight="1" x14ac:dyDescent="0.25">
      <c r="B73" s="21" t="s">
        <v>80</v>
      </c>
      <c r="C73" s="21" t="s">
        <v>153</v>
      </c>
      <c r="D73" s="22" t="s">
        <v>154</v>
      </c>
      <c r="E73" s="15" t="e">
        <f>COUNTIF('Risk Register'!#REF!,"*"&amp;C73&amp;"*")</f>
        <v>#REF!</v>
      </c>
      <c r="F73" s="15" t="e">
        <f>COUNTIFS('Risk Register'!#REF!,"*"&amp;C73&amp;"*",'Risk Register'!M:M,"&gt;=16")</f>
        <v>#REF!</v>
      </c>
      <c r="G73" s="15" t="e">
        <f>COUNTIFS('Risk Register'!#REF!,"*"&amp;C73&amp;"*",'Risk Register'!M:M,"&gt;=7",'Risk Register'!M:M,"&lt;=15")</f>
        <v>#REF!</v>
      </c>
      <c r="H73" s="15" t="e">
        <f>COUNTIFS('Risk Register'!#REF!,"*"&amp;C73&amp;"*",'Risk Register'!M:M,"&lt;=6")</f>
        <v>#REF!</v>
      </c>
    </row>
    <row r="74" spans="2:8" ht="24.95" customHeight="1" x14ac:dyDescent="0.25">
      <c r="B74" s="21" t="s">
        <v>80</v>
      </c>
      <c r="C74" s="21" t="s">
        <v>155</v>
      </c>
      <c r="D74" s="22" t="s">
        <v>156</v>
      </c>
      <c r="E74" s="15" t="e">
        <f>COUNTIF('Risk Register'!#REF!,"*"&amp;C74&amp;"*")</f>
        <v>#REF!</v>
      </c>
      <c r="F74" s="15" t="e">
        <f>COUNTIFS('Risk Register'!#REF!,"*"&amp;C74&amp;"*",'Risk Register'!M:M,"&gt;=16")</f>
        <v>#REF!</v>
      </c>
      <c r="G74" s="15" t="e">
        <f>COUNTIFS('Risk Register'!#REF!,"*"&amp;C74&amp;"*",'Risk Register'!M:M,"&gt;=7",'Risk Register'!M:M,"&lt;=15")</f>
        <v>#REF!</v>
      </c>
      <c r="H74" s="15" t="e">
        <f>COUNTIFS('Risk Register'!#REF!,"*"&amp;C74&amp;"*",'Risk Register'!M:M,"&lt;=6")</f>
        <v>#REF!</v>
      </c>
    </row>
    <row r="75" spans="2:8" ht="24.95" customHeight="1" x14ac:dyDescent="0.25">
      <c r="B75" s="21" t="s">
        <v>80</v>
      </c>
      <c r="C75" s="21" t="s">
        <v>157</v>
      </c>
      <c r="D75" s="22" t="s">
        <v>158</v>
      </c>
      <c r="E75" s="15" t="e">
        <f>COUNTIF('Risk Register'!#REF!,"*"&amp;C75&amp;"*")</f>
        <v>#REF!</v>
      </c>
      <c r="F75" s="15" t="e">
        <f>COUNTIFS('Risk Register'!#REF!,"*"&amp;C75&amp;"*",'Risk Register'!M:M,"&gt;=16")</f>
        <v>#REF!</v>
      </c>
      <c r="G75" s="15" t="e">
        <f>COUNTIFS('Risk Register'!#REF!,"*"&amp;C75&amp;"*",'Risk Register'!M:M,"&gt;=7",'Risk Register'!M:M,"&lt;=15")</f>
        <v>#REF!</v>
      </c>
      <c r="H75" s="15" t="e">
        <f>COUNTIFS('Risk Register'!#REF!,"*"&amp;C75&amp;"*",'Risk Register'!M:M,"&lt;=6")</f>
        <v>#REF!</v>
      </c>
    </row>
    <row r="76" spans="2:8" ht="24.95" customHeight="1" x14ac:dyDescent="0.25">
      <c r="B76" s="21" t="s">
        <v>80</v>
      </c>
      <c r="C76" s="21" t="s">
        <v>159</v>
      </c>
      <c r="D76" s="22" t="s">
        <v>160</v>
      </c>
      <c r="E76" s="15" t="e">
        <f>COUNTIF('Risk Register'!#REF!,"*"&amp;C76&amp;"*")</f>
        <v>#REF!</v>
      </c>
      <c r="F76" s="15" t="e">
        <f>COUNTIFS('Risk Register'!#REF!,"*"&amp;C76&amp;"*",'Risk Register'!M:M,"&gt;=16")</f>
        <v>#REF!</v>
      </c>
      <c r="G76" s="15" t="e">
        <f>COUNTIFS('Risk Register'!#REF!,"*"&amp;C76&amp;"*",'Risk Register'!M:M,"&gt;=7",'Risk Register'!M:M,"&lt;=15")</f>
        <v>#REF!</v>
      </c>
      <c r="H76" s="15" t="e">
        <f>COUNTIFS('Risk Register'!#REF!,"*"&amp;C76&amp;"*",'Risk Register'!M:M,"&lt;=6")</f>
        <v>#REF!</v>
      </c>
    </row>
    <row r="77" spans="2:8" ht="24.95" customHeight="1" x14ac:dyDescent="0.25">
      <c r="B77" s="21" t="s">
        <v>80</v>
      </c>
      <c r="C77" s="21" t="s">
        <v>161</v>
      </c>
      <c r="D77" s="22" t="s">
        <v>162</v>
      </c>
      <c r="E77" s="15" t="e">
        <f>COUNTIF('Risk Register'!#REF!,"*"&amp;C77&amp;"*")</f>
        <v>#REF!</v>
      </c>
      <c r="F77" s="15" t="e">
        <f>COUNTIFS('Risk Register'!#REF!,"*"&amp;C77&amp;"*",'Risk Register'!M:M,"&gt;=16")</f>
        <v>#REF!</v>
      </c>
      <c r="G77" s="15" t="e">
        <f>COUNTIFS('Risk Register'!#REF!,"*"&amp;C77&amp;"*",'Risk Register'!M:M,"&gt;=7",'Risk Register'!M:M,"&lt;=15")</f>
        <v>#REF!</v>
      </c>
      <c r="H77" s="15" t="e">
        <f>COUNTIFS('Risk Register'!#REF!,"*"&amp;C77&amp;"*",'Risk Register'!M:M,"&lt;=6")</f>
        <v>#REF!</v>
      </c>
    </row>
  </sheetData>
  <autoFilter ref="B2:I77" xr:uid="{00000000-0009-0000-0000-000000000000}"/>
  <conditionalFormatting sqref="F3:F77">
    <cfRule type="cellIs" dxfId="73" priority="3" operator="greaterThan">
      <formula>0.5</formula>
    </cfRule>
  </conditionalFormatting>
  <conditionalFormatting sqref="G3:G77">
    <cfRule type="cellIs" dxfId="72" priority="2" operator="greaterThan">
      <formula>0.5</formula>
    </cfRule>
  </conditionalFormatting>
  <conditionalFormatting sqref="H3:H77">
    <cfRule type="cellIs" dxfId="71" priority="1" operator="greaterThan">
      <formula>0.5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3" tint="0.39997558519241921"/>
    <pageSetUpPr fitToPage="1"/>
  </sheetPr>
  <dimension ref="A1:U58"/>
  <sheetViews>
    <sheetView showGridLines="0" tabSelected="1" zoomScale="50" zoomScaleNormal="50" workbookViewId="0">
      <pane ySplit="5" topLeftCell="A6" activePane="bottomLeft" state="frozen"/>
      <selection pane="bottomLeft" activeCell="M6" sqref="M6"/>
    </sheetView>
  </sheetViews>
  <sheetFormatPr defaultColWidth="11" defaultRowHeight="15.75" x14ac:dyDescent="0.25"/>
  <cols>
    <col min="1" max="1" width="3.125" customWidth="1"/>
    <col min="2" max="2" width="9.625" style="12" customWidth="1"/>
    <col min="3" max="3" width="15.125" style="12" bestFit="1" customWidth="1"/>
    <col min="4" max="4" width="13.5" style="32" customWidth="1"/>
    <col min="5" max="5" width="27.5" style="12" customWidth="1"/>
    <col min="6" max="6" width="40.5" style="12" customWidth="1"/>
    <col min="7" max="7" width="30.5" style="12" customWidth="1"/>
    <col min="8" max="8" width="21" style="7" customWidth="1"/>
    <col min="9" max="9" width="21" style="7" hidden="1" customWidth="1"/>
    <col min="10" max="10" width="26.125" style="7" customWidth="1"/>
    <col min="11" max="11" width="26.125" style="7" hidden="1" customWidth="1"/>
    <col min="12" max="12" width="26.125" style="7" customWidth="1"/>
    <col min="13" max="13" width="27.625" style="7" customWidth="1"/>
    <col min="14" max="14" width="35.5" style="25" customWidth="1"/>
    <col min="15" max="15" width="31.875" customWidth="1"/>
    <col min="16" max="16" width="20.5" customWidth="1"/>
    <col min="17" max="18" width="30.5" style="12" customWidth="1"/>
    <col min="19" max="19" width="25.625" style="7" customWidth="1"/>
    <col min="20" max="20" width="21.625" style="31" customWidth="1"/>
    <col min="21" max="21" width="17.875" style="29" customWidth="1"/>
    <col min="27" max="27" width="3.125" customWidth="1"/>
  </cols>
  <sheetData>
    <row r="1" spans="1:21" ht="50.1" customHeight="1" x14ac:dyDescent="0.4">
      <c r="B1" s="33" t="s">
        <v>163</v>
      </c>
      <c r="C1" s="13"/>
      <c r="E1" s="13"/>
      <c r="F1" s="13"/>
      <c r="G1" s="13"/>
      <c r="H1" s="9"/>
      <c r="I1" s="9"/>
      <c r="J1" s="6"/>
      <c r="K1" s="6"/>
      <c r="L1" s="6"/>
      <c r="M1" s="6"/>
      <c r="N1" s="26"/>
      <c r="Q1" s="13"/>
      <c r="R1" s="13"/>
      <c r="S1" s="6"/>
      <c r="T1" s="30"/>
      <c r="U1" s="28"/>
    </row>
    <row r="2" spans="1:21" ht="50.1" customHeight="1" x14ac:dyDescent="0.4">
      <c r="B2" s="33"/>
      <c r="C2" s="13"/>
      <c r="E2" s="13"/>
      <c r="F2" s="13"/>
      <c r="G2" s="13"/>
      <c r="H2" s="9"/>
      <c r="I2" s="9"/>
      <c r="J2" s="6"/>
      <c r="K2" s="6"/>
      <c r="L2" s="6"/>
      <c r="M2" s="6"/>
      <c r="N2" s="26"/>
      <c r="Q2" s="13"/>
      <c r="R2" s="13"/>
      <c r="S2" s="6"/>
      <c r="T2" s="30"/>
      <c r="U2" s="28"/>
    </row>
    <row r="3" spans="1:21" ht="50.1" customHeight="1" x14ac:dyDescent="0.4">
      <c r="B3" s="33"/>
      <c r="C3" s="13"/>
      <c r="E3" s="13"/>
      <c r="F3" s="13"/>
      <c r="G3" s="13"/>
      <c r="H3" s="9"/>
      <c r="I3" s="9"/>
      <c r="J3" s="6"/>
      <c r="K3" s="6"/>
      <c r="L3" s="6"/>
      <c r="M3" s="6"/>
      <c r="N3" s="26"/>
      <c r="Q3" s="13"/>
      <c r="R3" s="13"/>
      <c r="S3" s="6"/>
      <c r="T3" s="30"/>
      <c r="U3" s="28"/>
    </row>
    <row r="4" spans="1:21" ht="50.1" customHeight="1" x14ac:dyDescent="0.4">
      <c r="B4" s="33"/>
      <c r="C4" s="13"/>
      <c r="E4" s="13"/>
      <c r="F4" s="13"/>
      <c r="G4" s="13"/>
      <c r="H4" s="9"/>
      <c r="I4" s="9"/>
      <c r="J4" s="6"/>
      <c r="K4" s="6"/>
      <c r="L4" s="6"/>
      <c r="M4" s="6"/>
      <c r="N4" s="26"/>
      <c r="Q4" s="13"/>
      <c r="R4" s="13"/>
      <c r="S4" s="6"/>
      <c r="T4" s="30"/>
      <c r="U4" s="28"/>
    </row>
    <row r="5" spans="1:21" s="42" customFormat="1" ht="78.75" customHeight="1" x14ac:dyDescent="0.2">
      <c r="A5" s="34"/>
      <c r="B5" s="52" t="s">
        <v>164</v>
      </c>
      <c r="C5" s="35" t="s">
        <v>165</v>
      </c>
      <c r="D5" s="36" t="s">
        <v>188</v>
      </c>
      <c r="E5" s="37" t="s">
        <v>185</v>
      </c>
      <c r="F5" s="37" t="s">
        <v>187</v>
      </c>
      <c r="G5" s="37" t="s">
        <v>190</v>
      </c>
      <c r="H5" s="38" t="s">
        <v>166</v>
      </c>
      <c r="I5" s="38" t="s">
        <v>7007</v>
      </c>
      <c r="J5" s="38" t="s">
        <v>167</v>
      </c>
      <c r="K5" s="38" t="s">
        <v>5871</v>
      </c>
      <c r="L5" s="38" t="s">
        <v>5870</v>
      </c>
      <c r="M5" s="38" t="s">
        <v>5869</v>
      </c>
      <c r="N5" s="43" t="s">
        <v>192</v>
      </c>
      <c r="O5" s="39" t="s">
        <v>193</v>
      </c>
      <c r="P5" s="39" t="s">
        <v>186</v>
      </c>
      <c r="Q5" s="37" t="s">
        <v>194</v>
      </c>
      <c r="R5" s="64" t="s">
        <v>5762</v>
      </c>
      <c r="S5" s="40" t="s">
        <v>168</v>
      </c>
      <c r="T5" s="36" t="s">
        <v>189</v>
      </c>
      <c r="U5" s="41" t="s">
        <v>183</v>
      </c>
    </row>
    <row r="6" spans="1:21" s="44" customFormat="1" ht="200.25" customHeight="1" x14ac:dyDescent="0.25">
      <c r="B6" s="53" t="s">
        <v>201</v>
      </c>
      <c r="C6" s="45"/>
      <c r="D6" s="46"/>
      <c r="E6" s="45"/>
      <c r="F6" s="45"/>
      <c r="G6" s="45"/>
      <c r="H6" s="48" t="s">
        <v>5865</v>
      </c>
      <c r="I6" s="48">
        <f>VLOOKUP(Tbl_RiskRegister[[#This Row],[Likelihood]],KEY!$G$3:$H$7,2,)</f>
        <v>4</v>
      </c>
      <c r="J6" s="48" t="s">
        <v>5862</v>
      </c>
      <c r="K6" s="48">
        <f>VLOOKUP(Tbl_RiskRegister[[#This Row],[Impact]],KEY!$J$3:$K$7,2,0)</f>
        <v>7</v>
      </c>
      <c r="L6" s="48">
        <f>Tbl_RiskRegister[[#This Row],[SCORE Likelihood]]*Tbl_RiskRegister[[#This Row],[SCORE Impact]]</f>
        <v>28</v>
      </c>
      <c r="M6" s="47" t="str">
        <f>IF(Tbl_RiskRegister[[#This Row],[SCORE Risk]]&lt;=7,"Low",(IF(Tbl_RiskRegister[[#This Row],[SCORE Risk]]&lt;=19,"Medium",(IF(Tbl_RiskRegister[[#This Row],[SCORE Risk]]&gt;19,"High","Error")))))</f>
        <v>High</v>
      </c>
      <c r="N6" s="48"/>
      <c r="O6" s="49"/>
      <c r="P6" s="49"/>
      <c r="Q6" s="45"/>
      <c r="R6" s="45"/>
      <c r="S6" s="48" t="s">
        <v>177</v>
      </c>
      <c r="T6" s="46"/>
      <c r="U6" s="50" t="str">
        <f ca="1">IF(T6=0,"",(IF((TODAY()-T6)&gt;365,"YES","No")))</f>
        <v/>
      </c>
    </row>
    <row r="7" spans="1:21" s="44" customFormat="1" ht="200.25" customHeight="1" x14ac:dyDescent="0.25">
      <c r="B7" s="53" t="s">
        <v>202</v>
      </c>
      <c r="C7" s="45"/>
      <c r="D7" s="46"/>
      <c r="E7" s="45"/>
      <c r="F7" s="45"/>
      <c r="G7" s="45"/>
      <c r="H7" s="48" t="s">
        <v>5865</v>
      </c>
      <c r="I7" s="48">
        <f>VLOOKUP(Tbl_RiskRegister[[#This Row],[Likelihood]],KEY!$G$3:$H$7,2,)</f>
        <v>4</v>
      </c>
      <c r="J7" s="48" t="s">
        <v>5863</v>
      </c>
      <c r="K7" s="48">
        <f>VLOOKUP(Tbl_RiskRegister[[#This Row],[Impact]],KEY!$J$3:$K$7,2,0)</f>
        <v>5</v>
      </c>
      <c r="L7" s="48">
        <f>Tbl_RiskRegister[[#This Row],[SCORE Likelihood]]*Tbl_RiskRegister[[#This Row],[SCORE Impact]]</f>
        <v>20</v>
      </c>
      <c r="M7" s="47" t="str">
        <f>IF(Tbl_RiskRegister[[#This Row],[SCORE Risk]]&lt;=7,"Low",(IF(Tbl_RiskRegister[[#This Row],[SCORE Risk]]&lt;=19,"Medium",(IF(Tbl_RiskRegister[[#This Row],[SCORE Risk]]&gt;19,"High","Error")))))</f>
        <v>High</v>
      </c>
      <c r="N7" s="48"/>
      <c r="O7" s="51"/>
      <c r="P7" s="49"/>
      <c r="Q7" s="45"/>
      <c r="R7" s="45"/>
      <c r="S7" s="48"/>
      <c r="T7" s="46"/>
      <c r="U7" s="50"/>
    </row>
    <row r="8" spans="1:21" s="44" customFormat="1" ht="200.25" customHeight="1" x14ac:dyDescent="0.25">
      <c r="B8" s="53" t="s">
        <v>203</v>
      </c>
      <c r="C8" s="45"/>
      <c r="D8" s="46"/>
      <c r="E8" s="45"/>
      <c r="F8" s="45"/>
      <c r="G8" s="45"/>
      <c r="H8" s="48" t="s">
        <v>5866</v>
      </c>
      <c r="I8" s="48">
        <f>VLOOKUP(Tbl_RiskRegister[[#This Row],[Likelihood]],KEY!$G$3:$H$7,2,)</f>
        <v>3</v>
      </c>
      <c r="J8" s="48" t="s">
        <v>5863</v>
      </c>
      <c r="K8" s="48">
        <f>VLOOKUP(Tbl_RiskRegister[[#This Row],[Impact]],KEY!$J$3:$K$7,2,0)</f>
        <v>5</v>
      </c>
      <c r="L8" s="48">
        <f>Tbl_RiskRegister[[#This Row],[SCORE Likelihood]]*Tbl_RiskRegister[[#This Row],[SCORE Impact]]</f>
        <v>15</v>
      </c>
      <c r="M8" s="47" t="str">
        <f>IF(Tbl_RiskRegister[[#This Row],[SCORE Risk]]&lt;=7,"Low",(IF(Tbl_RiskRegister[[#This Row],[SCORE Risk]]&lt;=19,"Medium",(IF(Tbl_RiskRegister[[#This Row],[SCORE Risk]]&gt;19,"High","Error")))))</f>
        <v>Medium</v>
      </c>
      <c r="N8" s="48"/>
      <c r="O8" s="49"/>
      <c r="P8" s="49"/>
      <c r="Q8" s="45"/>
      <c r="R8" s="45"/>
      <c r="S8" s="48" t="s">
        <v>177</v>
      </c>
      <c r="T8" s="46"/>
      <c r="U8" s="50"/>
    </row>
    <row r="9" spans="1:21" s="44" customFormat="1" ht="200.25" customHeight="1" x14ac:dyDescent="0.25">
      <c r="B9" s="53" t="s">
        <v>204</v>
      </c>
      <c r="C9" s="45"/>
      <c r="D9" s="46"/>
      <c r="E9" s="45"/>
      <c r="F9" s="45"/>
      <c r="G9" s="45"/>
      <c r="H9" s="48" t="s">
        <v>5866</v>
      </c>
      <c r="I9" s="48">
        <f>VLOOKUP(Tbl_RiskRegister[[#This Row],[Likelihood]],KEY!$G$3:$H$7,2,)</f>
        <v>3</v>
      </c>
      <c r="J9" s="48" t="s">
        <v>5863</v>
      </c>
      <c r="K9" s="48">
        <f>VLOOKUP(Tbl_RiskRegister[[#This Row],[Impact]],KEY!$J$3:$K$7,2,0)</f>
        <v>5</v>
      </c>
      <c r="L9" s="48">
        <f>Tbl_RiskRegister[[#This Row],[SCORE Likelihood]]*Tbl_RiskRegister[[#This Row],[SCORE Impact]]</f>
        <v>15</v>
      </c>
      <c r="M9" s="47" t="str">
        <f>IF(Tbl_RiskRegister[[#This Row],[SCORE Risk]]&lt;=7,"Low",(IF(Tbl_RiskRegister[[#This Row],[SCORE Risk]]&lt;=19,"Medium",(IF(Tbl_RiskRegister[[#This Row],[SCORE Risk]]&gt;19,"High","Error")))))</f>
        <v>Medium</v>
      </c>
      <c r="N9" s="48"/>
      <c r="O9" s="49"/>
      <c r="P9" s="49"/>
      <c r="Q9" s="45"/>
      <c r="R9" s="45"/>
      <c r="S9" s="48"/>
      <c r="T9" s="46"/>
      <c r="U9" s="50"/>
    </row>
    <row r="10" spans="1:21" s="44" customFormat="1" ht="200.25" customHeight="1" x14ac:dyDescent="0.25">
      <c r="B10" s="53" t="s">
        <v>205</v>
      </c>
      <c r="C10" s="45"/>
      <c r="D10" s="46"/>
      <c r="E10" s="45"/>
      <c r="F10" s="45"/>
      <c r="G10" s="45"/>
      <c r="H10" s="48" t="s">
        <v>5867</v>
      </c>
      <c r="I10" s="48">
        <f>VLOOKUP(Tbl_RiskRegister[[#This Row],[Likelihood]],KEY!$G$3:$H$7,2,)</f>
        <v>5</v>
      </c>
      <c r="J10" s="48" t="s">
        <v>5863</v>
      </c>
      <c r="K10" s="48">
        <f>VLOOKUP(Tbl_RiskRegister[[#This Row],[Impact]],KEY!$J$3:$K$7,2,0)</f>
        <v>5</v>
      </c>
      <c r="L10" s="48">
        <f>Tbl_RiskRegister[[#This Row],[SCORE Likelihood]]*Tbl_RiskRegister[[#This Row],[SCORE Impact]]</f>
        <v>25</v>
      </c>
      <c r="M10" s="47" t="str">
        <f>IF(Tbl_RiskRegister[[#This Row],[SCORE Risk]]&lt;=7,"Low",(IF(Tbl_RiskRegister[[#This Row],[SCORE Risk]]&lt;=19,"Medium",(IF(Tbl_RiskRegister[[#This Row],[SCORE Risk]]&gt;19,"High","Error")))))</f>
        <v>High</v>
      </c>
      <c r="N10" s="48" t="s">
        <v>7013</v>
      </c>
      <c r="O10" s="49" t="s">
        <v>7014</v>
      </c>
      <c r="P10" s="49"/>
      <c r="Q10" s="45"/>
      <c r="R10" s="45" t="s">
        <v>5080</v>
      </c>
      <c r="S10" s="48" t="s">
        <v>170</v>
      </c>
      <c r="T10" s="46">
        <v>44411</v>
      </c>
      <c r="U10" s="50"/>
    </row>
    <row r="11" spans="1:21" s="44" customFormat="1" ht="200.25" customHeight="1" x14ac:dyDescent="0.25">
      <c r="B11" s="53" t="s">
        <v>206</v>
      </c>
      <c r="C11" s="45"/>
      <c r="D11" s="46"/>
      <c r="E11" s="45"/>
      <c r="F11" s="45"/>
      <c r="G11" s="45"/>
      <c r="H11" s="48" t="s">
        <v>5866</v>
      </c>
      <c r="I11" s="48">
        <f>VLOOKUP(Tbl_RiskRegister[[#This Row],[Likelihood]],KEY!$G$3:$H$7,2,)</f>
        <v>3</v>
      </c>
      <c r="J11" s="48" t="s">
        <v>5863</v>
      </c>
      <c r="K11" s="48">
        <f>VLOOKUP(Tbl_RiskRegister[[#This Row],[Impact]],KEY!$J$3:$K$7,2,0)</f>
        <v>5</v>
      </c>
      <c r="L11" s="48">
        <f>Tbl_RiskRegister[[#This Row],[SCORE Likelihood]]*Tbl_RiskRegister[[#This Row],[SCORE Impact]]</f>
        <v>15</v>
      </c>
      <c r="M11" s="47" t="str">
        <f>IF(Tbl_RiskRegister[[#This Row],[SCORE Risk]]&lt;=7,"Low",(IF(Tbl_RiskRegister[[#This Row],[SCORE Risk]]&lt;=19,"Medium",(IF(Tbl_RiskRegister[[#This Row],[SCORE Risk]]&gt;19,"High","Error")))))</f>
        <v>Medium</v>
      </c>
      <c r="N11" s="48"/>
      <c r="O11" s="49"/>
      <c r="P11" s="49"/>
      <c r="Q11" s="45"/>
      <c r="R11" s="45"/>
      <c r="S11" s="48"/>
      <c r="T11" s="46"/>
      <c r="U11" s="50"/>
    </row>
    <row r="12" spans="1:21" s="44" customFormat="1" ht="200.25" customHeight="1" x14ac:dyDescent="0.25">
      <c r="B12" s="53" t="s">
        <v>207</v>
      </c>
      <c r="C12" s="45"/>
      <c r="D12" s="46"/>
      <c r="E12" s="45"/>
      <c r="F12" s="45"/>
      <c r="G12" s="45"/>
      <c r="H12" s="48" t="s">
        <v>5866</v>
      </c>
      <c r="I12" s="48">
        <f>VLOOKUP(Tbl_RiskRegister[[#This Row],[Likelihood]],KEY!$G$3:$H$7,2,)</f>
        <v>3</v>
      </c>
      <c r="J12" s="48" t="s">
        <v>5863</v>
      </c>
      <c r="K12" s="48">
        <f>VLOOKUP(Tbl_RiskRegister[[#This Row],[Impact]],KEY!$J$3:$K$7,2,0)</f>
        <v>5</v>
      </c>
      <c r="L12" s="48">
        <f>Tbl_RiskRegister[[#This Row],[SCORE Likelihood]]*Tbl_RiskRegister[[#This Row],[SCORE Impact]]</f>
        <v>15</v>
      </c>
      <c r="M12" s="47" t="str">
        <f>IF(Tbl_RiskRegister[[#This Row],[SCORE Risk]]&lt;=7,"Low",(IF(Tbl_RiskRegister[[#This Row],[SCORE Risk]]&lt;=19,"Medium",(IF(Tbl_RiskRegister[[#This Row],[SCORE Risk]]&gt;19,"High","Error")))))</f>
        <v>Medium</v>
      </c>
      <c r="N12" s="48" t="s">
        <v>7023</v>
      </c>
      <c r="O12" s="49"/>
      <c r="P12" s="49"/>
      <c r="Q12" s="45"/>
      <c r="R12" s="45"/>
      <c r="S12" s="48"/>
      <c r="T12" s="46"/>
      <c r="U12" s="50"/>
    </row>
    <row r="13" spans="1:21" s="44" customFormat="1" ht="200.25" customHeight="1" x14ac:dyDescent="0.25">
      <c r="B13" s="53" t="s">
        <v>208</v>
      </c>
      <c r="C13" s="45"/>
      <c r="D13" s="46"/>
      <c r="E13" s="45"/>
      <c r="F13" s="45"/>
      <c r="G13" s="45"/>
      <c r="H13" s="48" t="s">
        <v>5866</v>
      </c>
      <c r="I13" s="48">
        <f>VLOOKUP(Tbl_RiskRegister[[#This Row],[Likelihood]],KEY!$G$3:$H$7,2,)</f>
        <v>3</v>
      </c>
      <c r="J13" s="48" t="s">
        <v>5863</v>
      </c>
      <c r="K13" s="48">
        <f>VLOOKUP(Tbl_RiskRegister[[#This Row],[Impact]],KEY!$J$3:$K$7,2,0)</f>
        <v>5</v>
      </c>
      <c r="L13" s="48">
        <f>Tbl_RiskRegister[[#This Row],[SCORE Likelihood]]*Tbl_RiskRegister[[#This Row],[SCORE Impact]]</f>
        <v>15</v>
      </c>
      <c r="M13" s="47" t="str">
        <f>IF(Tbl_RiskRegister[[#This Row],[SCORE Risk]]&lt;=7,"Low",(IF(Tbl_RiskRegister[[#This Row],[SCORE Risk]]&lt;=19,"Medium",(IF(Tbl_RiskRegister[[#This Row],[SCORE Risk]]&gt;19,"High","Error")))))</f>
        <v>Medium</v>
      </c>
      <c r="N13" s="48"/>
      <c r="O13" s="49"/>
      <c r="P13" s="49"/>
      <c r="Q13" s="45"/>
      <c r="R13" s="45"/>
      <c r="S13" s="48"/>
      <c r="T13" s="46"/>
      <c r="U13" s="50"/>
    </row>
    <row r="14" spans="1:21" s="44" customFormat="1" ht="200.25" customHeight="1" x14ac:dyDescent="0.25">
      <c r="B14" s="53" t="s">
        <v>209</v>
      </c>
      <c r="C14" s="45"/>
      <c r="D14" s="46"/>
      <c r="E14" s="45"/>
      <c r="F14" s="45"/>
      <c r="G14" s="45"/>
      <c r="H14" s="48" t="s">
        <v>5866</v>
      </c>
      <c r="I14" s="48">
        <f>VLOOKUP(Tbl_RiskRegister[[#This Row],[Likelihood]],KEY!$G$3:$H$7,2,)</f>
        <v>3</v>
      </c>
      <c r="J14" s="48" t="s">
        <v>5863</v>
      </c>
      <c r="K14" s="48">
        <f>VLOOKUP(Tbl_RiskRegister[[#This Row],[Impact]],KEY!$J$3:$K$7,2,0)</f>
        <v>5</v>
      </c>
      <c r="L14" s="48">
        <f>Tbl_RiskRegister[[#This Row],[SCORE Likelihood]]*Tbl_RiskRegister[[#This Row],[SCORE Impact]]</f>
        <v>15</v>
      </c>
      <c r="M14" s="47" t="str">
        <f>IF(Tbl_RiskRegister[[#This Row],[SCORE Risk]]&lt;=7,"Low",(IF(Tbl_RiskRegister[[#This Row],[SCORE Risk]]&lt;=19,"Medium",(IF(Tbl_RiskRegister[[#This Row],[SCORE Risk]]&gt;19,"High","Error")))))</f>
        <v>Medium</v>
      </c>
      <c r="N14" s="48"/>
      <c r="O14" s="49"/>
      <c r="P14" s="49"/>
      <c r="Q14" s="45"/>
      <c r="R14" s="45"/>
      <c r="S14" s="48"/>
      <c r="T14" s="46"/>
      <c r="U14" s="50"/>
    </row>
    <row r="15" spans="1:21" s="44" customFormat="1" ht="200.25" customHeight="1" x14ac:dyDescent="0.25">
      <c r="B15" s="53" t="s">
        <v>210</v>
      </c>
      <c r="C15" s="45"/>
      <c r="D15" s="46"/>
      <c r="E15" s="45"/>
      <c r="F15" s="45"/>
      <c r="G15" s="45"/>
      <c r="H15" s="48" t="s">
        <v>5866</v>
      </c>
      <c r="I15" s="48">
        <f>VLOOKUP(Tbl_RiskRegister[[#This Row],[Likelihood]],KEY!$G$3:$H$7,2,)</f>
        <v>3</v>
      </c>
      <c r="J15" s="48" t="s">
        <v>5863</v>
      </c>
      <c r="K15" s="48">
        <f>VLOOKUP(Tbl_RiskRegister[[#This Row],[Impact]],KEY!$J$3:$K$7,2,0)</f>
        <v>5</v>
      </c>
      <c r="L15" s="48">
        <f>Tbl_RiskRegister[[#This Row],[SCORE Likelihood]]*Tbl_RiskRegister[[#This Row],[SCORE Impact]]</f>
        <v>15</v>
      </c>
      <c r="M15" s="47" t="str">
        <f>IF(Tbl_RiskRegister[[#This Row],[SCORE Risk]]&lt;=7,"Low",(IF(Tbl_RiskRegister[[#This Row],[SCORE Risk]]&lt;=19,"Medium",(IF(Tbl_RiskRegister[[#This Row],[SCORE Risk]]&gt;19,"High","Error")))))</f>
        <v>Medium</v>
      </c>
      <c r="N15" s="48"/>
      <c r="O15" s="49"/>
      <c r="P15" s="49"/>
      <c r="Q15" s="45"/>
      <c r="R15" s="45"/>
      <c r="S15" s="48"/>
      <c r="T15" s="46"/>
      <c r="U15" s="50"/>
    </row>
    <row r="16" spans="1:21" s="44" customFormat="1" ht="200.25" customHeight="1" x14ac:dyDescent="0.25">
      <c r="B16" s="53" t="s">
        <v>211</v>
      </c>
      <c r="C16" s="45"/>
      <c r="D16" s="46"/>
      <c r="E16" s="45"/>
      <c r="F16" s="45"/>
      <c r="G16" s="45"/>
      <c r="H16" s="48" t="s">
        <v>5866</v>
      </c>
      <c r="I16" s="48">
        <f>VLOOKUP(Tbl_RiskRegister[[#This Row],[Likelihood]],KEY!$G$3:$H$7,2,)</f>
        <v>3</v>
      </c>
      <c r="J16" s="48" t="s">
        <v>5863</v>
      </c>
      <c r="K16" s="48">
        <f>VLOOKUP(Tbl_RiskRegister[[#This Row],[Impact]],KEY!$J$3:$K$7,2,0)</f>
        <v>5</v>
      </c>
      <c r="L16" s="48">
        <f>Tbl_RiskRegister[[#This Row],[SCORE Likelihood]]*Tbl_RiskRegister[[#This Row],[SCORE Impact]]</f>
        <v>15</v>
      </c>
      <c r="M16" s="47" t="str">
        <f>IF(Tbl_RiskRegister[[#This Row],[SCORE Risk]]&lt;=7,"Low",(IF(Tbl_RiskRegister[[#This Row],[SCORE Risk]]&lt;=19,"Medium",(IF(Tbl_RiskRegister[[#This Row],[SCORE Risk]]&gt;19,"High","Error")))))</f>
        <v>Medium</v>
      </c>
      <c r="N16" s="48"/>
      <c r="O16" s="49"/>
      <c r="P16" s="49"/>
      <c r="Q16" s="45"/>
      <c r="R16" s="45"/>
      <c r="S16" s="48"/>
      <c r="T16" s="46"/>
      <c r="U16" s="50"/>
    </row>
    <row r="17" spans="2:21" s="44" customFormat="1" ht="200.25" customHeight="1" x14ac:dyDescent="0.25">
      <c r="B17" s="53" t="s">
        <v>212</v>
      </c>
      <c r="C17" s="45"/>
      <c r="D17" s="46"/>
      <c r="E17" s="45"/>
      <c r="F17" s="45"/>
      <c r="G17" s="45"/>
      <c r="H17" s="48" t="s">
        <v>5866</v>
      </c>
      <c r="I17" s="48">
        <f>VLOOKUP(Tbl_RiskRegister[[#This Row],[Likelihood]],KEY!$G$3:$H$7,2,)</f>
        <v>3</v>
      </c>
      <c r="J17" s="48" t="s">
        <v>5863</v>
      </c>
      <c r="K17" s="48">
        <f>VLOOKUP(Tbl_RiskRegister[[#This Row],[Impact]],KEY!$J$3:$K$7,2,0)</f>
        <v>5</v>
      </c>
      <c r="L17" s="48">
        <f>Tbl_RiskRegister[[#This Row],[SCORE Likelihood]]*Tbl_RiskRegister[[#This Row],[SCORE Impact]]</f>
        <v>15</v>
      </c>
      <c r="M17" s="47" t="str">
        <f>IF(Tbl_RiskRegister[[#This Row],[SCORE Risk]]&lt;=7,"Low",(IF(Tbl_RiskRegister[[#This Row],[SCORE Risk]]&lt;=19,"Medium",(IF(Tbl_RiskRegister[[#This Row],[SCORE Risk]]&gt;19,"High","Error")))))</f>
        <v>Medium</v>
      </c>
      <c r="N17" s="48"/>
      <c r="O17" s="49"/>
      <c r="P17" s="49"/>
      <c r="Q17" s="45"/>
      <c r="R17" s="45"/>
      <c r="S17" s="48"/>
      <c r="T17" s="46"/>
      <c r="U17" s="50"/>
    </row>
    <row r="18" spans="2:21" s="44" customFormat="1" ht="200.25" customHeight="1" x14ac:dyDescent="0.25">
      <c r="B18" s="53" t="s">
        <v>213</v>
      </c>
      <c r="C18" s="45"/>
      <c r="D18" s="46"/>
      <c r="E18" s="45"/>
      <c r="F18" s="45"/>
      <c r="G18" s="45"/>
      <c r="H18" s="48" t="s">
        <v>5866</v>
      </c>
      <c r="I18" s="48">
        <f>VLOOKUP(Tbl_RiskRegister[[#This Row],[Likelihood]],KEY!$G$3:$H$7,2,)</f>
        <v>3</v>
      </c>
      <c r="J18" s="48" t="s">
        <v>5863</v>
      </c>
      <c r="K18" s="48">
        <f>VLOOKUP(Tbl_RiskRegister[[#This Row],[Impact]],KEY!$J$3:$K$7,2,0)</f>
        <v>5</v>
      </c>
      <c r="L18" s="48">
        <f>Tbl_RiskRegister[[#This Row],[SCORE Likelihood]]*Tbl_RiskRegister[[#This Row],[SCORE Impact]]</f>
        <v>15</v>
      </c>
      <c r="M18" s="47" t="str">
        <f>IF(Tbl_RiskRegister[[#This Row],[SCORE Risk]]&lt;=7,"Low",(IF(Tbl_RiskRegister[[#This Row],[SCORE Risk]]&lt;=19,"Medium",(IF(Tbl_RiskRegister[[#This Row],[SCORE Risk]]&gt;19,"High","Error")))))</f>
        <v>Medium</v>
      </c>
      <c r="N18" s="48"/>
      <c r="O18" s="49"/>
      <c r="P18" s="49"/>
      <c r="Q18" s="45"/>
      <c r="R18" s="45"/>
      <c r="S18" s="48"/>
      <c r="T18" s="46"/>
      <c r="U18" s="50"/>
    </row>
    <row r="19" spans="2:21" s="44" customFormat="1" ht="200.25" customHeight="1" x14ac:dyDescent="0.25">
      <c r="B19" s="53" t="s">
        <v>214</v>
      </c>
      <c r="C19" s="45"/>
      <c r="D19" s="46"/>
      <c r="E19" s="45"/>
      <c r="F19" s="45"/>
      <c r="G19" s="45"/>
      <c r="H19" s="48" t="s">
        <v>5866</v>
      </c>
      <c r="I19" s="48">
        <f>VLOOKUP(Tbl_RiskRegister[[#This Row],[Likelihood]],KEY!$G$3:$H$7,2,)</f>
        <v>3</v>
      </c>
      <c r="J19" s="48" t="s">
        <v>5863</v>
      </c>
      <c r="K19" s="48">
        <f>VLOOKUP(Tbl_RiskRegister[[#This Row],[Impact]],KEY!$J$3:$K$7,2,0)</f>
        <v>5</v>
      </c>
      <c r="L19" s="48">
        <f>Tbl_RiskRegister[[#This Row],[SCORE Likelihood]]*Tbl_RiskRegister[[#This Row],[SCORE Impact]]</f>
        <v>15</v>
      </c>
      <c r="M19" s="47" t="str">
        <f>IF(Tbl_RiskRegister[[#This Row],[SCORE Risk]]&lt;=7,"Low",(IF(Tbl_RiskRegister[[#This Row],[SCORE Risk]]&lt;=19,"Medium",(IF(Tbl_RiskRegister[[#This Row],[SCORE Risk]]&gt;19,"High","Error")))))</f>
        <v>Medium</v>
      </c>
      <c r="N19" s="48"/>
      <c r="O19" s="49"/>
      <c r="P19" s="49"/>
      <c r="Q19" s="48"/>
      <c r="R19" s="48"/>
      <c r="S19" s="48"/>
      <c r="T19" s="46"/>
      <c r="U19" s="50"/>
    </row>
    <row r="20" spans="2:21" s="44" customFormat="1" ht="200.25" customHeight="1" x14ac:dyDescent="0.25">
      <c r="B20" s="53" t="s">
        <v>215</v>
      </c>
      <c r="C20" s="45"/>
      <c r="D20" s="46"/>
      <c r="E20" s="45"/>
      <c r="F20" s="45"/>
      <c r="G20" s="45"/>
      <c r="H20" s="48" t="s">
        <v>5866</v>
      </c>
      <c r="I20" s="48">
        <f>VLOOKUP(Tbl_RiskRegister[[#This Row],[Likelihood]],KEY!$G$3:$H$7,2,)</f>
        <v>3</v>
      </c>
      <c r="J20" s="48" t="s">
        <v>5863</v>
      </c>
      <c r="K20" s="48">
        <f>VLOOKUP(Tbl_RiskRegister[[#This Row],[Impact]],KEY!$J$3:$K$7,2,0)</f>
        <v>5</v>
      </c>
      <c r="L20" s="48">
        <f>Tbl_RiskRegister[[#This Row],[SCORE Likelihood]]*Tbl_RiskRegister[[#This Row],[SCORE Impact]]</f>
        <v>15</v>
      </c>
      <c r="M20" s="47" t="str">
        <f>IF(Tbl_RiskRegister[[#This Row],[SCORE Risk]]&lt;=7,"Low",(IF(Tbl_RiskRegister[[#This Row],[SCORE Risk]]&lt;=19,"Medium",(IF(Tbl_RiskRegister[[#This Row],[SCORE Risk]]&gt;19,"High","Error")))))</f>
        <v>Medium</v>
      </c>
      <c r="N20" s="48"/>
      <c r="O20" s="49"/>
      <c r="P20" s="49"/>
      <c r="Q20" s="48"/>
      <c r="R20" s="48"/>
      <c r="S20" s="48"/>
      <c r="T20" s="46"/>
      <c r="U20" s="50"/>
    </row>
    <row r="21" spans="2:21" s="44" customFormat="1" ht="200.25" customHeight="1" x14ac:dyDescent="0.25">
      <c r="B21" s="53" t="s">
        <v>216</v>
      </c>
      <c r="C21" s="45"/>
      <c r="D21" s="46"/>
      <c r="E21" s="45"/>
      <c r="F21" s="45"/>
      <c r="G21" s="45"/>
      <c r="H21" s="48" t="s">
        <v>5866</v>
      </c>
      <c r="I21" s="48">
        <f>VLOOKUP(Tbl_RiskRegister[[#This Row],[Likelihood]],KEY!$G$3:$H$7,2,)</f>
        <v>3</v>
      </c>
      <c r="J21" s="48" t="s">
        <v>5863</v>
      </c>
      <c r="K21" s="48">
        <f>VLOOKUP(Tbl_RiskRegister[[#This Row],[Impact]],KEY!$J$3:$K$7,2,0)</f>
        <v>5</v>
      </c>
      <c r="L21" s="48">
        <f>Tbl_RiskRegister[[#This Row],[SCORE Likelihood]]*Tbl_RiskRegister[[#This Row],[SCORE Impact]]</f>
        <v>15</v>
      </c>
      <c r="M21" s="47" t="str">
        <f>IF(Tbl_RiskRegister[[#This Row],[SCORE Risk]]&lt;=7,"Low",(IF(Tbl_RiskRegister[[#This Row],[SCORE Risk]]&lt;=19,"Medium",(IF(Tbl_RiskRegister[[#This Row],[SCORE Risk]]&gt;19,"High","Error")))))</f>
        <v>Medium</v>
      </c>
      <c r="N21" s="48"/>
      <c r="O21" s="49"/>
      <c r="P21" s="49"/>
      <c r="Q21" s="45"/>
      <c r="R21" s="45"/>
      <c r="S21" s="48"/>
      <c r="T21" s="46"/>
      <c r="U21" s="50"/>
    </row>
    <row r="22" spans="2:21" s="44" customFormat="1" ht="200.25" customHeight="1" x14ac:dyDescent="0.25">
      <c r="B22" s="53" t="s">
        <v>217</v>
      </c>
      <c r="C22" s="45"/>
      <c r="D22" s="46"/>
      <c r="E22" s="45"/>
      <c r="F22" s="45"/>
      <c r="G22" s="45"/>
      <c r="H22" s="48" t="s">
        <v>5866</v>
      </c>
      <c r="I22" s="48">
        <f>VLOOKUP(Tbl_RiskRegister[[#This Row],[Likelihood]],KEY!$G$3:$H$7,2,)</f>
        <v>3</v>
      </c>
      <c r="J22" s="48" t="s">
        <v>5863</v>
      </c>
      <c r="K22" s="48">
        <f>VLOOKUP(Tbl_RiskRegister[[#This Row],[Impact]],KEY!$J$3:$K$7,2,0)</f>
        <v>5</v>
      </c>
      <c r="L22" s="48">
        <f>Tbl_RiskRegister[[#This Row],[SCORE Likelihood]]*Tbl_RiskRegister[[#This Row],[SCORE Impact]]</f>
        <v>15</v>
      </c>
      <c r="M22" s="47" t="str">
        <f>IF(Tbl_RiskRegister[[#This Row],[SCORE Risk]]&lt;=7,"Low",(IF(Tbl_RiskRegister[[#This Row],[SCORE Risk]]&lt;=19,"Medium",(IF(Tbl_RiskRegister[[#This Row],[SCORE Risk]]&gt;19,"High","Error")))))</f>
        <v>Medium</v>
      </c>
      <c r="N22" s="48"/>
      <c r="O22" s="49"/>
      <c r="P22" s="49"/>
      <c r="Q22" s="45"/>
      <c r="R22" s="45"/>
      <c r="S22" s="48"/>
      <c r="T22" s="46"/>
      <c r="U22" s="50"/>
    </row>
    <row r="23" spans="2:21" s="44" customFormat="1" ht="200.25" customHeight="1" x14ac:dyDescent="0.25">
      <c r="B23" s="53" t="s">
        <v>218</v>
      </c>
      <c r="C23" s="45"/>
      <c r="D23" s="46"/>
      <c r="E23" s="45"/>
      <c r="F23" s="45"/>
      <c r="G23" s="45"/>
      <c r="H23" s="48" t="s">
        <v>5866</v>
      </c>
      <c r="I23" s="48">
        <f>VLOOKUP(Tbl_RiskRegister[[#This Row],[Likelihood]],KEY!$G$3:$H$7,2,)</f>
        <v>3</v>
      </c>
      <c r="J23" s="48" t="s">
        <v>5863</v>
      </c>
      <c r="K23" s="48">
        <f>VLOOKUP(Tbl_RiskRegister[[#This Row],[Impact]],KEY!$J$3:$K$7,2,0)</f>
        <v>5</v>
      </c>
      <c r="L23" s="48">
        <f>Tbl_RiskRegister[[#This Row],[SCORE Likelihood]]*Tbl_RiskRegister[[#This Row],[SCORE Impact]]</f>
        <v>15</v>
      </c>
      <c r="M23" s="47" t="str">
        <f>IF(Tbl_RiskRegister[[#This Row],[SCORE Risk]]&lt;=7,"Low",(IF(Tbl_RiskRegister[[#This Row],[SCORE Risk]]&lt;=19,"Medium",(IF(Tbl_RiskRegister[[#This Row],[SCORE Risk]]&gt;19,"High","Error")))))</f>
        <v>Medium</v>
      </c>
      <c r="N23" s="48"/>
      <c r="O23" s="49"/>
      <c r="P23" s="49"/>
      <c r="Q23" s="45"/>
      <c r="R23" s="45"/>
      <c r="S23" s="48"/>
      <c r="T23" s="46"/>
      <c r="U23" s="50"/>
    </row>
    <row r="24" spans="2:21" s="44" customFormat="1" ht="200.25" customHeight="1" x14ac:dyDescent="0.25">
      <c r="B24" s="53" t="s">
        <v>219</v>
      </c>
      <c r="C24" s="45"/>
      <c r="D24" s="46"/>
      <c r="E24" s="45"/>
      <c r="F24" s="45"/>
      <c r="G24" s="45"/>
      <c r="H24" s="48" t="s">
        <v>5866</v>
      </c>
      <c r="I24" s="48">
        <f>VLOOKUP(Tbl_RiskRegister[[#This Row],[Likelihood]],KEY!$G$3:$H$7,2,)</f>
        <v>3</v>
      </c>
      <c r="J24" s="48" t="s">
        <v>5863</v>
      </c>
      <c r="K24" s="48">
        <f>VLOOKUP(Tbl_RiskRegister[[#This Row],[Impact]],KEY!$J$3:$K$7,2,0)</f>
        <v>5</v>
      </c>
      <c r="L24" s="48">
        <f>Tbl_RiskRegister[[#This Row],[SCORE Likelihood]]*Tbl_RiskRegister[[#This Row],[SCORE Impact]]</f>
        <v>15</v>
      </c>
      <c r="M24" s="47" t="str">
        <f>IF(Tbl_RiskRegister[[#This Row],[SCORE Risk]]&lt;=7,"Low",(IF(Tbl_RiskRegister[[#This Row],[SCORE Risk]]&lt;=19,"Medium",(IF(Tbl_RiskRegister[[#This Row],[SCORE Risk]]&gt;19,"High","Error")))))</f>
        <v>Medium</v>
      </c>
      <c r="N24" s="48"/>
      <c r="O24" s="49"/>
      <c r="P24" s="49"/>
      <c r="Q24" s="45"/>
      <c r="R24" s="45"/>
      <c r="S24" s="48"/>
      <c r="T24" s="46"/>
      <c r="U24" s="50"/>
    </row>
    <row r="25" spans="2:21" s="44" customFormat="1" ht="200.25" customHeight="1" x14ac:dyDescent="0.25">
      <c r="B25" s="53" t="s">
        <v>220</v>
      </c>
      <c r="C25" s="45"/>
      <c r="D25" s="46"/>
      <c r="E25" s="45"/>
      <c r="F25" s="45"/>
      <c r="G25" s="45"/>
      <c r="H25" s="48" t="s">
        <v>5866</v>
      </c>
      <c r="I25" s="48">
        <f>VLOOKUP(Tbl_RiskRegister[[#This Row],[Likelihood]],KEY!$G$3:$H$7,2,)</f>
        <v>3</v>
      </c>
      <c r="J25" s="48" t="s">
        <v>5863</v>
      </c>
      <c r="K25" s="48">
        <f>VLOOKUP(Tbl_RiskRegister[[#This Row],[Impact]],KEY!$J$3:$K$7,2,0)</f>
        <v>5</v>
      </c>
      <c r="L25" s="48">
        <f>Tbl_RiskRegister[[#This Row],[SCORE Likelihood]]*Tbl_RiskRegister[[#This Row],[SCORE Impact]]</f>
        <v>15</v>
      </c>
      <c r="M25" s="47" t="str">
        <f>IF(Tbl_RiskRegister[[#This Row],[SCORE Risk]]&lt;=7,"Low",(IF(Tbl_RiskRegister[[#This Row],[SCORE Risk]]&lt;=19,"Medium",(IF(Tbl_RiskRegister[[#This Row],[SCORE Risk]]&gt;19,"High","Error")))))</f>
        <v>Medium</v>
      </c>
      <c r="N25" s="48"/>
      <c r="O25" s="49"/>
      <c r="P25" s="49"/>
      <c r="Q25" s="45"/>
      <c r="R25" s="45"/>
      <c r="S25" s="48"/>
      <c r="T25" s="46"/>
      <c r="U25" s="50"/>
    </row>
    <row r="26" spans="2:21" s="44" customFormat="1" ht="200.25" customHeight="1" x14ac:dyDescent="0.25">
      <c r="B26" s="53" t="s">
        <v>221</v>
      </c>
      <c r="C26" s="45"/>
      <c r="D26" s="46"/>
      <c r="E26" s="45"/>
      <c r="F26" s="45"/>
      <c r="G26" s="45"/>
      <c r="H26" s="48" t="s">
        <v>5866</v>
      </c>
      <c r="I26" s="48">
        <f>VLOOKUP(Tbl_RiskRegister[[#This Row],[Likelihood]],KEY!$G$3:$H$7,2,)</f>
        <v>3</v>
      </c>
      <c r="J26" s="48" t="s">
        <v>5863</v>
      </c>
      <c r="K26" s="48">
        <f>VLOOKUP(Tbl_RiskRegister[[#This Row],[Impact]],KEY!$J$3:$K$7,2,0)</f>
        <v>5</v>
      </c>
      <c r="L26" s="48">
        <f>Tbl_RiskRegister[[#This Row],[SCORE Likelihood]]*Tbl_RiskRegister[[#This Row],[SCORE Impact]]</f>
        <v>15</v>
      </c>
      <c r="M26" s="47" t="str">
        <f>IF(Tbl_RiskRegister[[#This Row],[SCORE Risk]]&lt;=7,"Low",(IF(Tbl_RiskRegister[[#This Row],[SCORE Risk]]&lt;=19,"Medium",(IF(Tbl_RiskRegister[[#This Row],[SCORE Risk]]&gt;19,"High","Error")))))</f>
        <v>Medium</v>
      </c>
      <c r="N26" s="48"/>
      <c r="O26" s="49"/>
      <c r="P26" s="49"/>
      <c r="Q26" s="45"/>
      <c r="R26" s="45"/>
      <c r="S26" s="48"/>
      <c r="T26" s="46"/>
      <c r="U26" s="50"/>
    </row>
    <row r="27" spans="2:21" s="44" customFormat="1" ht="200.25" customHeight="1" x14ac:dyDescent="0.25">
      <c r="B27" s="53" t="s">
        <v>222</v>
      </c>
      <c r="C27" s="45"/>
      <c r="D27" s="46"/>
      <c r="E27" s="45"/>
      <c r="F27" s="45"/>
      <c r="G27" s="45"/>
      <c r="H27" s="48" t="s">
        <v>5866</v>
      </c>
      <c r="I27" s="48">
        <f>VLOOKUP(Tbl_RiskRegister[[#This Row],[Likelihood]],KEY!$G$3:$H$7,2,)</f>
        <v>3</v>
      </c>
      <c r="J27" s="48" t="s">
        <v>5863</v>
      </c>
      <c r="K27" s="48">
        <f>VLOOKUP(Tbl_RiskRegister[[#This Row],[Impact]],KEY!$J$3:$K$7,2,0)</f>
        <v>5</v>
      </c>
      <c r="L27" s="48">
        <f>Tbl_RiskRegister[[#This Row],[SCORE Likelihood]]*Tbl_RiskRegister[[#This Row],[SCORE Impact]]</f>
        <v>15</v>
      </c>
      <c r="M27" s="47" t="str">
        <f>IF(Tbl_RiskRegister[[#This Row],[SCORE Risk]]&lt;=7,"Low",(IF(Tbl_RiskRegister[[#This Row],[SCORE Risk]]&lt;=19,"Medium",(IF(Tbl_RiskRegister[[#This Row],[SCORE Risk]]&gt;19,"High","Error")))))</f>
        <v>Medium</v>
      </c>
      <c r="N27" s="48"/>
      <c r="O27" s="49"/>
      <c r="P27" s="49"/>
      <c r="Q27" s="45"/>
      <c r="R27" s="45"/>
      <c r="S27" s="48"/>
      <c r="T27" s="46"/>
      <c r="U27" s="50"/>
    </row>
    <row r="28" spans="2:21" s="44" customFormat="1" ht="200.25" customHeight="1" x14ac:dyDescent="0.25">
      <c r="B28" s="53" t="s">
        <v>223</v>
      </c>
      <c r="C28" s="45"/>
      <c r="D28" s="46"/>
      <c r="E28" s="45"/>
      <c r="F28" s="45"/>
      <c r="G28" s="45"/>
      <c r="H28" s="48" t="s">
        <v>5866</v>
      </c>
      <c r="I28" s="48">
        <f>VLOOKUP(Tbl_RiskRegister[[#This Row],[Likelihood]],KEY!$G$3:$H$7,2,)</f>
        <v>3</v>
      </c>
      <c r="J28" s="48" t="s">
        <v>5863</v>
      </c>
      <c r="K28" s="48">
        <f>VLOOKUP(Tbl_RiskRegister[[#This Row],[Impact]],KEY!$J$3:$K$7,2,0)</f>
        <v>5</v>
      </c>
      <c r="L28" s="48">
        <f>Tbl_RiskRegister[[#This Row],[SCORE Likelihood]]*Tbl_RiskRegister[[#This Row],[SCORE Impact]]</f>
        <v>15</v>
      </c>
      <c r="M28" s="47" t="str">
        <f>IF(Tbl_RiskRegister[[#This Row],[SCORE Risk]]&lt;=7,"Low",(IF(Tbl_RiskRegister[[#This Row],[SCORE Risk]]&lt;=19,"Medium",(IF(Tbl_RiskRegister[[#This Row],[SCORE Risk]]&gt;19,"High","Error")))))</f>
        <v>Medium</v>
      </c>
      <c r="N28" s="48"/>
      <c r="O28" s="49"/>
      <c r="P28" s="49"/>
      <c r="Q28" s="45"/>
      <c r="R28" s="45"/>
      <c r="S28" s="48"/>
      <c r="T28" s="46"/>
      <c r="U28" s="50"/>
    </row>
    <row r="29" spans="2:21" s="44" customFormat="1" ht="200.25" customHeight="1" x14ac:dyDescent="0.25">
      <c r="B29" s="53" t="s">
        <v>224</v>
      </c>
      <c r="C29" s="45"/>
      <c r="D29" s="46"/>
      <c r="E29" s="45"/>
      <c r="F29" s="45"/>
      <c r="G29" s="45"/>
      <c r="H29" s="48" t="s">
        <v>5866</v>
      </c>
      <c r="I29" s="48">
        <f>VLOOKUP(Tbl_RiskRegister[[#This Row],[Likelihood]],KEY!$G$3:$H$7,2,)</f>
        <v>3</v>
      </c>
      <c r="J29" s="48" t="s">
        <v>5863</v>
      </c>
      <c r="K29" s="48">
        <f>VLOOKUP(Tbl_RiskRegister[[#This Row],[Impact]],KEY!$J$3:$K$7,2,0)</f>
        <v>5</v>
      </c>
      <c r="L29" s="48">
        <f>Tbl_RiskRegister[[#This Row],[SCORE Likelihood]]*Tbl_RiskRegister[[#This Row],[SCORE Impact]]</f>
        <v>15</v>
      </c>
      <c r="M29" s="47" t="str">
        <f>IF(Tbl_RiskRegister[[#This Row],[SCORE Risk]]&lt;=7,"Low",(IF(Tbl_RiskRegister[[#This Row],[SCORE Risk]]&lt;=19,"Medium",(IF(Tbl_RiskRegister[[#This Row],[SCORE Risk]]&gt;19,"High","Error")))))</f>
        <v>Medium</v>
      </c>
      <c r="N29" s="48"/>
      <c r="O29" s="49"/>
      <c r="P29" s="49"/>
      <c r="Q29" s="45"/>
      <c r="R29" s="45"/>
      <c r="S29" s="48"/>
      <c r="T29" s="46"/>
      <c r="U29" s="50"/>
    </row>
    <row r="30" spans="2:21" s="44" customFormat="1" ht="200.25" customHeight="1" x14ac:dyDescent="0.25">
      <c r="B30" s="53" t="s">
        <v>225</v>
      </c>
      <c r="C30" s="45"/>
      <c r="D30" s="46"/>
      <c r="E30" s="45"/>
      <c r="F30" s="45"/>
      <c r="G30" s="45"/>
      <c r="H30" s="48" t="s">
        <v>5866</v>
      </c>
      <c r="I30" s="48">
        <f>VLOOKUP(Tbl_RiskRegister[[#This Row],[Likelihood]],KEY!$G$3:$H$7,2,)</f>
        <v>3</v>
      </c>
      <c r="J30" s="48" t="s">
        <v>5863</v>
      </c>
      <c r="K30" s="48">
        <f>VLOOKUP(Tbl_RiskRegister[[#This Row],[Impact]],KEY!$J$3:$K$7,2,0)</f>
        <v>5</v>
      </c>
      <c r="L30" s="48">
        <f>Tbl_RiskRegister[[#This Row],[SCORE Likelihood]]*Tbl_RiskRegister[[#This Row],[SCORE Impact]]</f>
        <v>15</v>
      </c>
      <c r="M30" s="47" t="str">
        <f>IF(Tbl_RiskRegister[[#This Row],[SCORE Risk]]&lt;=7,"Low",(IF(Tbl_RiskRegister[[#This Row],[SCORE Risk]]&lt;=19,"Medium",(IF(Tbl_RiskRegister[[#This Row],[SCORE Risk]]&gt;19,"High","Error")))))</f>
        <v>Medium</v>
      </c>
      <c r="N30" s="48"/>
      <c r="O30" s="49"/>
      <c r="P30" s="49"/>
      <c r="Q30" s="45"/>
      <c r="R30" s="45"/>
      <c r="S30" s="48"/>
      <c r="T30" s="46"/>
      <c r="U30" s="50"/>
    </row>
    <row r="31" spans="2:21" s="44" customFormat="1" ht="200.25" customHeight="1" x14ac:dyDescent="0.25">
      <c r="B31" s="53" t="s">
        <v>226</v>
      </c>
      <c r="C31" s="45"/>
      <c r="D31" s="46"/>
      <c r="E31" s="45"/>
      <c r="F31" s="45"/>
      <c r="G31" s="45"/>
      <c r="H31" s="48" t="s">
        <v>5866</v>
      </c>
      <c r="I31" s="48">
        <f>VLOOKUP(Tbl_RiskRegister[[#This Row],[Likelihood]],KEY!$G$3:$H$7,2,)</f>
        <v>3</v>
      </c>
      <c r="J31" s="48" t="s">
        <v>5863</v>
      </c>
      <c r="K31" s="48">
        <f>VLOOKUP(Tbl_RiskRegister[[#This Row],[Impact]],KEY!$J$3:$K$7,2,0)</f>
        <v>5</v>
      </c>
      <c r="L31" s="48">
        <f>Tbl_RiskRegister[[#This Row],[SCORE Likelihood]]*Tbl_RiskRegister[[#This Row],[SCORE Impact]]</f>
        <v>15</v>
      </c>
      <c r="M31" s="47" t="str">
        <f>IF(Tbl_RiskRegister[[#This Row],[SCORE Risk]]&lt;=7,"Low",(IF(Tbl_RiskRegister[[#This Row],[SCORE Risk]]&lt;=19,"Medium",(IF(Tbl_RiskRegister[[#This Row],[SCORE Risk]]&gt;19,"High","Error")))))</f>
        <v>Medium</v>
      </c>
      <c r="N31" s="48"/>
      <c r="O31" s="49"/>
      <c r="P31" s="49"/>
      <c r="Q31" s="45"/>
      <c r="R31" s="45"/>
      <c r="S31" s="48"/>
      <c r="T31" s="46"/>
      <c r="U31" s="50"/>
    </row>
    <row r="32" spans="2:21" s="44" customFormat="1" ht="200.25" customHeight="1" x14ac:dyDescent="0.25">
      <c r="B32" s="53" t="s">
        <v>227</v>
      </c>
      <c r="C32" s="45"/>
      <c r="D32" s="46"/>
      <c r="E32" s="45"/>
      <c r="F32" s="45"/>
      <c r="G32" s="45"/>
      <c r="H32" s="48" t="s">
        <v>5866</v>
      </c>
      <c r="I32" s="48">
        <f>VLOOKUP(Tbl_RiskRegister[[#This Row],[Likelihood]],KEY!$G$3:$H$7,2,)</f>
        <v>3</v>
      </c>
      <c r="J32" s="48" t="s">
        <v>5863</v>
      </c>
      <c r="K32" s="48">
        <f>VLOOKUP(Tbl_RiskRegister[[#This Row],[Impact]],KEY!$J$3:$K$7,2,0)</f>
        <v>5</v>
      </c>
      <c r="L32" s="48">
        <f>Tbl_RiskRegister[[#This Row],[SCORE Likelihood]]*Tbl_RiskRegister[[#This Row],[SCORE Impact]]</f>
        <v>15</v>
      </c>
      <c r="M32" s="47" t="str">
        <f>IF(Tbl_RiskRegister[[#This Row],[SCORE Risk]]&lt;=7,"Low",(IF(Tbl_RiskRegister[[#This Row],[SCORE Risk]]&lt;=19,"Medium",(IF(Tbl_RiskRegister[[#This Row],[SCORE Risk]]&gt;19,"High","Error")))))</f>
        <v>Medium</v>
      </c>
      <c r="N32" s="48"/>
      <c r="O32" s="49"/>
      <c r="P32" s="49"/>
      <c r="Q32" s="45"/>
      <c r="R32" s="45"/>
      <c r="S32" s="48"/>
      <c r="T32" s="46"/>
      <c r="U32" s="50"/>
    </row>
    <row r="33" spans="2:21" s="44" customFormat="1" ht="200.25" customHeight="1" x14ac:dyDescent="0.25">
      <c r="B33" s="53" t="s">
        <v>228</v>
      </c>
      <c r="C33" s="45"/>
      <c r="D33" s="46"/>
      <c r="E33" s="45"/>
      <c r="F33" s="45"/>
      <c r="G33" s="45"/>
      <c r="H33" s="48" t="s">
        <v>5866</v>
      </c>
      <c r="I33" s="48">
        <f>VLOOKUP(Tbl_RiskRegister[[#This Row],[Likelihood]],KEY!$G$3:$H$7,2,)</f>
        <v>3</v>
      </c>
      <c r="J33" s="48" t="s">
        <v>5863</v>
      </c>
      <c r="K33" s="48">
        <f>VLOOKUP(Tbl_RiskRegister[[#This Row],[Impact]],KEY!$J$3:$K$7,2,0)</f>
        <v>5</v>
      </c>
      <c r="L33" s="48">
        <f>Tbl_RiskRegister[[#This Row],[SCORE Likelihood]]*Tbl_RiskRegister[[#This Row],[SCORE Impact]]</f>
        <v>15</v>
      </c>
      <c r="M33" s="47" t="str">
        <f>IF(Tbl_RiskRegister[[#This Row],[SCORE Risk]]&lt;=7,"Low",(IF(Tbl_RiskRegister[[#This Row],[SCORE Risk]]&lt;=19,"Medium",(IF(Tbl_RiskRegister[[#This Row],[SCORE Risk]]&gt;19,"High","Error")))))</f>
        <v>Medium</v>
      </c>
      <c r="N33" s="48"/>
      <c r="O33" s="49"/>
      <c r="P33" s="49"/>
      <c r="Q33" s="45"/>
      <c r="R33" s="45"/>
      <c r="S33" s="48"/>
      <c r="T33" s="46"/>
      <c r="U33" s="50"/>
    </row>
    <row r="34" spans="2:21" s="44" customFormat="1" ht="200.25" customHeight="1" x14ac:dyDescent="0.25">
      <c r="B34" s="53" t="s">
        <v>229</v>
      </c>
      <c r="C34" s="45"/>
      <c r="D34" s="46"/>
      <c r="E34" s="45"/>
      <c r="F34" s="45"/>
      <c r="G34" s="45"/>
      <c r="H34" s="48" t="s">
        <v>5866</v>
      </c>
      <c r="I34" s="48">
        <f>VLOOKUP(Tbl_RiskRegister[[#This Row],[Likelihood]],KEY!$G$3:$H$7,2,)</f>
        <v>3</v>
      </c>
      <c r="J34" s="48" t="s">
        <v>5863</v>
      </c>
      <c r="K34" s="48">
        <f>VLOOKUP(Tbl_RiskRegister[[#This Row],[Impact]],KEY!$J$3:$K$7,2,0)</f>
        <v>5</v>
      </c>
      <c r="L34" s="48">
        <f>Tbl_RiskRegister[[#This Row],[SCORE Likelihood]]*Tbl_RiskRegister[[#This Row],[SCORE Impact]]</f>
        <v>15</v>
      </c>
      <c r="M34" s="47" t="str">
        <f>IF(Tbl_RiskRegister[[#This Row],[SCORE Risk]]&lt;=7,"Low",(IF(Tbl_RiskRegister[[#This Row],[SCORE Risk]]&lt;=19,"Medium",(IF(Tbl_RiskRegister[[#This Row],[SCORE Risk]]&gt;19,"High","Error")))))</f>
        <v>Medium</v>
      </c>
      <c r="N34" s="48"/>
      <c r="O34" s="49"/>
      <c r="P34" s="49"/>
      <c r="Q34" s="45"/>
      <c r="R34" s="45"/>
      <c r="S34" s="48"/>
      <c r="T34" s="46"/>
      <c r="U34" s="50"/>
    </row>
    <row r="35" spans="2:21" s="44" customFormat="1" ht="200.25" customHeight="1" x14ac:dyDescent="0.25">
      <c r="B35" s="53" t="s">
        <v>230</v>
      </c>
      <c r="C35" s="45"/>
      <c r="D35" s="46"/>
      <c r="E35" s="45"/>
      <c r="F35" s="45"/>
      <c r="G35" s="45"/>
      <c r="H35" s="48" t="s">
        <v>5866</v>
      </c>
      <c r="I35" s="48">
        <f>VLOOKUP(Tbl_RiskRegister[[#This Row],[Likelihood]],KEY!$G$3:$H$7,2,)</f>
        <v>3</v>
      </c>
      <c r="J35" s="48" t="s">
        <v>5863</v>
      </c>
      <c r="K35" s="48">
        <f>VLOOKUP(Tbl_RiskRegister[[#This Row],[Impact]],KEY!$J$3:$K$7,2,0)</f>
        <v>5</v>
      </c>
      <c r="L35" s="48">
        <f>Tbl_RiskRegister[[#This Row],[SCORE Likelihood]]*Tbl_RiskRegister[[#This Row],[SCORE Impact]]</f>
        <v>15</v>
      </c>
      <c r="M35" s="47" t="str">
        <f>IF(Tbl_RiskRegister[[#This Row],[SCORE Risk]]&lt;=7,"Low",(IF(Tbl_RiskRegister[[#This Row],[SCORE Risk]]&lt;=19,"Medium",(IF(Tbl_RiskRegister[[#This Row],[SCORE Risk]]&gt;19,"High","Error")))))</f>
        <v>Medium</v>
      </c>
      <c r="N35" s="48"/>
      <c r="O35" s="49"/>
      <c r="P35" s="49"/>
      <c r="Q35" s="45"/>
      <c r="R35" s="45"/>
      <c r="S35" s="48"/>
      <c r="T35" s="46"/>
      <c r="U35" s="50"/>
    </row>
    <row r="36" spans="2:21" s="44" customFormat="1" ht="200.25" customHeight="1" x14ac:dyDescent="0.25">
      <c r="B36" s="53" t="s">
        <v>231</v>
      </c>
      <c r="C36" s="45"/>
      <c r="D36" s="46"/>
      <c r="E36" s="45"/>
      <c r="F36" s="45"/>
      <c r="G36" s="45"/>
      <c r="H36" s="48" t="s">
        <v>5866</v>
      </c>
      <c r="I36" s="48">
        <f>VLOOKUP(Tbl_RiskRegister[[#This Row],[Likelihood]],KEY!$G$3:$H$7,2,)</f>
        <v>3</v>
      </c>
      <c r="J36" s="48" t="s">
        <v>5863</v>
      </c>
      <c r="K36" s="48">
        <f>VLOOKUP(Tbl_RiskRegister[[#This Row],[Impact]],KEY!$J$3:$K$7,2,0)</f>
        <v>5</v>
      </c>
      <c r="L36" s="48">
        <f>Tbl_RiskRegister[[#This Row],[SCORE Likelihood]]*Tbl_RiskRegister[[#This Row],[SCORE Impact]]</f>
        <v>15</v>
      </c>
      <c r="M36" s="47" t="str">
        <f>IF(Tbl_RiskRegister[[#This Row],[SCORE Risk]]&lt;=7,"Low",(IF(Tbl_RiskRegister[[#This Row],[SCORE Risk]]&lt;=19,"Medium",(IF(Tbl_RiskRegister[[#This Row],[SCORE Risk]]&gt;19,"High","Error")))))</f>
        <v>Medium</v>
      </c>
      <c r="N36" s="48"/>
      <c r="O36" s="49"/>
      <c r="P36" s="49"/>
      <c r="Q36" s="45"/>
      <c r="R36" s="45"/>
      <c r="S36" s="48"/>
      <c r="T36" s="46"/>
      <c r="U36" s="50"/>
    </row>
    <row r="37" spans="2:21" s="44" customFormat="1" ht="200.25" customHeight="1" x14ac:dyDescent="0.25">
      <c r="B37" s="53" t="s">
        <v>232</v>
      </c>
      <c r="C37" s="45"/>
      <c r="D37" s="46"/>
      <c r="E37" s="45"/>
      <c r="F37" s="45"/>
      <c r="G37" s="45"/>
      <c r="H37" s="48" t="s">
        <v>5866</v>
      </c>
      <c r="I37" s="48">
        <f>VLOOKUP(Tbl_RiskRegister[[#This Row],[Likelihood]],KEY!$G$3:$H$7,2,)</f>
        <v>3</v>
      </c>
      <c r="J37" s="48" t="s">
        <v>5863</v>
      </c>
      <c r="K37" s="48">
        <f>VLOOKUP(Tbl_RiskRegister[[#This Row],[Impact]],KEY!$J$3:$K$7,2,0)</f>
        <v>5</v>
      </c>
      <c r="L37" s="48">
        <f>Tbl_RiskRegister[[#This Row],[SCORE Likelihood]]*Tbl_RiskRegister[[#This Row],[SCORE Impact]]</f>
        <v>15</v>
      </c>
      <c r="M37" s="47" t="str">
        <f>IF(Tbl_RiskRegister[[#This Row],[SCORE Risk]]&lt;=7,"Low",(IF(Tbl_RiskRegister[[#This Row],[SCORE Risk]]&lt;=19,"Medium",(IF(Tbl_RiskRegister[[#This Row],[SCORE Risk]]&gt;19,"High","Error")))))</f>
        <v>Medium</v>
      </c>
      <c r="N37" s="48"/>
      <c r="O37" s="49"/>
      <c r="P37" s="49"/>
      <c r="Q37" s="45"/>
      <c r="R37" s="45"/>
      <c r="S37" s="48"/>
      <c r="T37" s="46"/>
      <c r="U37" s="50"/>
    </row>
    <row r="38" spans="2:21" s="44" customFormat="1" ht="200.25" customHeight="1" x14ac:dyDescent="0.25">
      <c r="B38" s="53" t="s">
        <v>233</v>
      </c>
      <c r="C38" s="45"/>
      <c r="D38" s="46"/>
      <c r="E38" s="45"/>
      <c r="F38" s="45"/>
      <c r="G38" s="45"/>
      <c r="H38" s="48" t="s">
        <v>5866</v>
      </c>
      <c r="I38" s="48">
        <f>VLOOKUP(Tbl_RiskRegister[[#This Row],[Likelihood]],KEY!$G$3:$H$7,2,)</f>
        <v>3</v>
      </c>
      <c r="J38" s="48" t="s">
        <v>5863</v>
      </c>
      <c r="K38" s="48">
        <f>VLOOKUP(Tbl_RiskRegister[[#This Row],[Impact]],KEY!$J$3:$K$7,2,0)</f>
        <v>5</v>
      </c>
      <c r="L38" s="48">
        <f>Tbl_RiskRegister[[#This Row],[SCORE Likelihood]]*Tbl_RiskRegister[[#This Row],[SCORE Impact]]</f>
        <v>15</v>
      </c>
      <c r="M38" s="47" t="str">
        <f>IF(Tbl_RiskRegister[[#This Row],[SCORE Risk]]&lt;=7,"Low",(IF(Tbl_RiskRegister[[#This Row],[SCORE Risk]]&lt;=19,"Medium",(IF(Tbl_RiskRegister[[#This Row],[SCORE Risk]]&gt;19,"High","Error")))))</f>
        <v>Medium</v>
      </c>
      <c r="N38" s="48"/>
      <c r="O38" s="49"/>
      <c r="P38" s="49"/>
      <c r="Q38" s="45"/>
      <c r="R38" s="45"/>
      <c r="S38" s="48"/>
      <c r="T38" s="46"/>
      <c r="U38" s="50"/>
    </row>
    <row r="39" spans="2:21" s="44" customFormat="1" ht="200.25" customHeight="1" x14ac:dyDescent="0.25">
      <c r="B39" s="53" t="s">
        <v>234</v>
      </c>
      <c r="C39" s="45"/>
      <c r="D39" s="46"/>
      <c r="E39" s="45"/>
      <c r="F39" s="45"/>
      <c r="G39" s="45"/>
      <c r="H39" s="48" t="s">
        <v>5866</v>
      </c>
      <c r="I39" s="48">
        <f>VLOOKUP(Tbl_RiskRegister[[#This Row],[Likelihood]],KEY!$G$3:$H$7,2,)</f>
        <v>3</v>
      </c>
      <c r="J39" s="48" t="s">
        <v>5863</v>
      </c>
      <c r="K39" s="48">
        <f>VLOOKUP(Tbl_RiskRegister[[#This Row],[Impact]],KEY!$J$3:$K$7,2,0)</f>
        <v>5</v>
      </c>
      <c r="L39" s="48">
        <f>Tbl_RiskRegister[[#This Row],[SCORE Likelihood]]*Tbl_RiskRegister[[#This Row],[SCORE Impact]]</f>
        <v>15</v>
      </c>
      <c r="M39" s="47" t="str">
        <f>IF(Tbl_RiskRegister[[#This Row],[SCORE Risk]]&lt;=7,"Low",(IF(Tbl_RiskRegister[[#This Row],[SCORE Risk]]&lt;=19,"Medium",(IF(Tbl_RiskRegister[[#This Row],[SCORE Risk]]&gt;19,"High","Error")))))</f>
        <v>Medium</v>
      </c>
      <c r="N39" s="48"/>
      <c r="O39" s="49"/>
      <c r="P39" s="49"/>
      <c r="Q39" s="45"/>
      <c r="R39" s="45"/>
      <c r="S39" s="48"/>
      <c r="T39" s="46"/>
      <c r="U39" s="50"/>
    </row>
    <row r="40" spans="2:21" s="44" customFormat="1" ht="200.25" customHeight="1" x14ac:dyDescent="0.25">
      <c r="B40" s="53" t="s">
        <v>235</v>
      </c>
      <c r="C40" s="45"/>
      <c r="D40" s="46"/>
      <c r="E40" s="45"/>
      <c r="F40" s="45"/>
      <c r="G40" s="45"/>
      <c r="H40" s="48" t="s">
        <v>5866</v>
      </c>
      <c r="I40" s="48">
        <f>VLOOKUP(Tbl_RiskRegister[[#This Row],[Likelihood]],KEY!$G$3:$H$7,2,)</f>
        <v>3</v>
      </c>
      <c r="J40" s="48" t="s">
        <v>5863</v>
      </c>
      <c r="K40" s="48">
        <f>VLOOKUP(Tbl_RiskRegister[[#This Row],[Impact]],KEY!$J$3:$K$7,2,0)</f>
        <v>5</v>
      </c>
      <c r="L40" s="48">
        <f>Tbl_RiskRegister[[#This Row],[SCORE Likelihood]]*Tbl_RiskRegister[[#This Row],[SCORE Impact]]</f>
        <v>15</v>
      </c>
      <c r="M40" s="47" t="str">
        <f>IF(Tbl_RiskRegister[[#This Row],[SCORE Risk]]&lt;=7,"Low",(IF(Tbl_RiskRegister[[#This Row],[SCORE Risk]]&lt;=19,"Medium",(IF(Tbl_RiskRegister[[#This Row],[SCORE Risk]]&gt;19,"High","Error")))))</f>
        <v>Medium</v>
      </c>
      <c r="N40" s="48"/>
      <c r="O40" s="49"/>
      <c r="P40" s="49"/>
      <c r="Q40" s="45"/>
      <c r="R40" s="45"/>
      <c r="S40" s="48"/>
      <c r="T40" s="46"/>
      <c r="U40" s="50"/>
    </row>
    <row r="41" spans="2:21" s="44" customFormat="1" ht="200.25" customHeight="1" x14ac:dyDescent="0.25">
      <c r="B41" s="53" t="s">
        <v>236</v>
      </c>
      <c r="C41" s="45"/>
      <c r="D41" s="46"/>
      <c r="E41" s="45"/>
      <c r="F41" s="45"/>
      <c r="G41" s="45"/>
      <c r="H41" s="48" t="s">
        <v>5866</v>
      </c>
      <c r="I41" s="48">
        <f>VLOOKUP(Tbl_RiskRegister[[#This Row],[Likelihood]],KEY!$G$3:$H$7,2,)</f>
        <v>3</v>
      </c>
      <c r="J41" s="48" t="s">
        <v>5863</v>
      </c>
      <c r="K41" s="48">
        <f>VLOOKUP(Tbl_RiskRegister[[#This Row],[Impact]],KEY!$J$3:$K$7,2,0)</f>
        <v>5</v>
      </c>
      <c r="L41" s="48">
        <f>Tbl_RiskRegister[[#This Row],[SCORE Likelihood]]*Tbl_RiskRegister[[#This Row],[SCORE Impact]]</f>
        <v>15</v>
      </c>
      <c r="M41" s="47" t="str">
        <f>IF(Tbl_RiskRegister[[#This Row],[SCORE Risk]]&lt;=7,"Low",(IF(Tbl_RiskRegister[[#This Row],[SCORE Risk]]&lt;=19,"Medium",(IF(Tbl_RiskRegister[[#This Row],[SCORE Risk]]&gt;19,"High","Error")))))</f>
        <v>Medium</v>
      </c>
      <c r="N41" s="48"/>
      <c r="O41" s="49"/>
      <c r="P41" s="49"/>
      <c r="Q41" s="45"/>
      <c r="R41" s="45"/>
      <c r="S41" s="48"/>
      <c r="T41" s="46"/>
      <c r="U41" s="50"/>
    </row>
    <row r="42" spans="2:21" s="44" customFormat="1" ht="200.25" customHeight="1" x14ac:dyDescent="0.25">
      <c r="B42" s="53" t="s">
        <v>237</v>
      </c>
      <c r="C42" s="45"/>
      <c r="D42" s="46"/>
      <c r="E42" s="45"/>
      <c r="F42" s="45"/>
      <c r="G42" s="45"/>
      <c r="H42" s="48" t="s">
        <v>5866</v>
      </c>
      <c r="I42" s="48">
        <f>VLOOKUP(Tbl_RiskRegister[[#This Row],[Likelihood]],KEY!$G$3:$H$7,2,)</f>
        <v>3</v>
      </c>
      <c r="J42" s="48" t="s">
        <v>5863</v>
      </c>
      <c r="K42" s="48">
        <f>VLOOKUP(Tbl_RiskRegister[[#This Row],[Impact]],KEY!$J$3:$K$7,2,0)</f>
        <v>5</v>
      </c>
      <c r="L42" s="48">
        <f>Tbl_RiskRegister[[#This Row],[SCORE Likelihood]]*Tbl_RiskRegister[[#This Row],[SCORE Impact]]</f>
        <v>15</v>
      </c>
      <c r="M42" s="47" t="str">
        <f>IF(Tbl_RiskRegister[[#This Row],[SCORE Risk]]&lt;=7,"Low",(IF(Tbl_RiskRegister[[#This Row],[SCORE Risk]]&lt;=19,"Medium",(IF(Tbl_RiskRegister[[#This Row],[SCORE Risk]]&gt;19,"High","Error")))))</f>
        <v>Medium</v>
      </c>
      <c r="N42" s="48"/>
      <c r="O42" s="49"/>
      <c r="P42" s="49"/>
      <c r="Q42" s="45"/>
      <c r="R42" s="45"/>
      <c r="S42" s="48"/>
      <c r="T42" s="46"/>
      <c r="U42" s="50"/>
    </row>
    <row r="43" spans="2:21" s="44" customFormat="1" ht="200.25" customHeight="1" x14ac:dyDescent="0.25">
      <c r="B43" s="53" t="s">
        <v>238</v>
      </c>
      <c r="C43" s="45"/>
      <c r="D43" s="46"/>
      <c r="E43" s="45"/>
      <c r="F43" s="45"/>
      <c r="G43" s="45"/>
      <c r="H43" s="48" t="s">
        <v>5866</v>
      </c>
      <c r="I43" s="48">
        <f>VLOOKUP(Tbl_RiskRegister[[#This Row],[Likelihood]],KEY!$G$3:$H$7,2,)</f>
        <v>3</v>
      </c>
      <c r="J43" s="48" t="s">
        <v>5863</v>
      </c>
      <c r="K43" s="48">
        <f>VLOOKUP(Tbl_RiskRegister[[#This Row],[Impact]],KEY!$J$3:$K$7,2,0)</f>
        <v>5</v>
      </c>
      <c r="L43" s="48">
        <f>Tbl_RiskRegister[[#This Row],[SCORE Likelihood]]*Tbl_RiskRegister[[#This Row],[SCORE Impact]]</f>
        <v>15</v>
      </c>
      <c r="M43" s="47" t="str">
        <f>IF(Tbl_RiskRegister[[#This Row],[SCORE Risk]]&lt;=7,"Low",(IF(Tbl_RiskRegister[[#This Row],[SCORE Risk]]&lt;=19,"Medium",(IF(Tbl_RiskRegister[[#This Row],[SCORE Risk]]&gt;19,"High","Error")))))</f>
        <v>Medium</v>
      </c>
      <c r="N43" s="48"/>
      <c r="O43" s="49"/>
      <c r="P43" s="49"/>
      <c r="Q43" s="45"/>
      <c r="R43" s="45"/>
      <c r="S43" s="48"/>
      <c r="T43" s="46"/>
      <c r="U43" s="50"/>
    </row>
    <row r="44" spans="2:21" s="44" customFormat="1" ht="200.25" customHeight="1" x14ac:dyDescent="0.25">
      <c r="B44" s="53" t="s">
        <v>239</v>
      </c>
      <c r="C44" s="45"/>
      <c r="D44" s="46"/>
      <c r="E44" s="45"/>
      <c r="F44" s="45"/>
      <c r="G44" s="45"/>
      <c r="H44" s="48" t="s">
        <v>5866</v>
      </c>
      <c r="I44" s="48">
        <f>VLOOKUP(Tbl_RiskRegister[[#This Row],[Likelihood]],KEY!$G$3:$H$7,2,)</f>
        <v>3</v>
      </c>
      <c r="J44" s="48" t="s">
        <v>5863</v>
      </c>
      <c r="K44" s="48">
        <f>VLOOKUP(Tbl_RiskRegister[[#This Row],[Impact]],KEY!$J$3:$K$7,2,0)</f>
        <v>5</v>
      </c>
      <c r="L44" s="48">
        <f>Tbl_RiskRegister[[#This Row],[SCORE Likelihood]]*Tbl_RiskRegister[[#This Row],[SCORE Impact]]</f>
        <v>15</v>
      </c>
      <c r="M44" s="47" t="str">
        <f>IF(Tbl_RiskRegister[[#This Row],[SCORE Risk]]&lt;=7,"Low",(IF(Tbl_RiskRegister[[#This Row],[SCORE Risk]]&lt;=19,"Medium",(IF(Tbl_RiskRegister[[#This Row],[SCORE Risk]]&gt;19,"High","Error")))))</f>
        <v>Medium</v>
      </c>
      <c r="N44" s="48"/>
      <c r="O44" s="49"/>
      <c r="P44" s="49"/>
      <c r="Q44" s="45"/>
      <c r="R44" s="45"/>
      <c r="S44" s="48"/>
      <c r="T44" s="46"/>
      <c r="U44" s="50"/>
    </row>
    <row r="45" spans="2:21" s="44" customFormat="1" ht="200.25" customHeight="1" x14ac:dyDescent="0.25">
      <c r="B45" s="53" t="s">
        <v>240</v>
      </c>
      <c r="C45" s="45"/>
      <c r="D45" s="46"/>
      <c r="E45" s="45"/>
      <c r="F45" s="45"/>
      <c r="G45" s="45"/>
      <c r="H45" s="48" t="s">
        <v>5866</v>
      </c>
      <c r="I45" s="48">
        <f>VLOOKUP(Tbl_RiskRegister[[#This Row],[Likelihood]],KEY!$G$3:$H$7,2,)</f>
        <v>3</v>
      </c>
      <c r="J45" s="48" t="s">
        <v>5863</v>
      </c>
      <c r="K45" s="48">
        <f>VLOOKUP(Tbl_RiskRegister[[#This Row],[Impact]],KEY!$J$3:$K$7,2,0)</f>
        <v>5</v>
      </c>
      <c r="L45" s="48">
        <f>Tbl_RiskRegister[[#This Row],[SCORE Likelihood]]*Tbl_RiskRegister[[#This Row],[SCORE Impact]]</f>
        <v>15</v>
      </c>
      <c r="M45" s="47" t="str">
        <f>IF(Tbl_RiskRegister[[#This Row],[SCORE Risk]]&lt;=7,"Low",(IF(Tbl_RiskRegister[[#This Row],[SCORE Risk]]&lt;=19,"Medium",(IF(Tbl_RiskRegister[[#This Row],[SCORE Risk]]&gt;19,"High","Error")))))</f>
        <v>Medium</v>
      </c>
      <c r="N45" s="48"/>
      <c r="O45" s="49"/>
      <c r="P45" s="49"/>
      <c r="Q45" s="45"/>
      <c r="R45" s="45"/>
      <c r="S45" s="48"/>
      <c r="T45" s="46"/>
      <c r="U45" s="50"/>
    </row>
    <row r="46" spans="2:21" s="44" customFormat="1" ht="200.25" customHeight="1" x14ac:dyDescent="0.25">
      <c r="B46" s="53" t="s">
        <v>241</v>
      </c>
      <c r="C46" s="45"/>
      <c r="D46" s="46"/>
      <c r="E46" s="45"/>
      <c r="F46" s="45"/>
      <c r="G46" s="45"/>
      <c r="H46" s="48" t="s">
        <v>5866</v>
      </c>
      <c r="I46" s="48">
        <f>VLOOKUP(Tbl_RiskRegister[[#This Row],[Likelihood]],KEY!$G$3:$H$7,2,)</f>
        <v>3</v>
      </c>
      <c r="J46" s="48" t="s">
        <v>5863</v>
      </c>
      <c r="K46" s="48">
        <f>VLOOKUP(Tbl_RiskRegister[[#This Row],[Impact]],KEY!$J$3:$K$7,2,0)</f>
        <v>5</v>
      </c>
      <c r="L46" s="48">
        <f>Tbl_RiskRegister[[#This Row],[SCORE Likelihood]]*Tbl_RiskRegister[[#This Row],[SCORE Impact]]</f>
        <v>15</v>
      </c>
      <c r="M46" s="47" t="str">
        <f>IF(Tbl_RiskRegister[[#This Row],[SCORE Risk]]&lt;=7,"Low",(IF(Tbl_RiskRegister[[#This Row],[SCORE Risk]]&lt;=19,"Medium",(IF(Tbl_RiskRegister[[#This Row],[SCORE Risk]]&gt;19,"High","Error")))))</f>
        <v>Medium</v>
      </c>
      <c r="N46" s="48"/>
      <c r="O46" s="49"/>
      <c r="P46" s="49"/>
      <c r="Q46" s="45"/>
      <c r="R46" s="45"/>
      <c r="S46" s="48"/>
      <c r="T46" s="46"/>
      <c r="U46" s="50"/>
    </row>
    <row r="47" spans="2:21" s="44" customFormat="1" ht="200.25" customHeight="1" x14ac:dyDescent="0.25">
      <c r="B47" s="53" t="s">
        <v>242</v>
      </c>
      <c r="C47" s="45"/>
      <c r="D47" s="46"/>
      <c r="E47" s="45"/>
      <c r="F47" s="45"/>
      <c r="G47" s="45"/>
      <c r="H47" s="48" t="s">
        <v>5866</v>
      </c>
      <c r="I47" s="48">
        <f>VLOOKUP(Tbl_RiskRegister[[#This Row],[Likelihood]],KEY!$G$3:$H$7,2,)</f>
        <v>3</v>
      </c>
      <c r="J47" s="48" t="s">
        <v>5863</v>
      </c>
      <c r="K47" s="48">
        <f>VLOOKUP(Tbl_RiskRegister[[#This Row],[Impact]],KEY!$J$3:$K$7,2,0)</f>
        <v>5</v>
      </c>
      <c r="L47" s="48">
        <f>Tbl_RiskRegister[[#This Row],[SCORE Likelihood]]*Tbl_RiskRegister[[#This Row],[SCORE Impact]]</f>
        <v>15</v>
      </c>
      <c r="M47" s="47" t="str">
        <f>IF(Tbl_RiskRegister[[#This Row],[SCORE Risk]]&lt;=7,"Low",(IF(Tbl_RiskRegister[[#This Row],[SCORE Risk]]&lt;=19,"Medium",(IF(Tbl_RiskRegister[[#This Row],[SCORE Risk]]&gt;19,"High","Error")))))</f>
        <v>Medium</v>
      </c>
      <c r="N47" s="48"/>
      <c r="O47" s="49"/>
      <c r="P47" s="49"/>
      <c r="Q47" s="45"/>
      <c r="R47" s="45"/>
      <c r="S47" s="48"/>
      <c r="T47" s="46"/>
      <c r="U47" s="50"/>
    </row>
    <row r="48" spans="2:21" s="44" customFormat="1" ht="200.25" customHeight="1" x14ac:dyDescent="0.25">
      <c r="B48" s="53" t="s">
        <v>243</v>
      </c>
      <c r="C48" s="45"/>
      <c r="D48" s="46"/>
      <c r="E48" s="45"/>
      <c r="F48" s="45"/>
      <c r="G48" s="45"/>
      <c r="H48" s="48" t="s">
        <v>5866</v>
      </c>
      <c r="I48" s="48">
        <f>VLOOKUP(Tbl_RiskRegister[[#This Row],[Likelihood]],KEY!$G$3:$H$7,2,)</f>
        <v>3</v>
      </c>
      <c r="J48" s="48" t="s">
        <v>5863</v>
      </c>
      <c r="K48" s="48">
        <f>VLOOKUP(Tbl_RiskRegister[[#This Row],[Impact]],KEY!$J$3:$K$7,2,0)</f>
        <v>5</v>
      </c>
      <c r="L48" s="48">
        <f>Tbl_RiskRegister[[#This Row],[SCORE Likelihood]]*Tbl_RiskRegister[[#This Row],[SCORE Impact]]</f>
        <v>15</v>
      </c>
      <c r="M48" s="47" t="str">
        <f>IF(Tbl_RiskRegister[[#This Row],[SCORE Risk]]&lt;=7,"Low",(IF(Tbl_RiskRegister[[#This Row],[SCORE Risk]]&lt;=19,"Medium",(IF(Tbl_RiskRegister[[#This Row],[SCORE Risk]]&gt;19,"High","Error")))))</f>
        <v>Medium</v>
      </c>
      <c r="N48" s="48"/>
      <c r="O48" s="49"/>
      <c r="P48" s="49"/>
      <c r="Q48" s="45"/>
      <c r="R48" s="45"/>
      <c r="S48" s="48"/>
      <c r="T48" s="46"/>
      <c r="U48" s="50"/>
    </row>
    <row r="49" spans="2:21" s="44" customFormat="1" ht="200.25" customHeight="1" x14ac:dyDescent="0.25">
      <c r="B49" s="53" t="s">
        <v>244</v>
      </c>
      <c r="C49" s="45"/>
      <c r="D49" s="46"/>
      <c r="E49" s="45"/>
      <c r="F49" s="45"/>
      <c r="G49" s="45"/>
      <c r="H49" s="48" t="s">
        <v>5866</v>
      </c>
      <c r="I49" s="48">
        <f>VLOOKUP(Tbl_RiskRegister[[#This Row],[Likelihood]],KEY!$G$3:$H$7,2,)</f>
        <v>3</v>
      </c>
      <c r="J49" s="48" t="s">
        <v>5863</v>
      </c>
      <c r="K49" s="48">
        <f>VLOOKUP(Tbl_RiskRegister[[#This Row],[Impact]],KEY!$J$3:$K$7,2,0)</f>
        <v>5</v>
      </c>
      <c r="L49" s="48">
        <f>Tbl_RiskRegister[[#This Row],[SCORE Likelihood]]*Tbl_RiskRegister[[#This Row],[SCORE Impact]]</f>
        <v>15</v>
      </c>
      <c r="M49" s="47" t="str">
        <f>IF(Tbl_RiskRegister[[#This Row],[SCORE Risk]]&lt;=7,"Low",(IF(Tbl_RiskRegister[[#This Row],[SCORE Risk]]&lt;=19,"Medium",(IF(Tbl_RiskRegister[[#This Row],[SCORE Risk]]&gt;19,"High","Error")))))</f>
        <v>Medium</v>
      </c>
      <c r="N49" s="48"/>
      <c r="O49" s="49"/>
      <c r="P49" s="49"/>
      <c r="Q49" s="45"/>
      <c r="R49" s="45"/>
      <c r="S49" s="48"/>
      <c r="T49" s="46"/>
      <c r="U49" s="50"/>
    </row>
    <row r="50" spans="2:21" s="44" customFormat="1" ht="200.25" customHeight="1" x14ac:dyDescent="0.25">
      <c r="B50" s="53" t="s">
        <v>245</v>
      </c>
      <c r="C50" s="45"/>
      <c r="D50" s="46"/>
      <c r="E50" s="45"/>
      <c r="F50" s="45"/>
      <c r="G50" s="45"/>
      <c r="H50" s="48" t="s">
        <v>5866</v>
      </c>
      <c r="I50" s="48">
        <f>VLOOKUP(Tbl_RiskRegister[[#This Row],[Likelihood]],KEY!$G$3:$H$7,2,)</f>
        <v>3</v>
      </c>
      <c r="J50" s="48" t="s">
        <v>5863</v>
      </c>
      <c r="K50" s="48">
        <f>VLOOKUP(Tbl_RiskRegister[[#This Row],[Impact]],KEY!$J$3:$K$7,2,0)</f>
        <v>5</v>
      </c>
      <c r="L50" s="48">
        <f>Tbl_RiskRegister[[#This Row],[SCORE Likelihood]]*Tbl_RiskRegister[[#This Row],[SCORE Impact]]</f>
        <v>15</v>
      </c>
      <c r="M50" s="47" t="str">
        <f>IF(Tbl_RiskRegister[[#This Row],[SCORE Risk]]&lt;=7,"Low",(IF(Tbl_RiskRegister[[#This Row],[SCORE Risk]]&lt;=19,"Medium",(IF(Tbl_RiskRegister[[#This Row],[SCORE Risk]]&gt;19,"High","Error")))))</f>
        <v>Medium</v>
      </c>
      <c r="N50" s="48"/>
      <c r="O50" s="49"/>
      <c r="P50" s="49"/>
      <c r="Q50" s="45"/>
      <c r="R50" s="45"/>
      <c r="S50" s="48"/>
      <c r="T50" s="46"/>
      <c r="U50" s="50"/>
    </row>
    <row r="51" spans="2:21" s="44" customFormat="1" ht="200.25" customHeight="1" x14ac:dyDescent="0.25">
      <c r="B51" s="53" t="s">
        <v>246</v>
      </c>
      <c r="C51" s="45"/>
      <c r="D51" s="46"/>
      <c r="E51" s="45"/>
      <c r="F51" s="45"/>
      <c r="G51" s="45"/>
      <c r="H51" s="48" t="s">
        <v>5866</v>
      </c>
      <c r="I51" s="48">
        <f>VLOOKUP(Tbl_RiskRegister[[#This Row],[Likelihood]],KEY!$G$3:$H$7,2,)</f>
        <v>3</v>
      </c>
      <c r="J51" s="48" t="s">
        <v>5863</v>
      </c>
      <c r="K51" s="48">
        <f>VLOOKUP(Tbl_RiskRegister[[#This Row],[Impact]],KEY!$J$3:$K$7,2,0)</f>
        <v>5</v>
      </c>
      <c r="L51" s="48">
        <f>Tbl_RiskRegister[[#This Row],[SCORE Likelihood]]*Tbl_RiskRegister[[#This Row],[SCORE Impact]]</f>
        <v>15</v>
      </c>
      <c r="M51" s="47" t="str">
        <f>IF(Tbl_RiskRegister[[#This Row],[SCORE Risk]]&lt;=7,"Low",(IF(Tbl_RiskRegister[[#This Row],[SCORE Risk]]&lt;=19,"Medium",(IF(Tbl_RiskRegister[[#This Row],[SCORE Risk]]&gt;19,"High","Error")))))</f>
        <v>Medium</v>
      </c>
      <c r="N51" s="48"/>
      <c r="O51" s="49"/>
      <c r="P51" s="49"/>
      <c r="Q51" s="45"/>
      <c r="R51" s="45"/>
      <c r="S51" s="48"/>
      <c r="T51" s="46"/>
      <c r="U51" s="50"/>
    </row>
    <row r="52" spans="2:21" s="44" customFormat="1" ht="200.25" customHeight="1" x14ac:dyDescent="0.25">
      <c r="B52" s="53" t="s">
        <v>247</v>
      </c>
      <c r="C52" s="45"/>
      <c r="D52" s="46"/>
      <c r="E52" s="45"/>
      <c r="F52" s="45"/>
      <c r="G52" s="45"/>
      <c r="H52" s="48" t="s">
        <v>5866</v>
      </c>
      <c r="I52" s="48">
        <f>VLOOKUP(Tbl_RiskRegister[[#This Row],[Likelihood]],KEY!$G$3:$H$7,2,)</f>
        <v>3</v>
      </c>
      <c r="J52" s="48" t="s">
        <v>5863</v>
      </c>
      <c r="K52" s="48">
        <f>VLOOKUP(Tbl_RiskRegister[[#This Row],[Impact]],KEY!$J$3:$K$7,2,0)</f>
        <v>5</v>
      </c>
      <c r="L52" s="48">
        <f>Tbl_RiskRegister[[#This Row],[SCORE Likelihood]]*Tbl_RiskRegister[[#This Row],[SCORE Impact]]</f>
        <v>15</v>
      </c>
      <c r="M52" s="47" t="str">
        <f>IF(Tbl_RiskRegister[[#This Row],[SCORE Risk]]&lt;=7,"Low",(IF(Tbl_RiskRegister[[#This Row],[SCORE Risk]]&lt;=19,"Medium",(IF(Tbl_RiskRegister[[#This Row],[SCORE Risk]]&gt;19,"High","Error")))))</f>
        <v>Medium</v>
      </c>
      <c r="N52" s="48"/>
      <c r="O52" s="49"/>
      <c r="P52" s="49"/>
      <c r="Q52" s="45"/>
      <c r="R52" s="45"/>
      <c r="S52" s="48"/>
      <c r="T52" s="46"/>
      <c r="U52" s="50"/>
    </row>
    <row r="53" spans="2:21" s="44" customFormat="1" ht="200.25" customHeight="1" x14ac:dyDescent="0.25">
      <c r="B53" s="53" t="s">
        <v>248</v>
      </c>
      <c r="C53" s="45"/>
      <c r="D53" s="46"/>
      <c r="E53" s="45"/>
      <c r="F53" s="45"/>
      <c r="G53" s="45"/>
      <c r="H53" s="48" t="s">
        <v>5866</v>
      </c>
      <c r="I53" s="48">
        <f>VLOOKUP(Tbl_RiskRegister[[#This Row],[Likelihood]],KEY!$G$3:$H$7,2,)</f>
        <v>3</v>
      </c>
      <c r="J53" s="48" t="s">
        <v>5863</v>
      </c>
      <c r="K53" s="48">
        <f>VLOOKUP(Tbl_RiskRegister[[#This Row],[Impact]],KEY!$J$3:$K$7,2,0)</f>
        <v>5</v>
      </c>
      <c r="L53" s="48">
        <f>Tbl_RiskRegister[[#This Row],[SCORE Likelihood]]*Tbl_RiskRegister[[#This Row],[SCORE Impact]]</f>
        <v>15</v>
      </c>
      <c r="M53" s="47" t="str">
        <f>IF(Tbl_RiskRegister[[#This Row],[SCORE Risk]]&lt;=7,"Low",(IF(Tbl_RiskRegister[[#This Row],[SCORE Risk]]&lt;=19,"Medium",(IF(Tbl_RiskRegister[[#This Row],[SCORE Risk]]&gt;19,"High","Error")))))</f>
        <v>Medium</v>
      </c>
      <c r="N53" s="48"/>
      <c r="O53" s="49"/>
      <c r="P53" s="49"/>
      <c r="Q53" s="45"/>
      <c r="R53" s="45"/>
      <c r="S53" s="48"/>
      <c r="T53" s="46"/>
      <c r="U53" s="50"/>
    </row>
    <row r="54" spans="2:21" s="44" customFormat="1" ht="200.25" customHeight="1" x14ac:dyDescent="0.25">
      <c r="B54" s="53" t="s">
        <v>249</v>
      </c>
      <c r="C54" s="45"/>
      <c r="D54" s="46"/>
      <c r="E54" s="45"/>
      <c r="F54" s="45"/>
      <c r="G54" s="45"/>
      <c r="H54" s="48" t="s">
        <v>5866</v>
      </c>
      <c r="I54" s="48">
        <f>VLOOKUP(Tbl_RiskRegister[[#This Row],[Likelihood]],KEY!$G$3:$H$7,2,)</f>
        <v>3</v>
      </c>
      <c r="J54" s="48" t="s">
        <v>5863</v>
      </c>
      <c r="K54" s="48">
        <f>VLOOKUP(Tbl_RiskRegister[[#This Row],[Impact]],KEY!$J$3:$K$7,2,0)</f>
        <v>5</v>
      </c>
      <c r="L54" s="48">
        <f>Tbl_RiskRegister[[#This Row],[SCORE Likelihood]]*Tbl_RiskRegister[[#This Row],[SCORE Impact]]</f>
        <v>15</v>
      </c>
      <c r="M54" s="47" t="str">
        <f>IF(Tbl_RiskRegister[[#This Row],[SCORE Risk]]&lt;=7,"Low",(IF(Tbl_RiskRegister[[#This Row],[SCORE Risk]]&lt;=19,"Medium",(IF(Tbl_RiskRegister[[#This Row],[SCORE Risk]]&gt;19,"High","Error")))))</f>
        <v>Medium</v>
      </c>
      <c r="N54" s="48"/>
      <c r="O54" s="49"/>
      <c r="P54" s="49"/>
      <c r="Q54" s="45"/>
      <c r="R54" s="45"/>
      <c r="S54" s="48"/>
      <c r="T54" s="46"/>
      <c r="U54" s="50"/>
    </row>
    <row r="55" spans="2:21" s="44" customFormat="1" ht="200.25" customHeight="1" x14ac:dyDescent="0.25">
      <c r="B55" s="53" t="s">
        <v>250</v>
      </c>
      <c r="C55" s="45"/>
      <c r="D55" s="46"/>
      <c r="E55" s="45"/>
      <c r="F55" s="45"/>
      <c r="G55" s="45"/>
      <c r="H55" s="48" t="s">
        <v>5864</v>
      </c>
      <c r="I55" s="48">
        <f>VLOOKUP(Tbl_RiskRegister[[#This Row],[Likelihood]],KEY!$G$3:$H$7,2,)</f>
        <v>1</v>
      </c>
      <c r="J55" s="48" t="s">
        <v>5863</v>
      </c>
      <c r="K55" s="48">
        <f>VLOOKUP(Tbl_RiskRegister[[#This Row],[Impact]],KEY!$J$3:$K$7,2,0)</f>
        <v>5</v>
      </c>
      <c r="L55" s="48">
        <f>Tbl_RiskRegister[[#This Row],[SCORE Likelihood]]*Tbl_RiskRegister[[#This Row],[SCORE Impact]]</f>
        <v>5</v>
      </c>
      <c r="M55" s="47" t="str">
        <f>IF(Tbl_RiskRegister[[#This Row],[SCORE Risk]]&lt;=7,"Low",(IF(Tbl_RiskRegister[[#This Row],[SCORE Risk]]&lt;=19,"Medium",(IF(Tbl_RiskRegister[[#This Row],[SCORE Risk]]&gt;19,"High","Error")))))</f>
        <v>Low</v>
      </c>
      <c r="N55" s="48"/>
      <c r="O55" s="49"/>
      <c r="P55" s="49"/>
      <c r="Q55" s="45"/>
      <c r="R55" s="45"/>
      <c r="S55" s="48"/>
      <c r="T55" s="46"/>
      <c r="U55" s="50"/>
    </row>
    <row r="57" spans="2:21" ht="30.75" x14ac:dyDescent="0.25">
      <c r="B57" s="12" t="s">
        <v>173</v>
      </c>
    </row>
    <row r="58" spans="2:21" x14ac:dyDescent="0.25">
      <c r="B58" s="12">
        <f ca="1">TODAY()</f>
        <v>44426</v>
      </c>
    </row>
  </sheetData>
  <phoneticPr fontId="20" type="noConversion"/>
  <conditionalFormatting sqref="S1:S1048576">
    <cfRule type="containsText" dxfId="70" priority="7" operator="containsText" text="Deficient">
      <formula>NOT(ISERROR(SEARCH("Deficient",S1)))</formula>
    </cfRule>
  </conditionalFormatting>
  <conditionalFormatting sqref="M6:M55">
    <cfRule type="containsText" dxfId="69" priority="1" operator="containsText" text="High">
      <formula>NOT(ISERROR(SEARCH("High",M6)))</formula>
    </cfRule>
    <cfRule type="containsText" dxfId="68" priority="2" operator="containsText" text="Medium">
      <formula>NOT(ISERROR(SEARCH("Medium",M6)))</formula>
    </cfRule>
    <cfRule type="containsText" dxfId="67" priority="3" operator="containsText" text="Low">
      <formula>NOT(ISERROR(SEARCH("Low",M6)))</formula>
    </cfRule>
  </conditionalFormatting>
  <dataValidations count="2">
    <dataValidation type="list" allowBlank="1" showInputMessage="1" showErrorMessage="1" sqref="H6:H55" xr:uid="{282694F3-3404-423B-B968-F0EA997DE359}">
      <formula1>KEY_Risk_Lrating</formula1>
    </dataValidation>
    <dataValidation type="list" allowBlank="1" showInputMessage="1" showErrorMessage="1" sqref="J6:J55" xr:uid="{44536773-C2D6-419D-89BD-8B2396EB045D}">
      <formula1>Key_Risk_Irating</formula1>
    </dataValidation>
  </dataValidations>
  <pageMargins left="0.25" right="0.25" top="0.75" bottom="0.75" header="0.3" footer="0.3"/>
  <pageSetup scale="47"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2000000}">
          <x14:formula1>
            <xm:f>KEY!$E$3:$E$8</xm:f>
          </x14:formula1>
          <xm:sqref>S6:S55</xm:sqref>
        </x14:dataValidation>
        <x14:dataValidation type="list" allowBlank="1" showInputMessage="1" showErrorMessage="1" xr:uid="{0EC706B4-134D-49CB-B2BC-00D66C4820FB}">
          <x14:formula1>
            <xm:f>KEY!$A$3:$A$7</xm:f>
          </x14:formula1>
          <xm:sqref>C6:C55</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314F-7359-47F4-B34A-8872B4427DEC}">
  <sheetPr>
    <tabColor theme="3" tint="0.39997558519241921"/>
    <pageSetUpPr fitToPage="1"/>
  </sheetPr>
  <dimension ref="A1:O58"/>
  <sheetViews>
    <sheetView showGridLines="0" zoomScale="80" zoomScaleNormal="80" workbookViewId="0">
      <pane ySplit="5" topLeftCell="A6" activePane="bottomLeft" state="frozen"/>
      <selection pane="bottomLeft" activeCell="H7" sqref="H7"/>
    </sheetView>
  </sheetViews>
  <sheetFormatPr defaultColWidth="11" defaultRowHeight="15.75" x14ac:dyDescent="0.25"/>
  <cols>
    <col min="1" max="1" width="3.125" customWidth="1"/>
    <col min="2" max="2" width="9.625" style="12" customWidth="1"/>
    <col min="3" max="3" width="27.5" style="12" customWidth="1"/>
    <col min="4" max="4" width="40.5" style="12" customWidth="1"/>
    <col min="5" max="5" width="30.5" style="12" customWidth="1"/>
    <col min="6" max="6" width="35.5" style="25" customWidth="1"/>
    <col min="7" max="7" width="15.375" style="15" customWidth="1"/>
    <col min="8" max="8" width="20.5" customWidth="1"/>
    <col min="9" max="9" width="23.125" customWidth="1"/>
    <col min="10" max="10" width="19.25" style="12" customWidth="1"/>
    <col min="11" max="11" width="20" style="12" customWidth="1"/>
    <col min="12" max="12" width="18.125" style="7" customWidth="1"/>
    <col min="13" max="14" width="21.625" style="31" customWidth="1"/>
    <col min="15" max="15" width="17.875" style="29" customWidth="1"/>
    <col min="21" max="21" width="3.125" customWidth="1"/>
  </cols>
  <sheetData>
    <row r="1" spans="1:15" ht="50.1" customHeight="1" x14ac:dyDescent="0.4">
      <c r="B1" s="33" t="s">
        <v>5772</v>
      </c>
      <c r="C1" s="13"/>
      <c r="D1" s="13"/>
      <c r="E1" s="13"/>
      <c r="F1" s="26"/>
      <c r="J1" s="13"/>
      <c r="K1" s="13"/>
      <c r="L1" s="6"/>
      <c r="M1" s="30"/>
      <c r="N1" s="30"/>
      <c r="O1" s="28"/>
    </row>
    <row r="2" spans="1:15" ht="50.1" customHeight="1" x14ac:dyDescent="0.4">
      <c r="B2" s="33"/>
      <c r="C2" s="13"/>
      <c r="D2" s="13"/>
      <c r="E2" s="13"/>
      <c r="F2" s="26"/>
      <c r="J2" s="13"/>
      <c r="K2" s="13"/>
      <c r="L2" s="6"/>
      <c r="M2" s="30"/>
      <c r="N2" s="30"/>
      <c r="O2" s="28"/>
    </row>
    <row r="3" spans="1:15" ht="50.1" customHeight="1" x14ac:dyDescent="0.4">
      <c r="B3" s="33"/>
      <c r="C3" s="13"/>
      <c r="D3" s="13"/>
      <c r="E3" s="13"/>
      <c r="F3" s="26"/>
      <c r="J3" s="13"/>
      <c r="K3" s="13"/>
      <c r="L3" s="6"/>
      <c r="M3" s="30"/>
      <c r="N3" s="30"/>
      <c r="O3" s="28"/>
    </row>
    <row r="4" spans="1:15" ht="50.1" customHeight="1" x14ac:dyDescent="0.4">
      <c r="B4" s="33"/>
      <c r="C4" s="13"/>
      <c r="D4" s="13"/>
      <c r="E4" s="13"/>
      <c r="F4" s="26"/>
      <c r="J4" s="13"/>
      <c r="K4" s="13"/>
      <c r="L4" s="6"/>
      <c r="M4" s="30"/>
      <c r="N4" s="30"/>
      <c r="O4" s="28"/>
    </row>
    <row r="5" spans="1:15" s="42" customFormat="1" ht="78.75" customHeight="1" x14ac:dyDescent="0.2">
      <c r="A5" s="34"/>
      <c r="B5" s="52" t="s">
        <v>5776</v>
      </c>
      <c r="C5" s="37" t="s">
        <v>5774</v>
      </c>
      <c r="D5" s="37" t="s">
        <v>5775</v>
      </c>
      <c r="E5" s="37" t="s">
        <v>5787</v>
      </c>
      <c r="F5" s="43" t="s">
        <v>5786</v>
      </c>
      <c r="G5" s="39" t="s">
        <v>5788</v>
      </c>
      <c r="H5" s="39" t="s">
        <v>5789</v>
      </c>
      <c r="I5" s="39" t="s">
        <v>7011</v>
      </c>
      <c r="J5" s="37" t="s">
        <v>5790</v>
      </c>
      <c r="K5" s="64" t="s">
        <v>7015</v>
      </c>
      <c r="L5" s="40" t="s">
        <v>168</v>
      </c>
      <c r="M5" s="36" t="s">
        <v>5791</v>
      </c>
      <c r="N5" s="36" t="s">
        <v>5872</v>
      </c>
      <c r="O5" s="41" t="s">
        <v>183</v>
      </c>
    </row>
    <row r="6" spans="1:15" s="44" customFormat="1" ht="200.25" customHeight="1" x14ac:dyDescent="0.25">
      <c r="B6" s="53" t="s">
        <v>5773</v>
      </c>
      <c r="C6" s="45" t="s">
        <v>7008</v>
      </c>
      <c r="D6" s="45" t="s">
        <v>7009</v>
      </c>
      <c r="E6" s="45" t="s">
        <v>5784</v>
      </c>
      <c r="F6" s="48" t="s">
        <v>5778</v>
      </c>
      <c r="G6" s="49" t="s">
        <v>5792</v>
      </c>
      <c r="H6" s="49" t="s">
        <v>7010</v>
      </c>
      <c r="I6" s="49" t="s">
        <v>7012</v>
      </c>
      <c r="J6" s="45" t="s">
        <v>203</v>
      </c>
      <c r="K6" s="45" t="s">
        <v>5066</v>
      </c>
      <c r="L6" s="48" t="s">
        <v>5802</v>
      </c>
      <c r="M6" s="46">
        <v>43494</v>
      </c>
      <c r="N6" s="46">
        <v>44343</v>
      </c>
      <c r="O6" s="50" t="str">
        <f ca="1">IF(Tbl_ControlLib[[#This Row],[DATE
Review or Validation]]=0,"",(IF((TODAY()-Tbl_ControlLib[[#This Row],[DATE
Review or Validation]])&gt;365,"YES","No")))</f>
        <v>No</v>
      </c>
    </row>
    <row r="7" spans="1:15" s="44" customFormat="1" ht="200.25" customHeight="1" x14ac:dyDescent="0.25">
      <c r="B7" s="53" t="s">
        <v>5809</v>
      </c>
      <c r="C7" s="45"/>
      <c r="D7" s="45"/>
      <c r="E7" s="45"/>
      <c r="F7" s="48"/>
      <c r="G7" s="187"/>
      <c r="H7" s="49"/>
      <c r="I7" s="49"/>
      <c r="J7" s="45"/>
      <c r="K7" s="45"/>
      <c r="L7" s="48"/>
      <c r="M7" s="46"/>
      <c r="N7" s="46"/>
      <c r="O7" s="50" t="str">
        <f ca="1">IF(Tbl_ControlLib[[#This Row],[DATE
Review or Validation]]=0,"",(IF((TODAY()-Tbl_ControlLib[[#This Row],[DATE
Review or Validation]])&gt;365,"YES","No")))</f>
        <v/>
      </c>
    </row>
    <row r="8" spans="1:15" s="44" customFormat="1" ht="200.25" customHeight="1" x14ac:dyDescent="0.25">
      <c r="B8" s="53" t="s">
        <v>5810</v>
      </c>
      <c r="C8" s="45"/>
      <c r="D8" s="45"/>
      <c r="E8" s="45"/>
      <c r="F8" s="48"/>
      <c r="G8" s="49"/>
      <c r="H8" s="49"/>
      <c r="I8" s="49"/>
      <c r="J8" s="45"/>
      <c r="K8" s="45"/>
      <c r="L8" s="48"/>
      <c r="M8" s="46"/>
      <c r="N8" s="46"/>
      <c r="O8" s="50" t="str">
        <f ca="1">IF(Tbl_ControlLib[[#This Row],[DATE
Review or Validation]]=0,"",(IF((TODAY()-Tbl_ControlLib[[#This Row],[DATE
Review or Validation]])&gt;365,"YES","No")))</f>
        <v/>
      </c>
    </row>
    <row r="9" spans="1:15" s="44" customFormat="1" ht="200.25" customHeight="1" x14ac:dyDescent="0.25">
      <c r="B9" s="53" t="s">
        <v>5811</v>
      </c>
      <c r="C9" s="45"/>
      <c r="D9" s="45"/>
      <c r="E9" s="45"/>
      <c r="F9" s="48"/>
      <c r="G9" s="49"/>
      <c r="H9" s="49"/>
      <c r="I9" s="49"/>
      <c r="J9" s="45"/>
      <c r="K9" s="45"/>
      <c r="L9" s="48"/>
      <c r="M9" s="46"/>
      <c r="N9" s="46"/>
      <c r="O9" s="50" t="str">
        <f ca="1">IF(Tbl_ControlLib[[#This Row],[DATE
Review or Validation]]=0,"",(IF((TODAY()-Tbl_ControlLib[[#This Row],[DATE
Review or Validation]])&gt;365,"YES","No")))</f>
        <v/>
      </c>
    </row>
    <row r="10" spans="1:15" s="44" customFormat="1" ht="200.25" customHeight="1" x14ac:dyDescent="0.25">
      <c r="B10" s="53" t="s">
        <v>5812</v>
      </c>
      <c r="C10" s="45"/>
      <c r="D10" s="45"/>
      <c r="E10" s="45"/>
      <c r="F10" s="48"/>
      <c r="G10" s="49"/>
      <c r="H10" s="49"/>
      <c r="I10" s="49"/>
      <c r="J10" s="45"/>
      <c r="K10" s="45"/>
      <c r="L10" s="48"/>
      <c r="M10" s="46"/>
      <c r="N10" s="46"/>
      <c r="O10" s="50" t="str">
        <f ca="1">IF(Tbl_ControlLib[[#This Row],[DATE
Review or Validation]]=0,"",(IF((TODAY()-Tbl_ControlLib[[#This Row],[DATE
Review or Validation]])&gt;365,"YES","No")))</f>
        <v/>
      </c>
    </row>
    <row r="11" spans="1:15" s="44" customFormat="1" ht="200.25" customHeight="1" x14ac:dyDescent="0.25">
      <c r="B11" s="53" t="s">
        <v>5813</v>
      </c>
      <c r="C11" s="45"/>
      <c r="D11" s="45"/>
      <c r="E11" s="45"/>
      <c r="F11" s="48"/>
      <c r="G11" s="49"/>
      <c r="H11" s="49"/>
      <c r="I11" s="49"/>
      <c r="J11" s="45"/>
      <c r="K11" s="45"/>
      <c r="L11" s="48"/>
      <c r="M11" s="46"/>
      <c r="N11" s="46"/>
      <c r="O11" s="50" t="str">
        <f ca="1">IF(Tbl_ControlLib[[#This Row],[DATE
Review or Validation]]=0,"",(IF((TODAY()-Tbl_ControlLib[[#This Row],[DATE
Review or Validation]])&gt;365,"YES","No")))</f>
        <v/>
      </c>
    </row>
    <row r="12" spans="1:15" s="44" customFormat="1" ht="200.25" customHeight="1" x14ac:dyDescent="0.25">
      <c r="B12" s="53" t="s">
        <v>5814</v>
      </c>
      <c r="C12" s="45" t="s">
        <v>7016</v>
      </c>
      <c r="D12" s="45" t="s">
        <v>7017</v>
      </c>
      <c r="E12" s="45" t="s">
        <v>5784</v>
      </c>
      <c r="F12" s="48" t="s">
        <v>5782</v>
      </c>
      <c r="G12" s="49" t="s">
        <v>5799</v>
      </c>
      <c r="H12" s="49" t="s">
        <v>6539</v>
      </c>
      <c r="I12" s="49" t="s">
        <v>7018</v>
      </c>
      <c r="J12" s="45"/>
      <c r="K12" s="45" t="s">
        <v>5508</v>
      </c>
      <c r="L12" s="48" t="s">
        <v>5800</v>
      </c>
      <c r="M12" s="46"/>
      <c r="N12" s="46"/>
      <c r="O12" s="50" t="str">
        <f ca="1">IF(Tbl_ControlLib[[#This Row],[DATE
Review or Validation]]=0,"",(IF((TODAY()-Tbl_ControlLib[[#This Row],[DATE
Review or Validation]])&gt;365,"YES","No")))</f>
        <v/>
      </c>
    </row>
    <row r="13" spans="1:15" s="44" customFormat="1" ht="200.25" customHeight="1" x14ac:dyDescent="0.25">
      <c r="B13" s="53" t="s">
        <v>5815</v>
      </c>
      <c r="C13" s="45" t="s">
        <v>7019</v>
      </c>
      <c r="D13" s="45" t="s">
        <v>7020</v>
      </c>
      <c r="E13" s="45" t="s">
        <v>5784</v>
      </c>
      <c r="F13" s="48" t="s">
        <v>5778</v>
      </c>
      <c r="G13" s="49" t="s">
        <v>5796</v>
      </c>
      <c r="H13" s="49" t="s">
        <v>6539</v>
      </c>
      <c r="I13" s="49" t="s">
        <v>7021</v>
      </c>
      <c r="J13" s="45"/>
      <c r="K13" s="45" t="s">
        <v>7022</v>
      </c>
      <c r="L13" s="48" t="s">
        <v>5800</v>
      </c>
      <c r="M13" s="46"/>
      <c r="N13" s="46"/>
      <c r="O13" s="50" t="str">
        <f ca="1">IF(Tbl_ControlLib[[#This Row],[DATE
Review or Validation]]=0,"",(IF((TODAY()-Tbl_ControlLib[[#This Row],[DATE
Review or Validation]])&gt;365,"YES","No")))</f>
        <v/>
      </c>
    </row>
    <row r="14" spans="1:15" s="44" customFormat="1" ht="200.25" customHeight="1" x14ac:dyDescent="0.25">
      <c r="B14" s="53" t="s">
        <v>5816</v>
      </c>
      <c r="C14" s="45"/>
      <c r="D14" s="45"/>
      <c r="E14" s="45"/>
      <c r="F14" s="48"/>
      <c r="G14" s="49"/>
      <c r="H14" s="49"/>
      <c r="I14" s="49"/>
      <c r="J14" s="45"/>
      <c r="K14" s="45"/>
      <c r="L14" s="48"/>
      <c r="M14" s="46"/>
      <c r="N14" s="46"/>
      <c r="O14" s="50" t="str">
        <f ca="1">IF(Tbl_ControlLib[[#This Row],[DATE
Review or Validation]]=0,"",(IF((TODAY()-Tbl_ControlLib[[#This Row],[DATE
Review or Validation]])&gt;365,"YES","No")))</f>
        <v/>
      </c>
    </row>
    <row r="15" spans="1:15" s="44" customFormat="1" ht="200.25" customHeight="1" x14ac:dyDescent="0.25">
      <c r="B15" s="53" t="s">
        <v>5817</v>
      </c>
      <c r="C15" s="45"/>
      <c r="D15" s="45"/>
      <c r="E15" s="45"/>
      <c r="F15" s="48"/>
      <c r="G15" s="49"/>
      <c r="H15" s="49"/>
      <c r="I15" s="49"/>
      <c r="J15" s="45"/>
      <c r="K15" s="45"/>
      <c r="L15" s="48"/>
      <c r="M15" s="46"/>
      <c r="N15" s="46"/>
      <c r="O15" s="50" t="str">
        <f ca="1">IF(Tbl_ControlLib[[#This Row],[DATE
Review or Validation]]=0,"",(IF((TODAY()-Tbl_ControlLib[[#This Row],[DATE
Review or Validation]])&gt;365,"YES","No")))</f>
        <v/>
      </c>
    </row>
    <row r="16" spans="1:15" s="44" customFormat="1" ht="200.25" customHeight="1" x14ac:dyDescent="0.25">
      <c r="B16" s="53" t="s">
        <v>5818</v>
      </c>
      <c r="C16" s="45"/>
      <c r="D16" s="45"/>
      <c r="E16" s="45"/>
      <c r="F16" s="48"/>
      <c r="G16" s="49"/>
      <c r="H16" s="49"/>
      <c r="I16" s="49"/>
      <c r="J16" s="45"/>
      <c r="K16" s="45"/>
      <c r="L16" s="48"/>
      <c r="M16" s="46"/>
      <c r="N16" s="46"/>
      <c r="O16" s="50" t="str">
        <f ca="1">IF(Tbl_ControlLib[[#This Row],[DATE
Review or Validation]]=0,"",(IF((TODAY()-Tbl_ControlLib[[#This Row],[DATE
Review or Validation]])&gt;365,"YES","No")))</f>
        <v/>
      </c>
    </row>
    <row r="17" spans="2:15" s="44" customFormat="1" ht="200.25" customHeight="1" x14ac:dyDescent="0.25">
      <c r="B17" s="53" t="s">
        <v>5819</v>
      </c>
      <c r="C17" s="45"/>
      <c r="D17" s="45"/>
      <c r="E17" s="45"/>
      <c r="F17" s="48"/>
      <c r="G17" s="49"/>
      <c r="H17" s="49"/>
      <c r="I17" s="49"/>
      <c r="J17" s="45"/>
      <c r="K17" s="45"/>
      <c r="L17" s="48"/>
      <c r="M17" s="46"/>
      <c r="N17" s="46"/>
      <c r="O17" s="50" t="str">
        <f ca="1">IF(Tbl_ControlLib[[#This Row],[DATE
Review or Validation]]=0,"",(IF((TODAY()-Tbl_ControlLib[[#This Row],[DATE
Review or Validation]])&gt;365,"YES","No")))</f>
        <v/>
      </c>
    </row>
    <row r="18" spans="2:15" s="44" customFormat="1" ht="200.25" customHeight="1" x14ac:dyDescent="0.25">
      <c r="B18" s="53" t="s">
        <v>5820</v>
      </c>
      <c r="C18" s="45"/>
      <c r="D18" s="45"/>
      <c r="E18" s="45"/>
      <c r="F18" s="48"/>
      <c r="G18" s="49"/>
      <c r="H18" s="49"/>
      <c r="I18" s="49"/>
      <c r="J18" s="45"/>
      <c r="K18" s="45"/>
      <c r="L18" s="48"/>
      <c r="M18" s="46"/>
      <c r="N18" s="46"/>
      <c r="O18" s="50" t="str">
        <f ca="1">IF(Tbl_ControlLib[[#This Row],[DATE
Review or Validation]]=0,"",(IF((TODAY()-Tbl_ControlLib[[#This Row],[DATE
Review or Validation]])&gt;365,"YES","No")))</f>
        <v/>
      </c>
    </row>
    <row r="19" spans="2:15" s="44" customFormat="1" ht="200.25" customHeight="1" x14ac:dyDescent="0.25">
      <c r="B19" s="53" t="s">
        <v>5821</v>
      </c>
      <c r="C19" s="45"/>
      <c r="D19" s="45"/>
      <c r="E19" s="45"/>
      <c r="F19" s="48"/>
      <c r="G19" s="49"/>
      <c r="H19" s="49"/>
      <c r="I19" s="49"/>
      <c r="J19" s="48"/>
      <c r="K19" s="48"/>
      <c r="L19" s="48"/>
      <c r="M19" s="46"/>
      <c r="N19" s="46"/>
      <c r="O19" s="50" t="str">
        <f ca="1">IF(Tbl_ControlLib[[#This Row],[DATE
Review or Validation]]=0,"",(IF((TODAY()-Tbl_ControlLib[[#This Row],[DATE
Review or Validation]])&gt;365,"YES","No")))</f>
        <v/>
      </c>
    </row>
    <row r="20" spans="2:15" s="44" customFormat="1" ht="200.25" customHeight="1" x14ac:dyDescent="0.25">
      <c r="B20" s="53" t="s">
        <v>5822</v>
      </c>
      <c r="C20" s="45"/>
      <c r="D20" s="45"/>
      <c r="E20" s="45"/>
      <c r="F20" s="48"/>
      <c r="G20" s="49"/>
      <c r="H20" s="49"/>
      <c r="I20" s="49"/>
      <c r="J20" s="48"/>
      <c r="K20" s="48"/>
      <c r="L20" s="48"/>
      <c r="M20" s="46"/>
      <c r="N20" s="46"/>
      <c r="O20" s="50" t="str">
        <f ca="1">IF(Tbl_ControlLib[[#This Row],[DATE
Review or Validation]]=0,"",(IF((TODAY()-Tbl_ControlLib[[#This Row],[DATE
Review or Validation]])&gt;365,"YES","No")))</f>
        <v/>
      </c>
    </row>
    <row r="21" spans="2:15" s="44" customFormat="1" ht="200.25" customHeight="1" x14ac:dyDescent="0.25">
      <c r="B21" s="53" t="s">
        <v>5823</v>
      </c>
      <c r="C21" s="45"/>
      <c r="D21" s="45"/>
      <c r="E21" s="45"/>
      <c r="F21" s="48"/>
      <c r="G21" s="49"/>
      <c r="H21" s="49"/>
      <c r="I21" s="49"/>
      <c r="J21" s="45"/>
      <c r="K21" s="45"/>
      <c r="L21" s="48"/>
      <c r="M21" s="46"/>
      <c r="N21" s="46"/>
      <c r="O21" s="50" t="str">
        <f ca="1">IF(Tbl_ControlLib[[#This Row],[DATE
Review or Validation]]=0,"",(IF((TODAY()-Tbl_ControlLib[[#This Row],[DATE
Review or Validation]])&gt;365,"YES","No")))</f>
        <v/>
      </c>
    </row>
    <row r="22" spans="2:15" s="44" customFormat="1" ht="200.25" customHeight="1" x14ac:dyDescent="0.25">
      <c r="B22" s="53" t="s">
        <v>5824</v>
      </c>
      <c r="C22" s="45"/>
      <c r="D22" s="45"/>
      <c r="E22" s="45"/>
      <c r="F22" s="48"/>
      <c r="G22" s="49"/>
      <c r="H22" s="49"/>
      <c r="I22" s="49"/>
      <c r="J22" s="45"/>
      <c r="K22" s="45"/>
      <c r="L22" s="48"/>
      <c r="M22" s="46"/>
      <c r="N22" s="46"/>
      <c r="O22" s="50" t="str">
        <f ca="1">IF(Tbl_ControlLib[[#This Row],[DATE
Review or Validation]]=0,"",(IF((TODAY()-Tbl_ControlLib[[#This Row],[DATE
Review or Validation]])&gt;365,"YES","No")))</f>
        <v/>
      </c>
    </row>
    <row r="23" spans="2:15" s="44" customFormat="1" ht="200.25" customHeight="1" x14ac:dyDescent="0.25">
      <c r="B23" s="53" t="s">
        <v>5825</v>
      </c>
      <c r="C23" s="45"/>
      <c r="D23" s="45"/>
      <c r="E23" s="45"/>
      <c r="F23" s="48"/>
      <c r="G23" s="49"/>
      <c r="H23" s="49"/>
      <c r="I23" s="49"/>
      <c r="J23" s="45"/>
      <c r="K23" s="45"/>
      <c r="L23" s="48"/>
      <c r="M23" s="46"/>
      <c r="N23" s="46"/>
      <c r="O23" s="50" t="str">
        <f ca="1">IF(Tbl_ControlLib[[#This Row],[DATE
Review or Validation]]=0,"",(IF((TODAY()-Tbl_ControlLib[[#This Row],[DATE
Review or Validation]])&gt;365,"YES","No")))</f>
        <v/>
      </c>
    </row>
    <row r="24" spans="2:15" s="44" customFormat="1" ht="200.25" customHeight="1" x14ac:dyDescent="0.25">
      <c r="B24" s="53" t="s">
        <v>5826</v>
      </c>
      <c r="C24" s="45"/>
      <c r="D24" s="45"/>
      <c r="E24" s="45"/>
      <c r="F24" s="48"/>
      <c r="G24" s="49"/>
      <c r="H24" s="49"/>
      <c r="I24" s="49"/>
      <c r="J24" s="45"/>
      <c r="K24" s="45"/>
      <c r="L24" s="48"/>
      <c r="M24" s="46"/>
      <c r="N24" s="46"/>
      <c r="O24" s="50" t="str">
        <f ca="1">IF(Tbl_ControlLib[[#This Row],[DATE
Review or Validation]]=0,"",(IF((TODAY()-Tbl_ControlLib[[#This Row],[DATE
Review or Validation]])&gt;365,"YES","No")))</f>
        <v/>
      </c>
    </row>
    <row r="25" spans="2:15" s="44" customFormat="1" ht="200.25" customHeight="1" x14ac:dyDescent="0.25">
      <c r="B25" s="53" t="s">
        <v>5827</v>
      </c>
      <c r="C25" s="45"/>
      <c r="D25" s="45"/>
      <c r="E25" s="45"/>
      <c r="F25" s="48"/>
      <c r="G25" s="49"/>
      <c r="H25" s="49"/>
      <c r="I25" s="49"/>
      <c r="J25" s="45"/>
      <c r="K25" s="45"/>
      <c r="L25" s="48"/>
      <c r="M25" s="46"/>
      <c r="N25" s="46"/>
      <c r="O25" s="50" t="str">
        <f ca="1">IF(Tbl_ControlLib[[#This Row],[DATE
Review or Validation]]=0,"",(IF((TODAY()-Tbl_ControlLib[[#This Row],[DATE
Review or Validation]])&gt;365,"YES","No")))</f>
        <v/>
      </c>
    </row>
    <row r="26" spans="2:15" s="44" customFormat="1" ht="200.25" customHeight="1" x14ac:dyDescent="0.25">
      <c r="B26" s="53" t="s">
        <v>5828</v>
      </c>
      <c r="C26" s="45"/>
      <c r="D26" s="45"/>
      <c r="E26" s="45"/>
      <c r="F26" s="48"/>
      <c r="G26" s="49"/>
      <c r="H26" s="49"/>
      <c r="I26" s="49"/>
      <c r="J26" s="45"/>
      <c r="K26" s="45"/>
      <c r="L26" s="48"/>
      <c r="M26" s="46"/>
      <c r="N26" s="46"/>
      <c r="O26" s="50" t="str">
        <f ca="1">IF(Tbl_ControlLib[[#This Row],[DATE
Review or Validation]]=0,"",(IF((TODAY()-Tbl_ControlLib[[#This Row],[DATE
Review or Validation]])&gt;365,"YES","No")))</f>
        <v/>
      </c>
    </row>
    <row r="27" spans="2:15" s="44" customFormat="1" ht="200.25" customHeight="1" x14ac:dyDescent="0.25">
      <c r="B27" s="53" t="s">
        <v>5829</v>
      </c>
      <c r="C27" s="45"/>
      <c r="D27" s="45"/>
      <c r="E27" s="45"/>
      <c r="F27" s="48"/>
      <c r="G27" s="49"/>
      <c r="H27" s="49"/>
      <c r="I27" s="49"/>
      <c r="J27" s="45"/>
      <c r="K27" s="45"/>
      <c r="L27" s="48"/>
      <c r="M27" s="46"/>
      <c r="N27" s="46"/>
      <c r="O27" s="50" t="str">
        <f ca="1">IF(Tbl_ControlLib[[#This Row],[DATE
Review or Validation]]=0,"",(IF((TODAY()-Tbl_ControlLib[[#This Row],[DATE
Review or Validation]])&gt;365,"YES","No")))</f>
        <v/>
      </c>
    </row>
    <row r="28" spans="2:15" s="44" customFormat="1" ht="200.25" customHeight="1" x14ac:dyDescent="0.25">
      <c r="B28" s="53" t="s">
        <v>5830</v>
      </c>
      <c r="C28" s="45"/>
      <c r="D28" s="45"/>
      <c r="E28" s="45"/>
      <c r="F28" s="48"/>
      <c r="G28" s="49"/>
      <c r="H28" s="49"/>
      <c r="I28" s="49"/>
      <c r="J28" s="45"/>
      <c r="K28" s="45"/>
      <c r="L28" s="48"/>
      <c r="M28" s="46"/>
      <c r="N28" s="46"/>
      <c r="O28" s="50" t="str">
        <f ca="1">IF(Tbl_ControlLib[[#This Row],[DATE
Review or Validation]]=0,"",(IF((TODAY()-Tbl_ControlLib[[#This Row],[DATE
Review or Validation]])&gt;365,"YES","No")))</f>
        <v/>
      </c>
    </row>
    <row r="29" spans="2:15" s="44" customFormat="1" ht="200.25" customHeight="1" x14ac:dyDescent="0.25">
      <c r="B29" s="53" t="s">
        <v>5831</v>
      </c>
      <c r="C29" s="45"/>
      <c r="D29" s="45"/>
      <c r="E29" s="45"/>
      <c r="F29" s="48"/>
      <c r="G29" s="49"/>
      <c r="H29" s="49"/>
      <c r="I29" s="49"/>
      <c r="J29" s="45"/>
      <c r="K29" s="45"/>
      <c r="L29" s="48"/>
      <c r="M29" s="46"/>
      <c r="N29" s="46"/>
      <c r="O29" s="50" t="str">
        <f ca="1">IF(Tbl_ControlLib[[#This Row],[DATE
Review or Validation]]=0,"",(IF((TODAY()-Tbl_ControlLib[[#This Row],[DATE
Review or Validation]])&gt;365,"YES","No")))</f>
        <v/>
      </c>
    </row>
    <row r="30" spans="2:15" s="44" customFormat="1" ht="200.25" customHeight="1" x14ac:dyDescent="0.25">
      <c r="B30" s="53" t="s">
        <v>5832</v>
      </c>
      <c r="C30" s="45"/>
      <c r="D30" s="45"/>
      <c r="E30" s="45"/>
      <c r="F30" s="48"/>
      <c r="G30" s="49"/>
      <c r="H30" s="49"/>
      <c r="I30" s="49"/>
      <c r="J30" s="45"/>
      <c r="K30" s="45"/>
      <c r="L30" s="48"/>
      <c r="M30" s="46"/>
      <c r="N30" s="46"/>
      <c r="O30" s="50" t="str">
        <f ca="1">IF(Tbl_ControlLib[[#This Row],[DATE
Review or Validation]]=0,"",(IF((TODAY()-Tbl_ControlLib[[#This Row],[DATE
Review or Validation]])&gt;365,"YES","No")))</f>
        <v/>
      </c>
    </row>
    <row r="31" spans="2:15" s="44" customFormat="1" ht="200.25" customHeight="1" x14ac:dyDescent="0.25">
      <c r="B31" s="53" t="s">
        <v>5833</v>
      </c>
      <c r="C31" s="45"/>
      <c r="D31" s="45"/>
      <c r="E31" s="45"/>
      <c r="F31" s="48"/>
      <c r="G31" s="49"/>
      <c r="H31" s="49"/>
      <c r="I31" s="49"/>
      <c r="J31" s="45"/>
      <c r="K31" s="45"/>
      <c r="L31" s="48"/>
      <c r="M31" s="46"/>
      <c r="N31" s="46"/>
      <c r="O31" s="50" t="str">
        <f ca="1">IF(Tbl_ControlLib[[#This Row],[DATE
Review or Validation]]=0,"",(IF((TODAY()-Tbl_ControlLib[[#This Row],[DATE
Review or Validation]])&gt;365,"YES","No")))</f>
        <v/>
      </c>
    </row>
    <row r="32" spans="2:15" s="44" customFormat="1" ht="200.25" customHeight="1" x14ac:dyDescent="0.25">
      <c r="B32" s="53" t="s">
        <v>5834</v>
      </c>
      <c r="C32" s="45"/>
      <c r="D32" s="45"/>
      <c r="E32" s="45"/>
      <c r="F32" s="48"/>
      <c r="G32" s="49"/>
      <c r="H32" s="49"/>
      <c r="I32" s="49"/>
      <c r="J32" s="45"/>
      <c r="K32" s="45"/>
      <c r="L32" s="48"/>
      <c r="M32" s="46"/>
      <c r="N32" s="46"/>
      <c r="O32" s="50" t="str">
        <f ca="1">IF(Tbl_ControlLib[[#This Row],[DATE
Review or Validation]]=0,"",(IF((TODAY()-Tbl_ControlLib[[#This Row],[DATE
Review or Validation]])&gt;365,"YES","No")))</f>
        <v/>
      </c>
    </row>
    <row r="33" spans="2:15" s="44" customFormat="1" ht="200.25" customHeight="1" x14ac:dyDescent="0.25">
      <c r="B33" s="53" t="s">
        <v>5835</v>
      </c>
      <c r="C33" s="45"/>
      <c r="D33" s="45"/>
      <c r="E33" s="45"/>
      <c r="F33" s="48"/>
      <c r="G33" s="49"/>
      <c r="H33" s="49"/>
      <c r="I33" s="49"/>
      <c r="J33" s="45"/>
      <c r="K33" s="45"/>
      <c r="L33" s="48"/>
      <c r="M33" s="46"/>
      <c r="N33" s="46"/>
      <c r="O33" s="50" t="str">
        <f ca="1">IF(Tbl_ControlLib[[#This Row],[DATE
Review or Validation]]=0,"",(IF((TODAY()-Tbl_ControlLib[[#This Row],[DATE
Review or Validation]])&gt;365,"YES","No")))</f>
        <v/>
      </c>
    </row>
    <row r="34" spans="2:15" s="44" customFormat="1" ht="200.25" customHeight="1" x14ac:dyDescent="0.25">
      <c r="B34" s="53" t="s">
        <v>5836</v>
      </c>
      <c r="C34" s="45"/>
      <c r="D34" s="45"/>
      <c r="E34" s="45"/>
      <c r="F34" s="48"/>
      <c r="G34" s="49"/>
      <c r="H34" s="49"/>
      <c r="I34" s="49"/>
      <c r="J34" s="45"/>
      <c r="K34" s="45"/>
      <c r="L34" s="48"/>
      <c r="M34" s="46"/>
      <c r="N34" s="46"/>
      <c r="O34" s="50" t="str">
        <f ca="1">IF(Tbl_ControlLib[[#This Row],[DATE
Review or Validation]]=0,"",(IF((TODAY()-Tbl_ControlLib[[#This Row],[DATE
Review or Validation]])&gt;365,"YES","No")))</f>
        <v/>
      </c>
    </row>
    <row r="35" spans="2:15" s="44" customFormat="1" ht="200.25" customHeight="1" x14ac:dyDescent="0.25">
      <c r="B35" s="53" t="s">
        <v>5837</v>
      </c>
      <c r="C35" s="45"/>
      <c r="D35" s="45"/>
      <c r="E35" s="45"/>
      <c r="F35" s="48"/>
      <c r="G35" s="49"/>
      <c r="H35" s="49"/>
      <c r="I35" s="49"/>
      <c r="J35" s="45"/>
      <c r="K35" s="45"/>
      <c r="L35" s="48"/>
      <c r="M35" s="46"/>
      <c r="N35" s="46"/>
      <c r="O35" s="50" t="str">
        <f ca="1">IF(Tbl_ControlLib[[#This Row],[DATE
Review or Validation]]=0,"",(IF((TODAY()-Tbl_ControlLib[[#This Row],[DATE
Review or Validation]])&gt;365,"YES","No")))</f>
        <v/>
      </c>
    </row>
    <row r="36" spans="2:15" s="44" customFormat="1" ht="200.25" customHeight="1" x14ac:dyDescent="0.25">
      <c r="B36" s="53" t="s">
        <v>5838</v>
      </c>
      <c r="C36" s="45"/>
      <c r="D36" s="45"/>
      <c r="E36" s="45"/>
      <c r="F36" s="48"/>
      <c r="G36" s="49"/>
      <c r="H36" s="49"/>
      <c r="I36" s="49"/>
      <c r="J36" s="45"/>
      <c r="K36" s="45"/>
      <c r="L36" s="48"/>
      <c r="M36" s="46"/>
      <c r="N36" s="46"/>
      <c r="O36" s="50" t="str">
        <f ca="1">IF(Tbl_ControlLib[[#This Row],[DATE
Review or Validation]]=0,"",(IF((TODAY()-Tbl_ControlLib[[#This Row],[DATE
Review or Validation]])&gt;365,"YES","No")))</f>
        <v/>
      </c>
    </row>
    <row r="37" spans="2:15" s="44" customFormat="1" ht="200.25" customHeight="1" x14ac:dyDescent="0.25">
      <c r="B37" s="53" t="s">
        <v>5839</v>
      </c>
      <c r="C37" s="45"/>
      <c r="D37" s="45"/>
      <c r="E37" s="45"/>
      <c r="F37" s="48"/>
      <c r="G37" s="49"/>
      <c r="H37" s="49"/>
      <c r="I37" s="49"/>
      <c r="J37" s="45"/>
      <c r="K37" s="45"/>
      <c r="L37" s="48"/>
      <c r="M37" s="46"/>
      <c r="N37" s="46"/>
      <c r="O37" s="50" t="str">
        <f ca="1">IF(Tbl_ControlLib[[#This Row],[DATE
Review or Validation]]=0,"",(IF((TODAY()-Tbl_ControlLib[[#This Row],[DATE
Review or Validation]])&gt;365,"YES","No")))</f>
        <v/>
      </c>
    </row>
    <row r="38" spans="2:15" s="44" customFormat="1" ht="200.25" customHeight="1" x14ac:dyDescent="0.25">
      <c r="B38" s="53" t="s">
        <v>5840</v>
      </c>
      <c r="C38" s="45"/>
      <c r="D38" s="45"/>
      <c r="E38" s="45"/>
      <c r="F38" s="48"/>
      <c r="G38" s="49"/>
      <c r="H38" s="49"/>
      <c r="I38" s="49"/>
      <c r="J38" s="45"/>
      <c r="K38" s="45"/>
      <c r="L38" s="48"/>
      <c r="M38" s="46"/>
      <c r="N38" s="46"/>
      <c r="O38" s="50" t="str">
        <f ca="1">IF(Tbl_ControlLib[[#This Row],[DATE
Review or Validation]]=0,"",(IF((TODAY()-Tbl_ControlLib[[#This Row],[DATE
Review or Validation]])&gt;365,"YES","No")))</f>
        <v/>
      </c>
    </row>
    <row r="39" spans="2:15" s="44" customFormat="1" ht="200.25" customHeight="1" x14ac:dyDescent="0.25">
      <c r="B39" s="53" t="s">
        <v>5841</v>
      </c>
      <c r="C39" s="45"/>
      <c r="D39" s="45"/>
      <c r="E39" s="45"/>
      <c r="F39" s="48"/>
      <c r="G39" s="49"/>
      <c r="H39" s="49"/>
      <c r="I39" s="49"/>
      <c r="J39" s="45"/>
      <c r="K39" s="45"/>
      <c r="L39" s="48"/>
      <c r="M39" s="46"/>
      <c r="N39" s="46"/>
      <c r="O39" s="50" t="str">
        <f ca="1">IF(Tbl_ControlLib[[#This Row],[DATE
Review or Validation]]=0,"",(IF((TODAY()-Tbl_ControlLib[[#This Row],[DATE
Review or Validation]])&gt;365,"YES","No")))</f>
        <v/>
      </c>
    </row>
    <row r="40" spans="2:15" s="44" customFormat="1" ht="200.25" customHeight="1" x14ac:dyDescent="0.25">
      <c r="B40" s="53" t="s">
        <v>5842</v>
      </c>
      <c r="C40" s="45"/>
      <c r="D40" s="45"/>
      <c r="E40" s="45"/>
      <c r="F40" s="48"/>
      <c r="G40" s="49"/>
      <c r="H40" s="49"/>
      <c r="I40" s="49"/>
      <c r="J40" s="45"/>
      <c r="K40" s="45"/>
      <c r="L40" s="48"/>
      <c r="M40" s="46"/>
      <c r="N40" s="46"/>
      <c r="O40" s="50" t="str">
        <f ca="1">IF(Tbl_ControlLib[[#This Row],[DATE
Review or Validation]]=0,"",(IF((TODAY()-Tbl_ControlLib[[#This Row],[DATE
Review or Validation]])&gt;365,"YES","No")))</f>
        <v/>
      </c>
    </row>
    <row r="41" spans="2:15" s="44" customFormat="1" ht="200.25" customHeight="1" x14ac:dyDescent="0.25">
      <c r="B41" s="53" t="s">
        <v>5843</v>
      </c>
      <c r="C41" s="45"/>
      <c r="D41" s="45"/>
      <c r="E41" s="45"/>
      <c r="F41" s="48"/>
      <c r="G41" s="49"/>
      <c r="H41" s="49"/>
      <c r="I41" s="49"/>
      <c r="J41" s="45"/>
      <c r="K41" s="45"/>
      <c r="L41" s="48"/>
      <c r="M41" s="46"/>
      <c r="N41" s="46"/>
      <c r="O41" s="50" t="str">
        <f ca="1">IF(Tbl_ControlLib[[#This Row],[DATE
Review or Validation]]=0,"",(IF((TODAY()-Tbl_ControlLib[[#This Row],[DATE
Review or Validation]])&gt;365,"YES","No")))</f>
        <v/>
      </c>
    </row>
    <row r="42" spans="2:15" s="44" customFormat="1" ht="200.25" customHeight="1" x14ac:dyDescent="0.25">
      <c r="B42" s="53" t="s">
        <v>5844</v>
      </c>
      <c r="C42" s="45"/>
      <c r="D42" s="45"/>
      <c r="E42" s="45"/>
      <c r="F42" s="48"/>
      <c r="G42" s="49"/>
      <c r="H42" s="49"/>
      <c r="I42" s="49"/>
      <c r="J42" s="45"/>
      <c r="K42" s="45"/>
      <c r="L42" s="48"/>
      <c r="M42" s="46"/>
      <c r="N42" s="46"/>
      <c r="O42" s="50" t="str">
        <f ca="1">IF(Tbl_ControlLib[[#This Row],[DATE
Review or Validation]]=0,"",(IF((TODAY()-Tbl_ControlLib[[#This Row],[DATE
Review or Validation]])&gt;365,"YES","No")))</f>
        <v/>
      </c>
    </row>
    <row r="43" spans="2:15" s="44" customFormat="1" ht="200.25" customHeight="1" x14ac:dyDescent="0.25">
      <c r="B43" s="53" t="s">
        <v>5845</v>
      </c>
      <c r="C43" s="45"/>
      <c r="D43" s="45"/>
      <c r="E43" s="45"/>
      <c r="F43" s="48"/>
      <c r="G43" s="49"/>
      <c r="H43" s="49"/>
      <c r="I43" s="49"/>
      <c r="J43" s="45"/>
      <c r="K43" s="45"/>
      <c r="L43" s="48"/>
      <c r="M43" s="46"/>
      <c r="N43" s="46"/>
      <c r="O43" s="50" t="str">
        <f ca="1">IF(Tbl_ControlLib[[#This Row],[DATE
Review or Validation]]=0,"",(IF((TODAY()-Tbl_ControlLib[[#This Row],[DATE
Review or Validation]])&gt;365,"YES","No")))</f>
        <v/>
      </c>
    </row>
    <row r="44" spans="2:15" s="44" customFormat="1" ht="200.25" customHeight="1" x14ac:dyDescent="0.25">
      <c r="B44" s="53" t="s">
        <v>5846</v>
      </c>
      <c r="C44" s="45"/>
      <c r="D44" s="45"/>
      <c r="E44" s="45"/>
      <c r="F44" s="48"/>
      <c r="G44" s="49"/>
      <c r="H44" s="49"/>
      <c r="I44" s="49"/>
      <c r="J44" s="45"/>
      <c r="K44" s="45"/>
      <c r="L44" s="48"/>
      <c r="M44" s="46"/>
      <c r="N44" s="46"/>
      <c r="O44" s="50" t="str">
        <f ca="1">IF(Tbl_ControlLib[[#This Row],[DATE
Review or Validation]]=0,"",(IF((TODAY()-Tbl_ControlLib[[#This Row],[DATE
Review or Validation]])&gt;365,"YES","No")))</f>
        <v/>
      </c>
    </row>
    <row r="45" spans="2:15" s="44" customFormat="1" ht="200.25" customHeight="1" x14ac:dyDescent="0.25">
      <c r="B45" s="53" t="s">
        <v>5847</v>
      </c>
      <c r="C45" s="45"/>
      <c r="D45" s="45"/>
      <c r="E45" s="45"/>
      <c r="F45" s="48"/>
      <c r="G45" s="49"/>
      <c r="H45" s="49"/>
      <c r="I45" s="49"/>
      <c r="J45" s="45"/>
      <c r="K45" s="45"/>
      <c r="L45" s="48"/>
      <c r="M45" s="46"/>
      <c r="N45" s="46"/>
      <c r="O45" s="50" t="str">
        <f ca="1">IF(Tbl_ControlLib[[#This Row],[DATE
Review or Validation]]=0,"",(IF((TODAY()-Tbl_ControlLib[[#This Row],[DATE
Review or Validation]])&gt;365,"YES","No")))</f>
        <v/>
      </c>
    </row>
    <row r="46" spans="2:15" s="44" customFormat="1" ht="200.25" customHeight="1" x14ac:dyDescent="0.25">
      <c r="B46" s="53" t="s">
        <v>5848</v>
      </c>
      <c r="C46" s="45"/>
      <c r="D46" s="45"/>
      <c r="E46" s="45"/>
      <c r="F46" s="48"/>
      <c r="G46" s="49"/>
      <c r="H46" s="49"/>
      <c r="I46" s="49"/>
      <c r="J46" s="45"/>
      <c r="K46" s="45"/>
      <c r="L46" s="48"/>
      <c r="M46" s="46"/>
      <c r="N46" s="46"/>
      <c r="O46" s="50" t="str">
        <f ca="1">IF(Tbl_ControlLib[[#This Row],[DATE
Review or Validation]]=0,"",(IF((TODAY()-Tbl_ControlLib[[#This Row],[DATE
Review or Validation]])&gt;365,"YES","No")))</f>
        <v/>
      </c>
    </row>
    <row r="47" spans="2:15" s="44" customFormat="1" ht="200.25" customHeight="1" x14ac:dyDescent="0.25">
      <c r="B47" s="53" t="s">
        <v>5849</v>
      </c>
      <c r="C47" s="45"/>
      <c r="D47" s="45"/>
      <c r="E47" s="45"/>
      <c r="F47" s="48"/>
      <c r="G47" s="49"/>
      <c r="H47" s="49"/>
      <c r="I47" s="49"/>
      <c r="J47" s="45"/>
      <c r="K47" s="45"/>
      <c r="L47" s="48"/>
      <c r="M47" s="46"/>
      <c r="N47" s="46"/>
      <c r="O47" s="50" t="str">
        <f ca="1">IF(Tbl_ControlLib[[#This Row],[DATE
Review or Validation]]=0,"",(IF((TODAY()-Tbl_ControlLib[[#This Row],[DATE
Review or Validation]])&gt;365,"YES","No")))</f>
        <v/>
      </c>
    </row>
    <row r="48" spans="2:15" s="44" customFormat="1" ht="200.25" customHeight="1" x14ac:dyDescent="0.25">
      <c r="B48" s="53" t="s">
        <v>5850</v>
      </c>
      <c r="C48" s="45"/>
      <c r="D48" s="45"/>
      <c r="E48" s="45"/>
      <c r="F48" s="48"/>
      <c r="G48" s="49"/>
      <c r="H48" s="49"/>
      <c r="I48" s="49"/>
      <c r="J48" s="45"/>
      <c r="K48" s="45"/>
      <c r="L48" s="48"/>
      <c r="M48" s="46"/>
      <c r="N48" s="46"/>
      <c r="O48" s="50" t="str">
        <f ca="1">IF(Tbl_ControlLib[[#This Row],[DATE
Review or Validation]]=0,"",(IF((TODAY()-Tbl_ControlLib[[#This Row],[DATE
Review or Validation]])&gt;365,"YES","No")))</f>
        <v/>
      </c>
    </row>
    <row r="49" spans="2:15" s="44" customFormat="1" ht="200.25" customHeight="1" x14ac:dyDescent="0.25">
      <c r="B49" s="53" t="s">
        <v>5851</v>
      </c>
      <c r="C49" s="45"/>
      <c r="D49" s="45"/>
      <c r="E49" s="45"/>
      <c r="F49" s="48"/>
      <c r="G49" s="49"/>
      <c r="H49" s="49"/>
      <c r="I49" s="49"/>
      <c r="J49" s="45"/>
      <c r="K49" s="45"/>
      <c r="L49" s="48"/>
      <c r="M49" s="46"/>
      <c r="N49" s="46"/>
      <c r="O49" s="50" t="str">
        <f ca="1">IF(Tbl_ControlLib[[#This Row],[DATE
Review or Validation]]=0,"",(IF((TODAY()-Tbl_ControlLib[[#This Row],[DATE
Review or Validation]])&gt;365,"YES","No")))</f>
        <v/>
      </c>
    </row>
    <row r="50" spans="2:15" s="44" customFormat="1" ht="200.25" customHeight="1" x14ac:dyDescent="0.25">
      <c r="B50" s="53" t="s">
        <v>5852</v>
      </c>
      <c r="C50" s="45"/>
      <c r="D50" s="45"/>
      <c r="E50" s="45"/>
      <c r="F50" s="48"/>
      <c r="G50" s="49"/>
      <c r="H50" s="49"/>
      <c r="I50" s="49"/>
      <c r="J50" s="45"/>
      <c r="K50" s="45"/>
      <c r="L50" s="48"/>
      <c r="M50" s="46"/>
      <c r="N50" s="46"/>
      <c r="O50" s="50" t="str">
        <f ca="1">IF(Tbl_ControlLib[[#This Row],[DATE
Review or Validation]]=0,"",(IF((TODAY()-Tbl_ControlLib[[#This Row],[DATE
Review or Validation]])&gt;365,"YES","No")))</f>
        <v/>
      </c>
    </row>
    <row r="51" spans="2:15" s="44" customFormat="1" ht="200.25" customHeight="1" x14ac:dyDescent="0.25">
      <c r="B51" s="53" t="s">
        <v>5853</v>
      </c>
      <c r="C51" s="45"/>
      <c r="D51" s="45"/>
      <c r="E51" s="45"/>
      <c r="F51" s="48"/>
      <c r="G51" s="49"/>
      <c r="H51" s="49"/>
      <c r="I51" s="49"/>
      <c r="J51" s="45"/>
      <c r="K51" s="45"/>
      <c r="L51" s="48"/>
      <c r="M51" s="46"/>
      <c r="N51" s="46"/>
      <c r="O51" s="50" t="str">
        <f ca="1">IF(Tbl_ControlLib[[#This Row],[DATE
Review or Validation]]=0,"",(IF((TODAY()-Tbl_ControlLib[[#This Row],[DATE
Review or Validation]])&gt;365,"YES","No")))</f>
        <v/>
      </c>
    </row>
    <row r="52" spans="2:15" s="44" customFormat="1" ht="200.25" customHeight="1" x14ac:dyDescent="0.25">
      <c r="B52" s="53" t="s">
        <v>5854</v>
      </c>
      <c r="C52" s="45"/>
      <c r="D52" s="45"/>
      <c r="E52" s="45"/>
      <c r="F52" s="48"/>
      <c r="G52" s="49"/>
      <c r="H52" s="49"/>
      <c r="I52" s="49"/>
      <c r="J52" s="45"/>
      <c r="K52" s="45"/>
      <c r="L52" s="48"/>
      <c r="M52" s="46"/>
      <c r="N52" s="46"/>
      <c r="O52" s="50" t="str">
        <f ca="1">IF(Tbl_ControlLib[[#This Row],[DATE
Review or Validation]]=0,"",(IF((TODAY()-Tbl_ControlLib[[#This Row],[DATE
Review or Validation]])&gt;365,"YES","No")))</f>
        <v/>
      </c>
    </row>
    <row r="53" spans="2:15" s="44" customFormat="1" ht="200.25" customHeight="1" x14ac:dyDescent="0.25">
      <c r="B53" s="53" t="s">
        <v>5855</v>
      </c>
      <c r="C53" s="45"/>
      <c r="D53" s="45"/>
      <c r="E53" s="45"/>
      <c r="F53" s="48"/>
      <c r="G53" s="49"/>
      <c r="H53" s="49"/>
      <c r="I53" s="49"/>
      <c r="J53" s="45"/>
      <c r="K53" s="45"/>
      <c r="L53" s="48"/>
      <c r="M53" s="46"/>
      <c r="N53" s="46"/>
      <c r="O53" s="50" t="str">
        <f ca="1">IF(Tbl_ControlLib[[#This Row],[DATE
Review or Validation]]=0,"",(IF((TODAY()-Tbl_ControlLib[[#This Row],[DATE
Review or Validation]])&gt;365,"YES","No")))</f>
        <v/>
      </c>
    </row>
    <row r="54" spans="2:15" s="44" customFormat="1" ht="200.25" customHeight="1" x14ac:dyDescent="0.25">
      <c r="B54" s="53" t="s">
        <v>5856</v>
      </c>
      <c r="C54" s="45"/>
      <c r="D54" s="45"/>
      <c r="E54" s="45"/>
      <c r="F54" s="48"/>
      <c r="G54" s="49"/>
      <c r="H54" s="49"/>
      <c r="I54" s="49"/>
      <c r="J54" s="45"/>
      <c r="K54" s="45"/>
      <c r="L54" s="48"/>
      <c r="M54" s="46"/>
      <c r="N54" s="46"/>
      <c r="O54" s="50" t="str">
        <f ca="1">IF(Tbl_ControlLib[[#This Row],[DATE
Review or Validation]]=0,"",(IF((TODAY()-Tbl_ControlLib[[#This Row],[DATE
Review or Validation]])&gt;365,"YES","No")))</f>
        <v/>
      </c>
    </row>
    <row r="55" spans="2:15" s="44" customFormat="1" ht="200.25" customHeight="1" x14ac:dyDescent="0.25">
      <c r="B55" s="53" t="s">
        <v>5857</v>
      </c>
      <c r="C55" s="45"/>
      <c r="D55" s="45"/>
      <c r="E55" s="45"/>
      <c r="F55" s="48"/>
      <c r="G55" s="49"/>
      <c r="H55" s="49"/>
      <c r="I55" s="49"/>
      <c r="J55" s="45"/>
      <c r="K55" s="45"/>
      <c r="L55" s="48"/>
      <c r="M55" s="46"/>
      <c r="N55" s="46"/>
      <c r="O55" s="50" t="str">
        <f ca="1">IF(Tbl_ControlLib[[#This Row],[DATE
Review or Validation]]=0,"",(IF((TODAY()-Tbl_ControlLib[[#This Row],[DATE
Review or Validation]])&gt;365,"YES","No")))</f>
        <v/>
      </c>
    </row>
    <row r="57" spans="2:15" ht="30.75" x14ac:dyDescent="0.25">
      <c r="B57" s="12" t="s">
        <v>173</v>
      </c>
    </row>
    <row r="58" spans="2:15" x14ac:dyDescent="0.25">
      <c r="B58" s="12">
        <f ca="1">TODAY()</f>
        <v>44426</v>
      </c>
    </row>
  </sheetData>
  <phoneticPr fontId="20" type="noConversion"/>
  <conditionalFormatting sqref="H7:I7 F7 F8:I55 F6:I6">
    <cfRule type="colorScale" priority="4">
      <colorScale>
        <cfvo type="num" val="1"/>
        <cfvo type="percentile" val="50"/>
        <cfvo type="num" val="25"/>
        <color rgb="FF92D050"/>
        <color rgb="FFFFEB84"/>
        <color rgb="FFC00000"/>
      </colorScale>
    </cfRule>
  </conditionalFormatting>
  <conditionalFormatting sqref="L1:L1048576">
    <cfRule type="containsText" dxfId="44" priority="3" operator="containsText" text="Deficient">
      <formula>NOT(ISERROR(SEARCH("Deficient",L1)))</formula>
    </cfRule>
  </conditionalFormatting>
  <conditionalFormatting sqref="J19:K19">
    <cfRule type="colorScale" priority="1">
      <colorScale>
        <cfvo type="num" val="1"/>
        <cfvo type="percentile" val="50"/>
        <cfvo type="num" val="25"/>
        <color rgb="FF92D050"/>
        <color rgb="FFFFEB84"/>
        <color rgb="FFC00000"/>
      </colorScale>
    </cfRule>
  </conditionalFormatting>
  <conditionalFormatting sqref="J20:K20">
    <cfRule type="colorScale" priority="2">
      <colorScale>
        <cfvo type="num" val="1"/>
        <cfvo type="percentile" val="50"/>
        <cfvo type="num" val="25"/>
        <color rgb="FF92D050"/>
        <color rgb="FFFFEB84"/>
        <color rgb="FFC00000"/>
      </colorScale>
    </cfRule>
  </conditionalFormatting>
  <dataValidations count="5">
    <dataValidation type="list" allowBlank="1" showInputMessage="1" showErrorMessage="1" sqref="L6:L55" xr:uid="{95937AB0-29F3-4460-BD98-5870CF502509}">
      <formula1>KEY_Control_Status</formula1>
    </dataValidation>
    <dataValidation type="list" allowBlank="1" showInputMessage="1" showErrorMessage="1" sqref="E6:E55" xr:uid="{AC538A99-3699-4C44-A2F2-D0E5603177DD}">
      <formula1>KEY_Control_Type</formula1>
    </dataValidation>
    <dataValidation type="list" allowBlank="1" showInputMessage="1" showErrorMessage="1" sqref="F6:F55" xr:uid="{F1BC20C8-C7D9-4205-956B-54B40BE87681}">
      <formula1>KEY_Control_Function</formula1>
    </dataValidation>
    <dataValidation type="list" allowBlank="1" showInputMessage="1" showErrorMessage="1" sqref="G6:G55" xr:uid="{E0798DFE-B56F-44E3-A6F3-B18A9C0E765A}">
      <formula1>KEY_Control_Frequency</formula1>
    </dataValidation>
    <dataValidation type="list" allowBlank="1" showInputMessage="1" showErrorMessage="1" sqref="H6:H55" xr:uid="{9E1963E4-AB1F-47BB-8A7D-992F72B48BD9}">
      <formula1>KEY_Control_Owner</formula1>
    </dataValidation>
  </dataValidations>
  <pageMargins left="0.25" right="0.25" top="0.75" bottom="0.75" header="0.3" footer="0.3"/>
  <pageSetup scale="47"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BA937-6D7B-440F-ACBB-C01DF7B2F10C}">
  <dimension ref="A1:D408"/>
  <sheetViews>
    <sheetView zoomScaleNormal="100" workbookViewId="0">
      <selection activeCell="B11" sqref="B11"/>
    </sheetView>
  </sheetViews>
  <sheetFormatPr defaultColWidth="9" defaultRowHeight="15.75" x14ac:dyDescent="0.25"/>
  <cols>
    <col min="1" max="1" width="13" style="135" customWidth="1"/>
    <col min="2" max="2" width="40.5" style="135" customWidth="1"/>
    <col min="3" max="3" width="142" style="135" customWidth="1"/>
    <col min="4" max="4" width="22" style="135" customWidth="1"/>
    <col min="5" max="16384" width="9" style="135"/>
  </cols>
  <sheetData>
    <row r="1" spans="1:4" x14ac:dyDescent="0.25">
      <c r="A1" s="135" t="s">
        <v>5061</v>
      </c>
      <c r="B1" s="135" t="s">
        <v>6383</v>
      </c>
      <c r="C1" s="135" t="s">
        <v>5062</v>
      </c>
      <c r="D1" s="135" t="s">
        <v>5763</v>
      </c>
    </row>
    <row r="2" spans="1:4" s="185" customFormat="1" ht="50.25" customHeight="1" x14ac:dyDescent="0.25">
      <c r="A2" s="185" t="s">
        <v>5496</v>
      </c>
      <c r="B2" s="186" t="s">
        <v>5063</v>
      </c>
      <c r="C2" s="186"/>
      <c r="D2" s="186"/>
    </row>
    <row r="3" spans="1:4" s="136" customFormat="1" ht="50.25" customHeight="1" x14ac:dyDescent="0.25">
      <c r="A3" s="136" t="s">
        <v>5064</v>
      </c>
      <c r="B3" s="137" t="s">
        <v>5065</v>
      </c>
      <c r="C3" s="137"/>
      <c r="D3" s="137"/>
    </row>
    <row r="4" spans="1:4" s="136" customFormat="1" ht="50.25" customHeight="1" x14ac:dyDescent="0.25">
      <c r="A4" s="136" t="s">
        <v>5066</v>
      </c>
      <c r="B4" s="137"/>
      <c r="C4" s="137" t="s">
        <v>5201</v>
      </c>
      <c r="D4" s="137" t="s">
        <v>5764</v>
      </c>
    </row>
    <row r="5" spans="1:4" s="136" customFormat="1" ht="50.25" customHeight="1" x14ac:dyDescent="0.25">
      <c r="A5" s="136" t="s">
        <v>5497</v>
      </c>
      <c r="B5" s="137"/>
      <c r="C5" s="137" t="s">
        <v>5202</v>
      </c>
      <c r="D5" s="137"/>
    </row>
    <row r="6" spans="1:4" s="136" customFormat="1" ht="50.25" customHeight="1" x14ac:dyDescent="0.25">
      <c r="A6" s="136" t="s">
        <v>5067</v>
      </c>
      <c r="B6" s="137"/>
      <c r="C6" s="137" t="s">
        <v>5203</v>
      </c>
      <c r="D6" s="137"/>
    </row>
    <row r="7" spans="1:4" s="136" customFormat="1" ht="50.25" customHeight="1" x14ac:dyDescent="0.25">
      <c r="A7" s="136" t="s">
        <v>5068</v>
      </c>
      <c r="B7" s="137"/>
      <c r="C7" s="137" t="s">
        <v>5204</v>
      </c>
      <c r="D7" s="137"/>
    </row>
    <row r="8" spans="1:4" s="136" customFormat="1" ht="50.25" customHeight="1" x14ac:dyDescent="0.25">
      <c r="A8" s="136" t="s">
        <v>5069</v>
      </c>
      <c r="B8" s="137"/>
      <c r="C8" s="137" t="s">
        <v>5205</v>
      </c>
      <c r="D8" s="137"/>
    </row>
    <row r="9" spans="1:4" s="136" customFormat="1" ht="50.25" customHeight="1" x14ac:dyDescent="0.25">
      <c r="A9" s="136" t="s">
        <v>5070</v>
      </c>
      <c r="B9" s="137" t="s">
        <v>5071</v>
      </c>
      <c r="C9" s="137"/>
      <c r="D9" s="137"/>
    </row>
    <row r="10" spans="1:4" s="136" customFormat="1" ht="50.25" customHeight="1" x14ac:dyDescent="0.25">
      <c r="A10" s="136" t="s">
        <v>5072</v>
      </c>
      <c r="B10" s="137"/>
      <c r="C10" s="137" t="s">
        <v>5206</v>
      </c>
      <c r="D10" s="137"/>
    </row>
    <row r="11" spans="1:4" s="136" customFormat="1" ht="50.25" customHeight="1" x14ac:dyDescent="0.25">
      <c r="A11" s="136" t="s">
        <v>5073</v>
      </c>
      <c r="B11" s="137"/>
      <c r="C11" s="137" t="s">
        <v>5207</v>
      </c>
      <c r="D11" s="137"/>
    </row>
    <row r="12" spans="1:4" s="136" customFormat="1" ht="50.25" customHeight="1" x14ac:dyDescent="0.25">
      <c r="A12" s="136" t="s">
        <v>5074</v>
      </c>
      <c r="B12" s="137"/>
      <c r="C12" s="137" t="s">
        <v>5208</v>
      </c>
      <c r="D12" s="137"/>
    </row>
    <row r="13" spans="1:4" s="136" customFormat="1" ht="50.25" customHeight="1" x14ac:dyDescent="0.25">
      <c r="A13" s="136" t="s">
        <v>5075</v>
      </c>
      <c r="B13" s="137"/>
      <c r="C13" s="137" t="s">
        <v>5209</v>
      </c>
      <c r="D13" s="137"/>
    </row>
    <row r="14" spans="1:4" s="136" customFormat="1" ht="50.25" customHeight="1" x14ac:dyDescent="0.25">
      <c r="A14" s="136" t="s">
        <v>5076</v>
      </c>
      <c r="B14" s="137" t="s">
        <v>5077</v>
      </c>
      <c r="C14" s="137"/>
      <c r="D14" s="137"/>
    </row>
    <row r="15" spans="1:4" s="136" customFormat="1" ht="50.25" customHeight="1" x14ac:dyDescent="0.25">
      <c r="A15" s="136" t="s">
        <v>5078</v>
      </c>
      <c r="B15" s="137"/>
      <c r="C15" s="137" t="s">
        <v>5210</v>
      </c>
      <c r="D15" s="137"/>
    </row>
    <row r="16" spans="1:4" s="136" customFormat="1" ht="50.25" customHeight="1" x14ac:dyDescent="0.25">
      <c r="A16" s="136" t="s">
        <v>5079</v>
      </c>
      <c r="B16" s="137"/>
      <c r="C16" s="137" t="s">
        <v>5211</v>
      </c>
      <c r="D16" s="137"/>
    </row>
    <row r="17" spans="1:4" s="136" customFormat="1" ht="50.25" customHeight="1" x14ac:dyDescent="0.25">
      <c r="A17" s="136" t="s">
        <v>5080</v>
      </c>
      <c r="B17" s="137"/>
      <c r="C17" s="137" t="s">
        <v>5212</v>
      </c>
      <c r="D17" s="137" t="s">
        <v>5765</v>
      </c>
    </row>
    <row r="18" spans="1:4" s="136" customFormat="1" ht="50.25" customHeight="1" x14ac:dyDescent="0.25">
      <c r="A18" s="136" t="s">
        <v>5081</v>
      </c>
      <c r="B18" s="137"/>
      <c r="C18" s="137" t="s">
        <v>5213</v>
      </c>
      <c r="D18" s="137"/>
    </row>
    <row r="19" spans="1:4" s="136" customFormat="1" ht="50.25" customHeight="1" x14ac:dyDescent="0.25">
      <c r="A19" s="136" t="s">
        <v>5082</v>
      </c>
      <c r="B19" s="137"/>
      <c r="C19" s="137" t="s">
        <v>5214</v>
      </c>
      <c r="D19" s="137"/>
    </row>
    <row r="20" spans="1:4" s="136" customFormat="1" ht="50.25" customHeight="1" x14ac:dyDescent="0.25">
      <c r="A20" s="136" t="s">
        <v>5083</v>
      </c>
      <c r="B20" s="137" t="s">
        <v>5084</v>
      </c>
      <c r="C20" s="137"/>
      <c r="D20" s="137"/>
    </row>
    <row r="21" spans="1:4" s="136" customFormat="1" ht="50.25" customHeight="1" x14ac:dyDescent="0.25">
      <c r="A21" s="136" t="s">
        <v>5085</v>
      </c>
      <c r="B21" s="137"/>
      <c r="C21" s="137" t="s">
        <v>5215</v>
      </c>
      <c r="D21" s="137"/>
    </row>
    <row r="22" spans="1:4" s="136" customFormat="1" ht="50.25" customHeight="1" x14ac:dyDescent="0.25">
      <c r="A22" s="136" t="s">
        <v>5086</v>
      </c>
      <c r="B22" s="137"/>
      <c r="C22" s="137" t="s">
        <v>5216</v>
      </c>
      <c r="D22" s="137"/>
    </row>
    <row r="23" spans="1:4" s="136" customFormat="1" ht="50.25" customHeight="1" x14ac:dyDescent="0.25">
      <c r="A23" s="136" t="s">
        <v>5087</v>
      </c>
      <c r="B23" s="137"/>
      <c r="C23" s="137" t="s">
        <v>5217</v>
      </c>
      <c r="D23" s="137"/>
    </row>
    <row r="24" spans="1:4" s="136" customFormat="1" ht="50.25" customHeight="1" x14ac:dyDescent="0.25">
      <c r="A24" s="136" t="s">
        <v>5088</v>
      </c>
      <c r="B24" s="137"/>
      <c r="C24" s="137" t="s">
        <v>5218</v>
      </c>
      <c r="D24" s="137"/>
    </row>
    <row r="25" spans="1:4" s="136" customFormat="1" ht="50.25" customHeight="1" x14ac:dyDescent="0.25">
      <c r="A25" s="136" t="s">
        <v>5089</v>
      </c>
      <c r="B25" s="137"/>
      <c r="C25" s="137" t="s">
        <v>5219</v>
      </c>
      <c r="D25" s="137" t="s">
        <v>5766</v>
      </c>
    </row>
    <row r="26" spans="1:4" s="136" customFormat="1" ht="50.25" customHeight="1" x14ac:dyDescent="0.25">
      <c r="A26" s="136" t="s">
        <v>5090</v>
      </c>
      <c r="B26" s="137"/>
      <c r="C26" s="137" t="s">
        <v>5220</v>
      </c>
      <c r="D26" s="137"/>
    </row>
    <row r="27" spans="1:4" s="136" customFormat="1" ht="50.25" customHeight="1" x14ac:dyDescent="0.25">
      <c r="A27" s="136" t="s">
        <v>5091</v>
      </c>
      <c r="B27" s="137"/>
      <c r="C27" s="137" t="s">
        <v>5221</v>
      </c>
      <c r="D27" s="137"/>
    </row>
    <row r="28" spans="1:4" s="136" customFormat="1" ht="50.25" customHeight="1" x14ac:dyDescent="0.25">
      <c r="A28" s="136" t="s">
        <v>5092</v>
      </c>
      <c r="B28" s="137" t="s">
        <v>5093</v>
      </c>
      <c r="C28" s="137"/>
      <c r="D28" s="137"/>
    </row>
    <row r="29" spans="1:4" s="136" customFormat="1" ht="50.25" customHeight="1" x14ac:dyDescent="0.25">
      <c r="A29" s="136" t="s">
        <v>5094</v>
      </c>
      <c r="B29" s="137"/>
      <c r="C29" s="137" t="s">
        <v>5222</v>
      </c>
      <c r="D29" s="137"/>
    </row>
    <row r="30" spans="1:4" s="136" customFormat="1" ht="50.25" customHeight="1" x14ac:dyDescent="0.25">
      <c r="A30" s="136" t="s">
        <v>5095</v>
      </c>
      <c r="B30" s="137"/>
      <c r="C30" s="137" t="s">
        <v>5223</v>
      </c>
      <c r="D30" s="137"/>
    </row>
    <row r="31" spans="1:4" s="136" customFormat="1" ht="50.25" customHeight="1" x14ac:dyDescent="0.25">
      <c r="A31" s="136" t="s">
        <v>5096</v>
      </c>
      <c r="B31" s="137"/>
      <c r="C31" s="137" t="s">
        <v>5224</v>
      </c>
      <c r="D31" s="137"/>
    </row>
    <row r="32" spans="1:4" s="136" customFormat="1" ht="50.25" customHeight="1" x14ac:dyDescent="0.25">
      <c r="A32" s="136" t="s">
        <v>5097</v>
      </c>
      <c r="B32" s="137"/>
      <c r="C32" s="137" t="s">
        <v>5225</v>
      </c>
      <c r="D32" s="137"/>
    </row>
    <row r="33" spans="1:4" s="136" customFormat="1" ht="50.25" customHeight="1" x14ac:dyDescent="0.25">
      <c r="A33" s="136" t="s">
        <v>5098</v>
      </c>
      <c r="B33" s="137"/>
      <c r="C33" s="137" t="s">
        <v>5226</v>
      </c>
      <c r="D33" s="137"/>
    </row>
    <row r="34" spans="1:4" s="185" customFormat="1" ht="50.25" customHeight="1" x14ac:dyDescent="0.25">
      <c r="A34" s="185" t="s">
        <v>5498</v>
      </c>
      <c r="B34" s="186" t="s">
        <v>5099</v>
      </c>
      <c r="C34" s="186"/>
      <c r="D34" s="186"/>
    </row>
    <row r="35" spans="1:4" s="136" customFormat="1" ht="50.25" customHeight="1" x14ac:dyDescent="0.25">
      <c r="A35" s="136" t="s">
        <v>5100</v>
      </c>
      <c r="B35" s="137" t="s">
        <v>5101</v>
      </c>
      <c r="C35" s="137"/>
      <c r="D35" s="137"/>
    </row>
    <row r="36" spans="1:4" s="136" customFormat="1" ht="50.25" customHeight="1" x14ac:dyDescent="0.25">
      <c r="A36" s="136" t="s">
        <v>5499</v>
      </c>
      <c r="B36" s="137"/>
      <c r="C36" s="137" t="s">
        <v>5227</v>
      </c>
      <c r="D36" s="137"/>
    </row>
    <row r="37" spans="1:4" s="136" customFormat="1" ht="50.25" customHeight="1" x14ac:dyDescent="0.25">
      <c r="A37" s="136" t="s">
        <v>5500</v>
      </c>
      <c r="B37" s="137"/>
      <c r="C37" s="137" t="s">
        <v>5228</v>
      </c>
      <c r="D37" s="137"/>
    </row>
    <row r="38" spans="1:4" s="136" customFormat="1" ht="50.25" customHeight="1" x14ac:dyDescent="0.25">
      <c r="A38" s="136" t="s">
        <v>5501</v>
      </c>
      <c r="B38" s="137"/>
      <c r="C38" s="137" t="s">
        <v>5229</v>
      </c>
      <c r="D38" s="137"/>
    </row>
    <row r="39" spans="1:4" s="136" customFormat="1" ht="50.25" customHeight="1" x14ac:dyDescent="0.25">
      <c r="A39" s="136" t="s">
        <v>5502</v>
      </c>
      <c r="B39" s="137"/>
      <c r="C39" s="137" t="s">
        <v>5230</v>
      </c>
      <c r="D39" s="137"/>
    </row>
    <row r="40" spans="1:4" s="136" customFormat="1" ht="50.25" customHeight="1" x14ac:dyDescent="0.25">
      <c r="A40" s="136" t="s">
        <v>5503</v>
      </c>
      <c r="B40" s="137" t="s">
        <v>5102</v>
      </c>
      <c r="C40" s="137"/>
      <c r="D40" s="137"/>
    </row>
    <row r="41" spans="1:4" s="136" customFormat="1" ht="50.25" customHeight="1" x14ac:dyDescent="0.25">
      <c r="A41" s="136" t="s">
        <v>5504</v>
      </c>
      <c r="B41" s="137"/>
      <c r="C41" s="137" t="s">
        <v>5231</v>
      </c>
      <c r="D41" s="137" t="s">
        <v>5771</v>
      </c>
    </row>
    <row r="42" spans="1:4" s="136" customFormat="1" ht="50.25" customHeight="1" x14ac:dyDescent="0.25">
      <c r="A42" s="136" t="s">
        <v>5505</v>
      </c>
      <c r="B42" s="137"/>
      <c r="C42" s="137" t="s">
        <v>5232</v>
      </c>
      <c r="D42" s="137" t="s">
        <v>5764</v>
      </c>
    </row>
    <row r="43" spans="1:4" s="136" customFormat="1" ht="50.25" customHeight="1" x14ac:dyDescent="0.25">
      <c r="A43" s="136" t="s">
        <v>5506</v>
      </c>
      <c r="B43" s="137"/>
      <c r="C43" s="137" t="s">
        <v>5233</v>
      </c>
      <c r="D43" s="137"/>
    </row>
    <row r="44" spans="1:4" s="136" customFormat="1" ht="50.25" customHeight="1" x14ac:dyDescent="0.25">
      <c r="A44" s="136" t="s">
        <v>5507</v>
      </c>
      <c r="B44" s="137"/>
      <c r="C44" s="137" t="s">
        <v>5234</v>
      </c>
      <c r="D44" s="137"/>
    </row>
    <row r="45" spans="1:4" s="136" customFormat="1" ht="50.25" customHeight="1" x14ac:dyDescent="0.25">
      <c r="A45" s="136" t="s">
        <v>5508</v>
      </c>
      <c r="B45" s="137"/>
      <c r="C45" s="137" t="s">
        <v>5235</v>
      </c>
      <c r="D45" s="137" t="s">
        <v>5770</v>
      </c>
    </row>
    <row r="46" spans="1:4" s="136" customFormat="1" ht="50.25" customHeight="1" x14ac:dyDescent="0.25">
      <c r="A46" s="136" t="s">
        <v>5509</v>
      </c>
      <c r="B46" s="137"/>
      <c r="C46" s="137" t="s">
        <v>5236</v>
      </c>
      <c r="D46" s="137" t="s">
        <v>5767</v>
      </c>
    </row>
    <row r="47" spans="1:4" s="136" customFormat="1" ht="50.25" customHeight="1" x14ac:dyDescent="0.25">
      <c r="A47" s="136" t="s">
        <v>5510</v>
      </c>
      <c r="B47" s="137"/>
      <c r="C47" s="137" t="s">
        <v>5237</v>
      </c>
      <c r="D47" s="137"/>
    </row>
    <row r="48" spans="1:4" s="136" customFormat="1" ht="50.25" customHeight="1" x14ac:dyDescent="0.25">
      <c r="A48" s="136" t="s">
        <v>5511</v>
      </c>
      <c r="B48" s="137"/>
      <c r="C48" s="137" t="s">
        <v>5238</v>
      </c>
      <c r="D48" s="137" t="s">
        <v>5767</v>
      </c>
    </row>
    <row r="49" spans="1:4" s="136" customFormat="1" ht="50.25" customHeight="1" x14ac:dyDescent="0.25">
      <c r="A49" s="136" t="s">
        <v>5512</v>
      </c>
      <c r="B49" s="137"/>
      <c r="C49" s="137" t="s">
        <v>5239</v>
      </c>
      <c r="D49" s="137"/>
    </row>
    <row r="50" spans="1:4" s="136" customFormat="1" ht="50.25" customHeight="1" x14ac:dyDescent="0.25">
      <c r="A50" s="136" t="s">
        <v>5513</v>
      </c>
      <c r="B50" s="137"/>
      <c r="C50" s="137" t="s">
        <v>5240</v>
      </c>
      <c r="D50" s="137" t="s">
        <v>5767</v>
      </c>
    </row>
    <row r="51" spans="1:4" s="136" customFormat="1" ht="50.25" customHeight="1" x14ac:dyDescent="0.25">
      <c r="A51" s="136" t="s">
        <v>5514</v>
      </c>
      <c r="B51" s="137"/>
      <c r="C51" s="137" t="s">
        <v>5241</v>
      </c>
      <c r="D51" s="137"/>
    </row>
    <row r="52" spans="1:4" s="136" customFormat="1" ht="50.25" customHeight="1" x14ac:dyDescent="0.25">
      <c r="A52" s="136" t="s">
        <v>5515</v>
      </c>
      <c r="B52" s="137" t="s">
        <v>5103</v>
      </c>
      <c r="C52" s="137"/>
      <c r="D52" s="137"/>
    </row>
    <row r="53" spans="1:4" s="136" customFormat="1" ht="50.25" customHeight="1" x14ac:dyDescent="0.25">
      <c r="A53" s="136" t="s">
        <v>5516</v>
      </c>
      <c r="B53" s="137"/>
      <c r="C53" s="137" t="s">
        <v>5242</v>
      </c>
      <c r="D53" s="137" t="s">
        <v>5768</v>
      </c>
    </row>
    <row r="54" spans="1:4" s="136" customFormat="1" ht="50.25" customHeight="1" x14ac:dyDescent="0.25">
      <c r="A54" s="136" t="s">
        <v>5517</v>
      </c>
      <c r="B54" s="137"/>
      <c r="C54" s="137" t="s">
        <v>5243</v>
      </c>
      <c r="D54" s="137"/>
    </row>
    <row r="55" spans="1:4" s="136" customFormat="1" ht="50.25" customHeight="1" x14ac:dyDescent="0.25">
      <c r="A55" s="136" t="s">
        <v>5518</v>
      </c>
      <c r="B55" s="137"/>
      <c r="C55" s="137" t="s">
        <v>5244</v>
      </c>
      <c r="D55" s="137"/>
    </row>
    <row r="56" spans="1:4" s="136" customFormat="1" ht="50.25" customHeight="1" x14ac:dyDescent="0.25">
      <c r="A56" s="136" t="s">
        <v>5519</v>
      </c>
      <c r="B56" s="137"/>
      <c r="C56" s="137" t="s">
        <v>5233</v>
      </c>
      <c r="D56" s="137"/>
    </row>
    <row r="57" spans="1:4" s="136" customFormat="1" ht="50.25" customHeight="1" x14ac:dyDescent="0.25">
      <c r="A57" s="136" t="s">
        <v>5520</v>
      </c>
      <c r="B57" s="137"/>
      <c r="C57" s="137" t="s">
        <v>5245</v>
      </c>
      <c r="D57" s="137"/>
    </row>
    <row r="58" spans="1:4" s="136" customFormat="1" ht="50.25" customHeight="1" x14ac:dyDescent="0.25">
      <c r="A58" s="136" t="s">
        <v>5521</v>
      </c>
      <c r="B58" s="137"/>
      <c r="C58" s="137" t="s">
        <v>5246</v>
      </c>
      <c r="D58" s="137"/>
    </row>
    <row r="59" spans="1:4" s="136" customFormat="1" ht="50.25" customHeight="1" x14ac:dyDescent="0.25">
      <c r="A59" s="136" t="s">
        <v>5522</v>
      </c>
      <c r="B59" s="137"/>
      <c r="C59" s="137" t="s">
        <v>5247</v>
      </c>
      <c r="D59" s="137"/>
    </row>
    <row r="60" spans="1:4" s="136" customFormat="1" ht="50.25" customHeight="1" x14ac:dyDescent="0.25">
      <c r="A60" s="136" t="s">
        <v>5523</v>
      </c>
      <c r="B60" s="137"/>
      <c r="C60" s="137" t="s">
        <v>5248</v>
      </c>
      <c r="D60" s="137"/>
    </row>
    <row r="61" spans="1:4" s="136" customFormat="1" ht="50.25" customHeight="1" x14ac:dyDescent="0.25">
      <c r="A61" s="136" t="s">
        <v>5524</v>
      </c>
      <c r="B61" s="137"/>
      <c r="C61" s="137" t="s">
        <v>5249</v>
      </c>
      <c r="D61" s="137"/>
    </row>
    <row r="62" spans="1:4" s="136" customFormat="1" ht="50.25" customHeight="1" x14ac:dyDescent="0.25">
      <c r="A62" s="136" t="s">
        <v>5525</v>
      </c>
      <c r="B62" s="137"/>
      <c r="C62" s="137" t="s">
        <v>5250</v>
      </c>
      <c r="D62" s="137" t="s">
        <v>6347</v>
      </c>
    </row>
    <row r="63" spans="1:4" s="136" customFormat="1" ht="50.25" customHeight="1" x14ac:dyDescent="0.25">
      <c r="A63" s="136" t="s">
        <v>5526</v>
      </c>
      <c r="B63" s="137"/>
      <c r="C63" s="137" t="s">
        <v>5251</v>
      </c>
      <c r="D63" s="137" t="s">
        <v>5767</v>
      </c>
    </row>
    <row r="64" spans="1:4" s="185" customFormat="1" ht="50.25" customHeight="1" x14ac:dyDescent="0.25">
      <c r="A64" s="185" t="s">
        <v>5527</v>
      </c>
      <c r="B64" s="186" t="s">
        <v>5104</v>
      </c>
      <c r="C64" s="186"/>
      <c r="D64" s="186"/>
    </row>
    <row r="65" spans="1:4" s="136" customFormat="1" ht="50.25" customHeight="1" x14ac:dyDescent="0.25">
      <c r="A65" s="136" t="s">
        <v>5529</v>
      </c>
      <c r="B65" s="137" t="s">
        <v>5252</v>
      </c>
      <c r="C65" s="137"/>
      <c r="D65" s="137"/>
    </row>
    <row r="66" spans="1:4" s="136" customFormat="1" ht="50.25" customHeight="1" x14ac:dyDescent="0.25">
      <c r="A66" s="136" t="s">
        <v>5531</v>
      </c>
      <c r="B66" s="137"/>
      <c r="C66" s="137" t="s">
        <v>5105</v>
      </c>
      <c r="D66" s="137"/>
    </row>
    <row r="67" spans="1:4" s="136" customFormat="1" ht="50.25" customHeight="1" x14ac:dyDescent="0.25">
      <c r="A67" s="136" t="s">
        <v>5528</v>
      </c>
      <c r="B67" s="137"/>
      <c r="C67" s="137" t="s">
        <v>5253</v>
      </c>
      <c r="D67" s="137" t="s">
        <v>6348</v>
      </c>
    </row>
    <row r="68" spans="1:4" s="136" customFormat="1" ht="50.25" customHeight="1" x14ac:dyDescent="0.25">
      <c r="A68" s="136" t="s">
        <v>5530</v>
      </c>
      <c r="B68" s="137"/>
      <c r="C68" s="137" t="s">
        <v>5254</v>
      </c>
      <c r="D68" s="137" t="s">
        <v>6349</v>
      </c>
    </row>
    <row r="69" spans="1:4" s="136" customFormat="1" ht="50.25" customHeight="1" x14ac:dyDescent="0.25">
      <c r="A69" s="136" t="s">
        <v>5532</v>
      </c>
      <c r="B69" s="137"/>
      <c r="C69" s="137" t="s">
        <v>5255</v>
      </c>
      <c r="D69" s="137" t="s">
        <v>5952</v>
      </c>
    </row>
    <row r="70" spans="1:4" s="136" customFormat="1" ht="50.25" customHeight="1" x14ac:dyDescent="0.25">
      <c r="A70" s="136" t="s">
        <v>5533</v>
      </c>
      <c r="B70" s="137"/>
      <c r="C70" s="137" t="s">
        <v>5256</v>
      </c>
      <c r="D70" s="137" t="s">
        <v>5950</v>
      </c>
    </row>
    <row r="71" spans="1:4" s="136" customFormat="1" ht="50.25" customHeight="1" x14ac:dyDescent="0.25">
      <c r="A71" s="136" t="s">
        <v>5534</v>
      </c>
      <c r="B71" s="137"/>
      <c r="C71" s="137" t="s">
        <v>5106</v>
      </c>
      <c r="D71" s="137"/>
    </row>
    <row r="72" spans="1:4" s="136" customFormat="1" ht="50.25" customHeight="1" x14ac:dyDescent="0.25">
      <c r="A72" s="136" t="s">
        <v>5535</v>
      </c>
      <c r="B72" s="137"/>
      <c r="C72" s="137" t="s">
        <v>5257</v>
      </c>
      <c r="D72" s="137"/>
    </row>
    <row r="73" spans="1:4" s="136" customFormat="1" ht="50.25" customHeight="1" x14ac:dyDescent="0.25">
      <c r="A73" s="136" t="s">
        <v>5536</v>
      </c>
      <c r="B73" s="137"/>
      <c r="C73" s="137" t="s">
        <v>5258</v>
      </c>
      <c r="D73" s="137" t="s">
        <v>5949</v>
      </c>
    </row>
    <row r="74" spans="1:4" s="136" customFormat="1" ht="50.25" customHeight="1" x14ac:dyDescent="0.25">
      <c r="A74" s="136" t="s">
        <v>5537</v>
      </c>
      <c r="B74" s="137"/>
      <c r="C74" s="137" t="s">
        <v>5259</v>
      </c>
      <c r="D74" s="137"/>
    </row>
    <row r="75" spans="1:4" s="136" customFormat="1" ht="50.25" customHeight="1" x14ac:dyDescent="0.25">
      <c r="A75" s="136" t="s">
        <v>5538</v>
      </c>
      <c r="B75" s="137"/>
      <c r="C75" s="137" t="s">
        <v>5107</v>
      </c>
      <c r="D75" s="137"/>
    </row>
    <row r="76" spans="1:4" s="136" customFormat="1" ht="50.25" customHeight="1" x14ac:dyDescent="0.25">
      <c r="A76" s="136" t="s">
        <v>5539</v>
      </c>
      <c r="B76" s="137"/>
      <c r="C76" s="137" t="s">
        <v>5260</v>
      </c>
      <c r="D76" s="137"/>
    </row>
    <row r="77" spans="1:4" s="136" customFormat="1" ht="50.25" customHeight="1" x14ac:dyDescent="0.25">
      <c r="A77" s="136" t="s">
        <v>5540</v>
      </c>
      <c r="B77" s="137"/>
      <c r="C77" s="137" t="s">
        <v>5261</v>
      </c>
      <c r="D77" s="137" t="s">
        <v>5949</v>
      </c>
    </row>
    <row r="78" spans="1:4" s="136" customFormat="1" ht="50.25" customHeight="1" x14ac:dyDescent="0.25">
      <c r="A78" s="136" t="s">
        <v>5541</v>
      </c>
      <c r="B78" s="137"/>
      <c r="C78" s="137" t="s">
        <v>5262</v>
      </c>
      <c r="D78" s="137"/>
    </row>
    <row r="79" spans="1:4" s="136" customFormat="1" ht="50.25" customHeight="1" x14ac:dyDescent="0.25">
      <c r="A79" s="136" t="s">
        <v>5542</v>
      </c>
      <c r="B79" s="137"/>
      <c r="C79" s="137" t="s">
        <v>5108</v>
      </c>
      <c r="D79" s="137"/>
    </row>
    <row r="80" spans="1:4" s="136" customFormat="1" ht="50.25" customHeight="1" x14ac:dyDescent="0.25">
      <c r="A80" s="136" t="s">
        <v>5543</v>
      </c>
      <c r="B80" s="137"/>
      <c r="C80" s="137" t="s">
        <v>5263</v>
      </c>
      <c r="D80" s="137"/>
    </row>
    <row r="81" spans="1:4" s="136" customFormat="1" ht="50.25" customHeight="1" x14ac:dyDescent="0.25">
      <c r="A81" s="136" t="s">
        <v>5544</v>
      </c>
      <c r="B81" s="137"/>
      <c r="C81" s="137" t="s">
        <v>5264</v>
      </c>
      <c r="D81" s="137"/>
    </row>
    <row r="82" spans="1:4" s="136" customFormat="1" ht="50.25" customHeight="1" x14ac:dyDescent="0.25">
      <c r="A82" s="136" t="s">
        <v>5545</v>
      </c>
      <c r="B82" s="137"/>
      <c r="C82" s="137" t="s">
        <v>5265</v>
      </c>
      <c r="D82" s="137"/>
    </row>
    <row r="83" spans="1:4" s="136" customFormat="1" ht="50.25" customHeight="1" x14ac:dyDescent="0.25">
      <c r="A83" s="136" t="s">
        <v>5546</v>
      </c>
      <c r="B83" s="137"/>
      <c r="C83" s="137" t="s">
        <v>5109</v>
      </c>
      <c r="D83" s="137"/>
    </row>
    <row r="84" spans="1:4" s="136" customFormat="1" ht="50.25" customHeight="1" x14ac:dyDescent="0.25">
      <c r="A84" s="136" t="s">
        <v>5547</v>
      </c>
      <c r="B84" s="137"/>
      <c r="C84" s="137" t="s">
        <v>5266</v>
      </c>
      <c r="D84" s="137" t="s">
        <v>5964</v>
      </c>
    </row>
    <row r="85" spans="1:4" s="136" customFormat="1" ht="50.25" customHeight="1" x14ac:dyDescent="0.25">
      <c r="A85" s="136" t="s">
        <v>5548</v>
      </c>
      <c r="B85" s="137"/>
      <c r="C85" s="137" t="s">
        <v>5254</v>
      </c>
      <c r="D85" s="137" t="s">
        <v>5950</v>
      </c>
    </row>
    <row r="86" spans="1:4" s="136" customFormat="1" ht="50.25" customHeight="1" x14ac:dyDescent="0.25">
      <c r="A86" s="136" t="s">
        <v>5549</v>
      </c>
      <c r="B86" s="137"/>
      <c r="C86" s="137" t="s">
        <v>5267</v>
      </c>
      <c r="D86" s="137" t="s">
        <v>5949</v>
      </c>
    </row>
    <row r="87" spans="1:4" s="185" customFormat="1" ht="50.25" customHeight="1" x14ac:dyDescent="0.25">
      <c r="A87" s="185" t="s">
        <v>5550</v>
      </c>
      <c r="B87" s="186" t="s">
        <v>5110</v>
      </c>
      <c r="C87" s="186"/>
      <c r="D87" s="186"/>
    </row>
    <row r="88" spans="1:4" s="136" customFormat="1" ht="50.25" customHeight="1" x14ac:dyDescent="0.25">
      <c r="A88" s="136" t="s">
        <v>5551</v>
      </c>
      <c r="B88" s="137"/>
      <c r="C88" s="137" t="s">
        <v>5268</v>
      </c>
      <c r="D88" s="137" t="s">
        <v>6350</v>
      </c>
    </row>
    <row r="89" spans="1:4" s="136" customFormat="1" ht="50.25" customHeight="1" x14ac:dyDescent="0.25">
      <c r="A89" s="136" t="s">
        <v>5552</v>
      </c>
      <c r="B89" s="137"/>
      <c r="C89" s="137" t="s">
        <v>5269</v>
      </c>
      <c r="D89" s="137" t="s">
        <v>6351</v>
      </c>
    </row>
    <row r="90" spans="1:4" s="136" customFormat="1" ht="50.25" customHeight="1" x14ac:dyDescent="0.25">
      <c r="A90" s="136" t="s">
        <v>5553</v>
      </c>
      <c r="B90" s="137"/>
      <c r="C90" s="137" t="s">
        <v>5270</v>
      </c>
      <c r="D90" s="137"/>
    </row>
    <row r="91" spans="1:4" s="136" customFormat="1" ht="50.25" customHeight="1" x14ac:dyDescent="0.25">
      <c r="A91" s="136" t="s">
        <v>5554</v>
      </c>
      <c r="B91" s="137"/>
      <c r="C91" s="137" t="s">
        <v>5271</v>
      </c>
      <c r="D91" s="137" t="s">
        <v>5975</v>
      </c>
    </row>
    <row r="92" spans="1:4" s="136" customFormat="1" ht="50.25" customHeight="1" x14ac:dyDescent="0.25">
      <c r="A92" s="136" t="s">
        <v>5555</v>
      </c>
      <c r="B92" s="137"/>
      <c r="C92" s="137" t="s">
        <v>5272</v>
      </c>
      <c r="D92" s="137" t="s">
        <v>5977</v>
      </c>
    </row>
    <row r="93" spans="1:4" s="136" customFormat="1" ht="50.25" customHeight="1" x14ac:dyDescent="0.25">
      <c r="A93" s="136" t="s">
        <v>5556</v>
      </c>
      <c r="B93" s="137"/>
      <c r="C93" s="137" t="s">
        <v>5273</v>
      </c>
      <c r="D93" s="137" t="s">
        <v>6352</v>
      </c>
    </row>
    <row r="94" spans="1:4" s="136" customFormat="1" ht="50.25" customHeight="1" x14ac:dyDescent="0.25">
      <c r="A94" s="136" t="s">
        <v>5557</v>
      </c>
      <c r="B94" s="137"/>
      <c r="C94" s="137" t="s">
        <v>5274</v>
      </c>
      <c r="D94" s="137"/>
    </row>
    <row r="95" spans="1:4" s="136" customFormat="1" ht="50.25" customHeight="1" x14ac:dyDescent="0.25">
      <c r="A95" s="136" t="s">
        <v>5558</v>
      </c>
      <c r="B95" s="137"/>
      <c r="C95" s="137" t="s">
        <v>5275</v>
      </c>
      <c r="D95" s="137"/>
    </row>
    <row r="96" spans="1:4" s="136" customFormat="1" ht="50.25" customHeight="1" x14ac:dyDescent="0.25">
      <c r="A96" s="136" t="s">
        <v>5559</v>
      </c>
      <c r="B96" s="137" t="s">
        <v>5276</v>
      </c>
      <c r="C96" s="137"/>
      <c r="D96" s="137"/>
    </row>
    <row r="97" spans="1:4" s="136" customFormat="1" ht="50.25" customHeight="1" x14ac:dyDescent="0.25">
      <c r="A97" s="136" t="s">
        <v>5560</v>
      </c>
      <c r="B97" s="137"/>
      <c r="C97" s="137" t="s">
        <v>5277</v>
      </c>
      <c r="D97" s="137"/>
    </row>
    <row r="98" spans="1:4" s="136" customFormat="1" ht="50.25" customHeight="1" x14ac:dyDescent="0.25">
      <c r="A98" s="136" t="s">
        <v>5561</v>
      </c>
      <c r="B98" s="137"/>
      <c r="C98" s="137" t="s">
        <v>5278</v>
      </c>
      <c r="D98" s="137"/>
    </row>
    <row r="99" spans="1:4" s="136" customFormat="1" ht="50.25" customHeight="1" x14ac:dyDescent="0.25">
      <c r="A99" s="136" t="s">
        <v>5562</v>
      </c>
      <c r="B99" s="137"/>
      <c r="C99" s="137" t="s">
        <v>5279</v>
      </c>
      <c r="D99" s="137"/>
    </row>
    <row r="100" spans="1:4" s="136" customFormat="1" ht="50.25" customHeight="1" x14ac:dyDescent="0.25">
      <c r="A100" s="136" t="s">
        <v>5563</v>
      </c>
      <c r="B100" s="137"/>
      <c r="C100" s="137" t="s">
        <v>5280</v>
      </c>
      <c r="D100" s="137"/>
    </row>
    <row r="101" spans="1:4" s="136" customFormat="1" ht="50.25" customHeight="1" x14ac:dyDescent="0.25">
      <c r="A101" s="136" t="s">
        <v>5564</v>
      </c>
      <c r="B101" s="137"/>
      <c r="C101" s="137" t="s">
        <v>5281</v>
      </c>
      <c r="D101" s="137"/>
    </row>
    <row r="102" spans="1:4" s="136" customFormat="1" ht="50.25" customHeight="1" x14ac:dyDescent="0.25">
      <c r="A102" s="136" t="s">
        <v>5565</v>
      </c>
      <c r="B102" s="137" t="s">
        <v>5111</v>
      </c>
      <c r="C102" s="137"/>
      <c r="D102" s="137"/>
    </row>
    <row r="103" spans="1:4" s="136" customFormat="1" ht="50.25" customHeight="1" x14ac:dyDescent="0.25">
      <c r="A103" s="136" t="s">
        <v>5566</v>
      </c>
      <c r="B103" s="137"/>
      <c r="C103" s="137" t="s">
        <v>5282</v>
      </c>
      <c r="D103" s="137"/>
    </row>
    <row r="104" spans="1:4" s="136" customFormat="1" ht="50.25" customHeight="1" x14ac:dyDescent="0.25">
      <c r="A104" s="136" t="s">
        <v>5567</v>
      </c>
      <c r="B104" s="137"/>
      <c r="C104" s="137" t="s">
        <v>5283</v>
      </c>
      <c r="D104" s="137"/>
    </row>
    <row r="105" spans="1:4" s="136" customFormat="1" ht="50.25" customHeight="1" x14ac:dyDescent="0.25">
      <c r="A105" s="136" t="s">
        <v>5568</v>
      </c>
      <c r="B105" s="137"/>
      <c r="C105" s="137" t="s">
        <v>5284</v>
      </c>
      <c r="D105" s="137"/>
    </row>
    <row r="106" spans="1:4" s="136" customFormat="1" ht="50.25" customHeight="1" x14ac:dyDescent="0.25">
      <c r="A106" s="136" t="s">
        <v>5569</v>
      </c>
      <c r="B106" s="137"/>
      <c r="C106" s="137" t="s">
        <v>5285</v>
      </c>
      <c r="D106" s="137"/>
    </row>
    <row r="107" spans="1:4" s="136" customFormat="1" ht="50.25" customHeight="1" x14ac:dyDescent="0.25">
      <c r="A107" s="136" t="s">
        <v>5570</v>
      </c>
      <c r="B107" s="137"/>
      <c r="C107" s="137" t="s">
        <v>5286</v>
      </c>
      <c r="D107" s="137"/>
    </row>
    <row r="108" spans="1:4" s="185" customFormat="1" ht="50.25" customHeight="1" x14ac:dyDescent="0.25">
      <c r="A108" s="185" t="s">
        <v>5571</v>
      </c>
      <c r="B108" s="186" t="s">
        <v>5112</v>
      </c>
      <c r="C108" s="186"/>
      <c r="D108" s="186"/>
    </row>
    <row r="109" spans="1:4" s="136" customFormat="1" ht="50.25" customHeight="1" x14ac:dyDescent="0.25">
      <c r="A109" s="136" t="s">
        <v>5572</v>
      </c>
      <c r="B109" s="137" t="s">
        <v>5113</v>
      </c>
      <c r="C109" s="137"/>
      <c r="D109" s="137"/>
    </row>
    <row r="110" spans="1:4" s="136" customFormat="1" ht="50.25" customHeight="1" x14ac:dyDescent="0.25">
      <c r="A110" s="136" t="s">
        <v>5573</v>
      </c>
      <c r="B110" s="137"/>
      <c r="C110" s="137" t="s">
        <v>5287</v>
      </c>
      <c r="D110" s="137"/>
    </row>
    <row r="111" spans="1:4" s="136" customFormat="1" ht="50.25" customHeight="1" x14ac:dyDescent="0.25">
      <c r="A111" s="136" t="s">
        <v>5574</v>
      </c>
      <c r="B111" s="137"/>
      <c r="C111" s="137" t="s">
        <v>5288</v>
      </c>
      <c r="D111" s="137"/>
    </row>
    <row r="112" spans="1:4" s="136" customFormat="1" ht="50.25" customHeight="1" x14ac:dyDescent="0.25">
      <c r="A112" s="136" t="s">
        <v>5575</v>
      </c>
      <c r="B112" s="137"/>
      <c r="C112" s="137" t="s">
        <v>5289</v>
      </c>
      <c r="D112" s="137"/>
    </row>
    <row r="113" spans="1:4" s="136" customFormat="1" ht="50.25" customHeight="1" x14ac:dyDescent="0.25">
      <c r="A113" s="136" t="s">
        <v>5576</v>
      </c>
      <c r="B113" s="137"/>
      <c r="C113" s="137" t="s">
        <v>5290</v>
      </c>
      <c r="D113" s="137"/>
    </row>
    <row r="114" spans="1:4" s="136" customFormat="1" ht="50.25" customHeight="1" x14ac:dyDescent="0.25">
      <c r="A114" s="136" t="s">
        <v>5577</v>
      </c>
      <c r="B114" s="137"/>
      <c r="C114" s="137" t="s">
        <v>5291</v>
      </c>
      <c r="D114" s="137"/>
    </row>
    <row r="115" spans="1:4" s="136" customFormat="1" ht="50.25" customHeight="1" x14ac:dyDescent="0.25">
      <c r="A115" s="136" t="s">
        <v>5578</v>
      </c>
      <c r="B115" s="137"/>
      <c r="C115" s="137" t="s">
        <v>5292</v>
      </c>
      <c r="D115" s="137"/>
    </row>
    <row r="116" spans="1:4" s="136" customFormat="1" ht="50.25" customHeight="1" x14ac:dyDescent="0.25">
      <c r="A116" s="136" t="s">
        <v>5579</v>
      </c>
      <c r="B116" s="137"/>
      <c r="C116" s="137" t="s">
        <v>5293</v>
      </c>
      <c r="D116" s="137"/>
    </row>
    <row r="117" spans="1:4" s="136" customFormat="1" ht="50.25" customHeight="1" x14ac:dyDescent="0.25">
      <c r="A117" s="136" t="s">
        <v>5580</v>
      </c>
      <c r="B117" s="137"/>
      <c r="C117" s="137" t="s">
        <v>5294</v>
      </c>
      <c r="D117" s="137"/>
    </row>
    <row r="118" spans="1:4" s="136" customFormat="1" ht="50.25" customHeight="1" x14ac:dyDescent="0.25">
      <c r="A118" s="136" t="s">
        <v>5581</v>
      </c>
      <c r="B118" s="137" t="s">
        <v>5114</v>
      </c>
      <c r="C118" s="137"/>
      <c r="D118" s="137"/>
    </row>
    <row r="119" spans="1:4" s="136" customFormat="1" ht="50.25" customHeight="1" x14ac:dyDescent="0.25">
      <c r="A119" s="136" t="s">
        <v>5582</v>
      </c>
      <c r="B119" s="137"/>
      <c r="C119" s="137" t="s">
        <v>5295</v>
      </c>
      <c r="D119" s="137" t="s">
        <v>6011</v>
      </c>
    </row>
    <row r="120" spans="1:4" s="136" customFormat="1" ht="50.25" customHeight="1" x14ac:dyDescent="0.25">
      <c r="A120" s="136" t="s">
        <v>5583</v>
      </c>
      <c r="B120" s="137"/>
      <c r="C120" s="137" t="s">
        <v>5296</v>
      </c>
      <c r="D120" s="137" t="s">
        <v>6011</v>
      </c>
    </row>
    <row r="121" spans="1:4" s="136" customFormat="1" ht="50.25" customHeight="1" x14ac:dyDescent="0.25">
      <c r="A121" s="136" t="s">
        <v>5584</v>
      </c>
      <c r="B121" s="137"/>
      <c r="C121" s="137" t="s">
        <v>5297</v>
      </c>
      <c r="D121" s="137" t="s">
        <v>6011</v>
      </c>
    </row>
    <row r="122" spans="1:4" s="185" customFormat="1" ht="50.25" customHeight="1" x14ac:dyDescent="0.25">
      <c r="A122" s="185" t="s">
        <v>5585</v>
      </c>
      <c r="B122" s="186" t="s">
        <v>5115</v>
      </c>
      <c r="C122" s="186"/>
      <c r="D122" s="186"/>
    </row>
    <row r="123" spans="1:4" s="136" customFormat="1" ht="50.25" customHeight="1" x14ac:dyDescent="0.25">
      <c r="A123" s="136" t="s">
        <v>5586</v>
      </c>
      <c r="B123" s="137" t="s">
        <v>5116</v>
      </c>
      <c r="C123" s="137"/>
      <c r="D123" s="137"/>
    </row>
    <row r="124" spans="1:4" s="136" customFormat="1" ht="50.25" customHeight="1" x14ac:dyDescent="0.25">
      <c r="A124" s="136" t="s">
        <v>5587</v>
      </c>
      <c r="B124" s="137"/>
      <c r="C124" s="137" t="s">
        <v>5298</v>
      </c>
      <c r="D124" s="137" t="s">
        <v>6353</v>
      </c>
    </row>
    <row r="125" spans="1:4" s="136" customFormat="1" ht="50.25" customHeight="1" x14ac:dyDescent="0.25">
      <c r="A125" s="136" t="s">
        <v>5588</v>
      </c>
      <c r="B125" s="137"/>
      <c r="C125" s="137" t="s">
        <v>5299</v>
      </c>
      <c r="D125" s="137"/>
    </row>
    <row r="126" spans="1:4" s="136" customFormat="1" ht="50.25" customHeight="1" x14ac:dyDescent="0.25">
      <c r="A126" s="136" t="s">
        <v>5589</v>
      </c>
      <c r="B126" s="137"/>
      <c r="C126" s="137" t="s">
        <v>5300</v>
      </c>
      <c r="D126" s="137"/>
    </row>
    <row r="127" spans="1:4" s="136" customFormat="1" ht="50.25" customHeight="1" x14ac:dyDescent="0.25">
      <c r="A127" s="136" t="s">
        <v>5590</v>
      </c>
      <c r="B127" s="137"/>
      <c r="C127" s="137" t="s">
        <v>5301</v>
      </c>
      <c r="D127" s="137"/>
    </row>
    <row r="128" spans="1:4" s="136" customFormat="1" ht="50.25" customHeight="1" x14ac:dyDescent="0.25">
      <c r="A128" s="136" t="s">
        <v>5591</v>
      </c>
      <c r="B128" s="137"/>
      <c r="C128" s="137" t="s">
        <v>5302</v>
      </c>
      <c r="D128" s="137"/>
    </row>
    <row r="129" spans="1:4" s="136" customFormat="1" ht="50.25" customHeight="1" x14ac:dyDescent="0.25">
      <c r="A129" s="136" t="s">
        <v>5592</v>
      </c>
      <c r="B129" s="137"/>
      <c r="C129" s="137" t="s">
        <v>5303</v>
      </c>
      <c r="D129" s="137"/>
    </row>
    <row r="130" spans="1:4" s="136" customFormat="1" ht="50.25" customHeight="1" x14ac:dyDescent="0.25">
      <c r="A130" s="136" t="s">
        <v>5593</v>
      </c>
      <c r="B130" s="137" t="s">
        <v>5117</v>
      </c>
      <c r="C130" s="137"/>
      <c r="D130" s="137"/>
    </row>
    <row r="131" spans="1:4" s="136" customFormat="1" ht="50.25" customHeight="1" x14ac:dyDescent="0.25">
      <c r="A131" s="136" t="s">
        <v>5594</v>
      </c>
      <c r="B131" s="137"/>
      <c r="C131" s="137" t="s">
        <v>5304</v>
      </c>
      <c r="D131" s="137"/>
    </row>
    <row r="132" spans="1:4" s="136" customFormat="1" ht="50.25" customHeight="1" x14ac:dyDescent="0.25">
      <c r="A132" s="136" t="s">
        <v>5595</v>
      </c>
      <c r="B132" s="137"/>
      <c r="C132" s="137" t="s">
        <v>5305</v>
      </c>
      <c r="D132" s="137"/>
    </row>
    <row r="133" spans="1:4" s="136" customFormat="1" ht="50.25" customHeight="1" x14ac:dyDescent="0.25">
      <c r="A133" s="136" t="s">
        <v>5596</v>
      </c>
      <c r="B133" s="137"/>
      <c r="C133" s="137" t="s">
        <v>5306</v>
      </c>
      <c r="D133" s="137"/>
    </row>
    <row r="134" spans="1:4" s="136" customFormat="1" ht="50.25" customHeight="1" x14ac:dyDescent="0.25">
      <c r="A134" s="136" t="s">
        <v>5597</v>
      </c>
      <c r="B134" s="137"/>
      <c r="C134" s="137" t="s">
        <v>5307</v>
      </c>
      <c r="D134" s="137"/>
    </row>
    <row r="135" spans="1:4" s="136" customFormat="1" ht="50.25" customHeight="1" x14ac:dyDescent="0.25">
      <c r="A135" s="136" t="s">
        <v>5598</v>
      </c>
      <c r="B135" s="137" t="s">
        <v>5118</v>
      </c>
      <c r="C135" s="137"/>
      <c r="D135" s="137"/>
    </row>
    <row r="136" spans="1:4" s="136" customFormat="1" ht="50.25" customHeight="1" x14ac:dyDescent="0.25">
      <c r="A136" s="136" t="s">
        <v>5599</v>
      </c>
      <c r="B136" s="137"/>
      <c r="C136" s="137" t="s">
        <v>5308</v>
      </c>
      <c r="D136" s="137"/>
    </row>
    <row r="137" spans="1:4" s="136" customFormat="1" ht="50.25" customHeight="1" x14ac:dyDescent="0.25">
      <c r="A137" s="136" t="s">
        <v>5600</v>
      </c>
      <c r="B137" s="137"/>
      <c r="C137" s="137" t="s">
        <v>5309</v>
      </c>
      <c r="D137" s="137"/>
    </row>
    <row r="138" spans="1:4" s="136" customFormat="1" ht="50.25" customHeight="1" x14ac:dyDescent="0.25">
      <c r="A138" s="136" t="s">
        <v>5601</v>
      </c>
      <c r="B138" s="137"/>
      <c r="C138" s="137" t="s">
        <v>5310</v>
      </c>
      <c r="D138" s="137"/>
    </row>
    <row r="139" spans="1:4" s="136" customFormat="1" ht="50.25" customHeight="1" x14ac:dyDescent="0.25">
      <c r="A139" s="136" t="s">
        <v>5602</v>
      </c>
      <c r="B139" s="137"/>
      <c r="C139" s="137" t="s">
        <v>5311</v>
      </c>
      <c r="D139" s="137"/>
    </row>
    <row r="140" spans="1:4" s="136" customFormat="1" ht="50.25" customHeight="1" x14ac:dyDescent="0.25">
      <c r="A140" s="136" t="s">
        <v>5603</v>
      </c>
      <c r="B140" s="137"/>
      <c r="C140" s="137" t="s">
        <v>5312</v>
      </c>
      <c r="D140" s="137"/>
    </row>
    <row r="141" spans="1:4" s="136" customFormat="1" ht="50.25" customHeight="1" x14ac:dyDescent="0.25">
      <c r="A141" s="136" t="s">
        <v>5604</v>
      </c>
      <c r="B141" s="137"/>
      <c r="C141" s="137" t="s">
        <v>5313</v>
      </c>
      <c r="D141" s="137" t="s">
        <v>6354</v>
      </c>
    </row>
    <row r="142" spans="1:4" s="185" customFormat="1" ht="50.25" customHeight="1" x14ac:dyDescent="0.25">
      <c r="A142" s="185" t="s">
        <v>5605</v>
      </c>
      <c r="B142" s="186" t="s">
        <v>5119</v>
      </c>
      <c r="C142" s="186"/>
      <c r="D142" s="186"/>
    </row>
    <row r="143" spans="1:4" s="136" customFormat="1" ht="50.25" customHeight="1" x14ac:dyDescent="0.25">
      <c r="A143" s="136" t="s">
        <v>5606</v>
      </c>
      <c r="B143" s="137" t="s">
        <v>5120</v>
      </c>
      <c r="C143" s="137"/>
      <c r="D143" s="137"/>
    </row>
    <row r="144" spans="1:4" s="136" customFormat="1" ht="50.25" customHeight="1" x14ac:dyDescent="0.25">
      <c r="A144" s="136" t="s">
        <v>5607</v>
      </c>
      <c r="B144" s="137"/>
      <c r="C144" s="137" t="s">
        <v>5314</v>
      </c>
      <c r="D144" s="137" t="s">
        <v>6355</v>
      </c>
    </row>
    <row r="145" spans="1:4" s="136" customFormat="1" ht="50.25" customHeight="1" x14ac:dyDescent="0.25">
      <c r="A145" s="136" t="s">
        <v>5608</v>
      </c>
      <c r="B145" s="137"/>
      <c r="C145" s="137" t="s">
        <v>5315</v>
      </c>
      <c r="D145" s="137" t="s">
        <v>6356</v>
      </c>
    </row>
    <row r="146" spans="1:4" s="136" customFormat="1" ht="50.25" customHeight="1" x14ac:dyDescent="0.25">
      <c r="A146" s="136" t="s">
        <v>5609</v>
      </c>
      <c r="B146" s="137"/>
      <c r="C146" s="137" t="s">
        <v>5316</v>
      </c>
      <c r="D146" s="137" t="s">
        <v>6046</v>
      </c>
    </row>
    <row r="147" spans="1:4" s="136" customFormat="1" ht="50.25" customHeight="1" x14ac:dyDescent="0.25">
      <c r="A147" s="136" t="s">
        <v>5610</v>
      </c>
      <c r="B147" s="137"/>
      <c r="C147" s="137" t="s">
        <v>5317</v>
      </c>
      <c r="D147" s="137" t="s">
        <v>6041</v>
      </c>
    </row>
    <row r="148" spans="1:4" s="136" customFormat="1" ht="50.25" customHeight="1" x14ac:dyDescent="0.25">
      <c r="A148" s="136" t="s">
        <v>5611</v>
      </c>
      <c r="B148" s="137"/>
      <c r="C148" s="137" t="s">
        <v>5318</v>
      </c>
      <c r="D148" s="137" t="s">
        <v>6041</v>
      </c>
    </row>
    <row r="149" spans="1:4" s="136" customFormat="1" ht="50.25" customHeight="1" x14ac:dyDescent="0.25">
      <c r="A149" s="136" t="s">
        <v>5612</v>
      </c>
      <c r="B149" s="137"/>
      <c r="C149" s="137" t="s">
        <v>5319</v>
      </c>
      <c r="D149" s="137"/>
    </row>
    <row r="150" spans="1:4" s="136" customFormat="1" ht="50.25" customHeight="1" x14ac:dyDescent="0.25">
      <c r="A150" s="136" t="s">
        <v>5613</v>
      </c>
      <c r="B150" s="137"/>
      <c r="C150" s="137" t="s">
        <v>5320</v>
      </c>
      <c r="D150" s="137"/>
    </row>
    <row r="151" spans="1:4" s="136" customFormat="1" ht="50.25" customHeight="1" x14ac:dyDescent="0.25">
      <c r="A151" s="136" t="s">
        <v>5614</v>
      </c>
      <c r="B151" s="137"/>
      <c r="C151" s="137" t="s">
        <v>5321</v>
      </c>
      <c r="D151" s="137" t="s">
        <v>6052</v>
      </c>
    </row>
    <row r="152" spans="1:4" s="136" customFormat="1" ht="50.25" customHeight="1" x14ac:dyDescent="0.25">
      <c r="A152" s="136" t="s">
        <v>5615</v>
      </c>
      <c r="B152" s="137"/>
      <c r="C152" s="137" t="s">
        <v>5322</v>
      </c>
      <c r="D152" s="137"/>
    </row>
    <row r="153" spans="1:4" s="136" customFormat="1" ht="50.25" customHeight="1" x14ac:dyDescent="0.25">
      <c r="A153" s="136" t="s">
        <v>5616</v>
      </c>
      <c r="B153" s="137"/>
      <c r="C153" s="137" t="s">
        <v>5323</v>
      </c>
      <c r="D153" s="137"/>
    </row>
    <row r="154" spans="1:4" s="136" customFormat="1" ht="50.25" customHeight="1" x14ac:dyDescent="0.25">
      <c r="A154" s="136" t="s">
        <v>5617</v>
      </c>
      <c r="B154" s="137" t="s">
        <v>5121</v>
      </c>
      <c r="C154" s="137"/>
      <c r="D154" s="137"/>
    </row>
    <row r="155" spans="1:4" s="136" customFormat="1" ht="50.25" customHeight="1" x14ac:dyDescent="0.25">
      <c r="A155" s="136" t="s">
        <v>5633</v>
      </c>
      <c r="B155" s="137"/>
      <c r="C155" s="137" t="s">
        <v>5324</v>
      </c>
      <c r="D155" s="137" t="s">
        <v>6052</v>
      </c>
    </row>
    <row r="156" spans="1:4" s="136" customFormat="1" ht="50.25" customHeight="1" x14ac:dyDescent="0.25">
      <c r="A156" s="136" t="s">
        <v>5634</v>
      </c>
      <c r="B156" s="137"/>
      <c r="C156" s="137" t="s">
        <v>5325</v>
      </c>
      <c r="D156" s="137" t="s">
        <v>6357</v>
      </c>
    </row>
    <row r="157" spans="1:4" s="136" customFormat="1" ht="50.25" customHeight="1" x14ac:dyDescent="0.25">
      <c r="A157" s="136" t="s">
        <v>5635</v>
      </c>
      <c r="B157" s="137"/>
      <c r="C157" s="137" t="s">
        <v>5326</v>
      </c>
      <c r="D157" s="137" t="s">
        <v>6357</v>
      </c>
    </row>
    <row r="158" spans="1:4" s="136" customFormat="1" ht="50.25" customHeight="1" x14ac:dyDescent="0.25">
      <c r="A158" s="136" t="s">
        <v>5618</v>
      </c>
      <c r="B158" s="137" t="s">
        <v>5122</v>
      </c>
      <c r="C158" s="137"/>
      <c r="D158" s="137"/>
    </row>
    <row r="159" spans="1:4" s="136" customFormat="1" ht="50.25" customHeight="1" x14ac:dyDescent="0.25">
      <c r="A159" s="136" t="s">
        <v>5636</v>
      </c>
      <c r="B159" s="137"/>
      <c r="C159" s="137" t="s">
        <v>5327</v>
      </c>
      <c r="D159" s="137" t="s">
        <v>6061</v>
      </c>
    </row>
    <row r="160" spans="1:4" s="136" customFormat="1" ht="50.25" customHeight="1" x14ac:dyDescent="0.25">
      <c r="A160" s="136" t="s">
        <v>5637</v>
      </c>
      <c r="B160" s="137"/>
      <c r="C160" s="137" t="s">
        <v>5328</v>
      </c>
      <c r="D160" s="137" t="s">
        <v>6061</v>
      </c>
    </row>
    <row r="161" spans="1:4" s="136" customFormat="1" ht="50.25" customHeight="1" x14ac:dyDescent="0.25">
      <c r="A161" s="136" t="s">
        <v>5638</v>
      </c>
      <c r="B161" s="137"/>
      <c r="C161" s="137" t="s">
        <v>5329</v>
      </c>
      <c r="D161" s="137" t="s">
        <v>6358</v>
      </c>
    </row>
    <row r="162" spans="1:4" s="136" customFormat="1" ht="50.25" customHeight="1" x14ac:dyDescent="0.25">
      <c r="A162" s="136" t="s">
        <v>5619</v>
      </c>
      <c r="B162" s="137" t="s">
        <v>5123</v>
      </c>
      <c r="C162" s="137"/>
      <c r="D162" s="137"/>
    </row>
    <row r="163" spans="1:4" s="136" customFormat="1" ht="50.25" customHeight="1" x14ac:dyDescent="0.25">
      <c r="A163" s="136" t="s">
        <v>5639</v>
      </c>
      <c r="B163" s="137"/>
      <c r="C163" s="137" t="s">
        <v>5330</v>
      </c>
      <c r="D163" s="137" t="s">
        <v>6066</v>
      </c>
    </row>
    <row r="164" spans="1:4" s="136" customFormat="1" ht="50.25" customHeight="1" x14ac:dyDescent="0.25">
      <c r="A164" s="136" t="s">
        <v>5640</v>
      </c>
      <c r="B164" s="137"/>
      <c r="C164" s="137" t="s">
        <v>5331</v>
      </c>
      <c r="D164" s="137" t="s">
        <v>6066</v>
      </c>
    </row>
    <row r="165" spans="1:4" s="136" customFormat="1" ht="50.25" customHeight="1" x14ac:dyDescent="0.25">
      <c r="A165" s="136" t="s">
        <v>5641</v>
      </c>
      <c r="B165" s="137"/>
      <c r="C165" s="137" t="s">
        <v>5332</v>
      </c>
      <c r="D165" s="137" t="s">
        <v>6066</v>
      </c>
    </row>
    <row r="166" spans="1:4" s="136" customFormat="1" ht="50.25" customHeight="1" x14ac:dyDescent="0.25">
      <c r="A166" s="136" t="s">
        <v>5620</v>
      </c>
      <c r="B166" s="137" t="s">
        <v>5124</v>
      </c>
      <c r="C166" s="137"/>
      <c r="D166" s="137"/>
    </row>
    <row r="167" spans="1:4" s="136" customFormat="1" ht="50.25" customHeight="1" x14ac:dyDescent="0.25">
      <c r="A167" s="136" t="s">
        <v>5642</v>
      </c>
      <c r="B167" s="137"/>
      <c r="C167" s="137" t="s">
        <v>5333</v>
      </c>
      <c r="D167" s="137" t="s">
        <v>6039</v>
      </c>
    </row>
    <row r="168" spans="1:4" s="136" customFormat="1" ht="50.25" customHeight="1" x14ac:dyDescent="0.25">
      <c r="A168" s="136" t="s">
        <v>5643</v>
      </c>
      <c r="B168" s="137"/>
      <c r="C168" s="137" t="s">
        <v>5334</v>
      </c>
      <c r="D168" s="137" t="s">
        <v>6039</v>
      </c>
    </row>
    <row r="169" spans="1:4" s="136" customFormat="1" ht="50.25" customHeight="1" x14ac:dyDescent="0.25">
      <c r="A169" s="136" t="s">
        <v>5621</v>
      </c>
      <c r="B169" s="137" t="s">
        <v>5125</v>
      </c>
      <c r="C169" s="137"/>
      <c r="D169" s="137"/>
    </row>
    <row r="170" spans="1:4" s="136" customFormat="1" ht="50.25" customHeight="1" x14ac:dyDescent="0.25">
      <c r="A170" s="136" t="s">
        <v>5644</v>
      </c>
      <c r="B170" s="137"/>
      <c r="C170" s="137" t="s">
        <v>5335</v>
      </c>
      <c r="D170" s="137" t="s">
        <v>6075</v>
      </c>
    </row>
    <row r="171" spans="1:4" s="136" customFormat="1" ht="50.25" customHeight="1" x14ac:dyDescent="0.25">
      <c r="A171" s="136" t="s">
        <v>5645</v>
      </c>
      <c r="B171" s="137"/>
      <c r="C171" s="137" t="s">
        <v>5336</v>
      </c>
      <c r="D171" s="137" t="s">
        <v>6075</v>
      </c>
    </row>
    <row r="172" spans="1:4" s="136" customFormat="1" ht="50.25" customHeight="1" x14ac:dyDescent="0.25">
      <c r="A172" s="136" t="s">
        <v>5646</v>
      </c>
      <c r="B172" s="137"/>
      <c r="C172" s="137" t="s">
        <v>5337</v>
      </c>
      <c r="D172" s="137" t="s">
        <v>6075</v>
      </c>
    </row>
    <row r="173" spans="1:4" s="136" customFormat="1" ht="50.25" customHeight="1" x14ac:dyDescent="0.25">
      <c r="A173" s="136" t="s">
        <v>5647</v>
      </c>
      <c r="B173" s="137"/>
      <c r="C173" s="137" t="s">
        <v>5338</v>
      </c>
      <c r="D173" s="137" t="s">
        <v>6079</v>
      </c>
    </row>
    <row r="174" spans="1:4" s="136" customFormat="1" ht="50.25" customHeight="1" x14ac:dyDescent="0.25">
      <c r="A174" s="136" t="s">
        <v>5622</v>
      </c>
      <c r="B174" s="137" t="s">
        <v>5126</v>
      </c>
      <c r="C174" s="137"/>
      <c r="D174" s="137"/>
    </row>
    <row r="175" spans="1:4" s="136" customFormat="1" ht="50.25" customHeight="1" x14ac:dyDescent="0.25">
      <c r="A175" s="136" t="s">
        <v>5648</v>
      </c>
      <c r="B175" s="137"/>
      <c r="C175" s="137" t="s">
        <v>5339</v>
      </c>
      <c r="D175" s="137"/>
    </row>
    <row r="176" spans="1:4" s="136" customFormat="1" ht="50.25" customHeight="1" x14ac:dyDescent="0.25">
      <c r="A176" s="136" t="s">
        <v>5649</v>
      </c>
      <c r="B176" s="137"/>
      <c r="C176" s="137" t="s">
        <v>5340</v>
      </c>
      <c r="D176" s="137" t="s">
        <v>6083</v>
      </c>
    </row>
    <row r="177" spans="1:4" s="136" customFormat="1" ht="50.25" customHeight="1" x14ac:dyDescent="0.25">
      <c r="A177" s="136" t="s">
        <v>5650</v>
      </c>
      <c r="B177" s="137"/>
      <c r="C177" s="137" t="s">
        <v>5341</v>
      </c>
      <c r="D177" s="137" t="s">
        <v>6085</v>
      </c>
    </row>
    <row r="178" spans="1:4" s="136" customFormat="1" ht="50.25" customHeight="1" x14ac:dyDescent="0.25">
      <c r="A178" s="136" t="s">
        <v>5651</v>
      </c>
      <c r="B178" s="137"/>
      <c r="C178" s="137" t="s">
        <v>5342</v>
      </c>
      <c r="D178" s="137"/>
    </row>
    <row r="179" spans="1:4" s="136" customFormat="1" ht="50.25" customHeight="1" x14ac:dyDescent="0.25">
      <c r="A179" s="136" t="s">
        <v>5623</v>
      </c>
      <c r="B179" s="137" t="s">
        <v>5127</v>
      </c>
      <c r="C179" s="137"/>
      <c r="D179" s="137"/>
    </row>
    <row r="180" spans="1:4" s="136" customFormat="1" ht="50.25" customHeight="1" x14ac:dyDescent="0.25">
      <c r="A180" s="136" t="s">
        <v>5652</v>
      </c>
      <c r="B180" s="137"/>
      <c r="C180" s="137" t="s">
        <v>5343</v>
      </c>
      <c r="D180" s="137"/>
    </row>
    <row r="181" spans="1:4" s="136" customFormat="1" ht="50.25" customHeight="1" x14ac:dyDescent="0.25">
      <c r="A181" s="136" t="s">
        <v>5653</v>
      </c>
      <c r="B181" s="137"/>
      <c r="C181" s="137" t="s">
        <v>5344</v>
      </c>
      <c r="D181" s="137"/>
    </row>
    <row r="182" spans="1:4" s="136" customFormat="1" ht="50.25" customHeight="1" x14ac:dyDescent="0.25">
      <c r="A182" s="136" t="s">
        <v>5654</v>
      </c>
      <c r="B182" s="137"/>
      <c r="C182" s="137" t="s">
        <v>5345</v>
      </c>
      <c r="D182" s="137"/>
    </row>
    <row r="183" spans="1:4" s="136" customFormat="1" ht="50.25" customHeight="1" x14ac:dyDescent="0.25">
      <c r="A183" s="136" t="s">
        <v>5655</v>
      </c>
      <c r="B183" s="137"/>
      <c r="C183" s="137" t="s">
        <v>5346</v>
      </c>
      <c r="D183" s="137" t="s">
        <v>6092</v>
      </c>
    </row>
    <row r="184" spans="1:4" s="136" customFormat="1" ht="50.25" customHeight="1" x14ac:dyDescent="0.25">
      <c r="A184" s="136" t="s">
        <v>5656</v>
      </c>
      <c r="B184" s="137"/>
      <c r="C184" s="137" t="s">
        <v>5347</v>
      </c>
      <c r="D184" s="137" t="s">
        <v>6094</v>
      </c>
    </row>
    <row r="185" spans="1:4" s="185" customFormat="1" ht="50.25" customHeight="1" x14ac:dyDescent="0.25">
      <c r="A185" s="185" t="s">
        <v>5657</v>
      </c>
      <c r="B185" s="186" t="s">
        <v>5128</v>
      </c>
      <c r="C185" s="186"/>
      <c r="D185" s="186"/>
    </row>
    <row r="186" spans="1:4" s="136" customFormat="1" ht="50.25" customHeight="1" x14ac:dyDescent="0.25">
      <c r="A186" s="136" t="s">
        <v>5624</v>
      </c>
      <c r="B186" s="137" t="s">
        <v>5129</v>
      </c>
      <c r="C186" s="137"/>
      <c r="D186" s="137"/>
    </row>
    <row r="187" spans="1:4" s="136" customFormat="1" ht="50.25" customHeight="1" x14ac:dyDescent="0.25">
      <c r="A187" s="136" t="s">
        <v>5658</v>
      </c>
      <c r="B187" s="137"/>
      <c r="C187" s="137" t="s">
        <v>5348</v>
      </c>
      <c r="D187" s="137" t="s">
        <v>6097</v>
      </c>
    </row>
    <row r="188" spans="1:4" s="136" customFormat="1" ht="50.25" customHeight="1" x14ac:dyDescent="0.25">
      <c r="A188" s="136" t="s">
        <v>5659</v>
      </c>
      <c r="B188" s="137"/>
      <c r="C188" s="137" t="s">
        <v>5349</v>
      </c>
      <c r="D188" s="137" t="s">
        <v>6097</v>
      </c>
    </row>
    <row r="189" spans="1:4" s="136" customFormat="1" ht="50.25" customHeight="1" x14ac:dyDescent="0.25">
      <c r="A189" s="136" t="s">
        <v>5660</v>
      </c>
      <c r="B189" s="137"/>
      <c r="C189" s="137" t="s">
        <v>5350</v>
      </c>
      <c r="D189" s="137" t="s">
        <v>6359</v>
      </c>
    </row>
    <row r="190" spans="1:4" s="136" customFormat="1" ht="50.25" customHeight="1" x14ac:dyDescent="0.25">
      <c r="A190" s="136" t="s">
        <v>5661</v>
      </c>
      <c r="B190" s="137"/>
      <c r="C190" s="137" t="s">
        <v>5351</v>
      </c>
      <c r="D190" s="137" t="s">
        <v>6101</v>
      </c>
    </row>
    <row r="191" spans="1:4" s="136" customFormat="1" ht="50.25" customHeight="1" x14ac:dyDescent="0.25">
      <c r="A191" s="136" t="s">
        <v>5662</v>
      </c>
      <c r="B191" s="137"/>
      <c r="C191" s="137" t="s">
        <v>5352</v>
      </c>
      <c r="D191" s="137" t="s">
        <v>6360</v>
      </c>
    </row>
    <row r="192" spans="1:4" s="136" customFormat="1" ht="50.25" customHeight="1" x14ac:dyDescent="0.25">
      <c r="A192" s="136" t="s">
        <v>5625</v>
      </c>
      <c r="B192" s="137" t="s">
        <v>5130</v>
      </c>
      <c r="C192" s="137"/>
      <c r="D192" s="137"/>
    </row>
    <row r="193" spans="1:4" s="136" customFormat="1" ht="50.25" customHeight="1" x14ac:dyDescent="0.25">
      <c r="A193" s="136" t="s">
        <v>5663</v>
      </c>
      <c r="B193" s="137"/>
      <c r="C193" s="137" t="s">
        <v>5353</v>
      </c>
      <c r="D193" s="137" t="s">
        <v>6361</v>
      </c>
    </row>
    <row r="194" spans="1:4" s="136" customFormat="1" ht="50.25" customHeight="1" x14ac:dyDescent="0.25">
      <c r="A194" s="136" t="s">
        <v>5664</v>
      </c>
      <c r="B194" s="137"/>
      <c r="C194" s="137" t="s">
        <v>5354</v>
      </c>
      <c r="D194" s="137" t="s">
        <v>6362</v>
      </c>
    </row>
    <row r="195" spans="1:4" s="136" customFormat="1" ht="50.25" customHeight="1" x14ac:dyDescent="0.25">
      <c r="A195" s="136" t="s">
        <v>5665</v>
      </c>
      <c r="B195" s="137"/>
      <c r="C195" s="137" t="s">
        <v>5355</v>
      </c>
      <c r="D195" s="137" t="s">
        <v>6363</v>
      </c>
    </row>
    <row r="196" spans="1:4" s="136" customFormat="1" ht="50.25" customHeight="1" x14ac:dyDescent="0.25">
      <c r="A196" s="136" t="s">
        <v>5666</v>
      </c>
      <c r="B196" s="137"/>
      <c r="C196" s="137" t="s">
        <v>5356</v>
      </c>
      <c r="D196" s="137" t="s">
        <v>6364</v>
      </c>
    </row>
    <row r="197" spans="1:4" s="136" customFormat="1" ht="50.25" customHeight="1" x14ac:dyDescent="0.25">
      <c r="A197" s="136" t="s">
        <v>5626</v>
      </c>
      <c r="B197" s="137" t="s">
        <v>5131</v>
      </c>
      <c r="C197" s="137"/>
      <c r="D197" s="137"/>
    </row>
    <row r="198" spans="1:4" s="136" customFormat="1" ht="50.25" customHeight="1" x14ac:dyDescent="0.25">
      <c r="A198" s="136" t="s">
        <v>5667</v>
      </c>
      <c r="B198" s="137"/>
      <c r="C198" s="137" t="s">
        <v>5357</v>
      </c>
      <c r="D198" s="137" t="s">
        <v>6365</v>
      </c>
    </row>
    <row r="199" spans="1:4" s="136" customFormat="1" ht="50.25" customHeight="1" x14ac:dyDescent="0.25">
      <c r="A199" s="136" t="s">
        <v>5668</v>
      </c>
      <c r="B199" s="137"/>
      <c r="C199" s="137" t="s">
        <v>5358</v>
      </c>
      <c r="D199" s="137" t="s">
        <v>6366</v>
      </c>
    </row>
    <row r="200" spans="1:4" s="136" customFormat="1" ht="50.25" customHeight="1" x14ac:dyDescent="0.25">
      <c r="A200" s="136" t="s">
        <v>5669</v>
      </c>
      <c r="B200" s="137"/>
      <c r="C200" s="137" t="s">
        <v>5359</v>
      </c>
      <c r="D200" s="137" t="s">
        <v>6367</v>
      </c>
    </row>
    <row r="201" spans="1:4" s="136" customFormat="1" ht="50.25" customHeight="1" x14ac:dyDescent="0.25">
      <c r="A201" s="136" t="s">
        <v>5670</v>
      </c>
      <c r="B201" s="137"/>
      <c r="C201" s="137" t="s">
        <v>5360</v>
      </c>
      <c r="D201" s="137"/>
    </row>
    <row r="202" spans="1:4" s="136" customFormat="1" ht="50.25" customHeight="1" x14ac:dyDescent="0.25">
      <c r="A202" s="136" t="s">
        <v>5671</v>
      </c>
      <c r="B202" s="137"/>
      <c r="C202" s="137" t="s">
        <v>5361</v>
      </c>
      <c r="D202" s="137"/>
    </row>
    <row r="203" spans="1:4" s="136" customFormat="1" ht="50.25" customHeight="1" x14ac:dyDescent="0.25">
      <c r="A203" s="136" t="s">
        <v>5627</v>
      </c>
      <c r="B203" s="137" t="s">
        <v>5132</v>
      </c>
      <c r="C203" s="137"/>
      <c r="D203" s="137"/>
    </row>
    <row r="204" spans="1:4" s="136" customFormat="1" ht="50.25" customHeight="1" x14ac:dyDescent="0.25">
      <c r="A204" s="136" t="s">
        <v>5672</v>
      </c>
      <c r="B204" s="137"/>
      <c r="C204" s="137" t="s">
        <v>5362</v>
      </c>
      <c r="D204" s="137" t="s">
        <v>6140</v>
      </c>
    </row>
    <row r="205" spans="1:4" s="136" customFormat="1" ht="50.25" customHeight="1" x14ac:dyDescent="0.25">
      <c r="A205" s="136" t="s">
        <v>5673</v>
      </c>
      <c r="B205" s="137"/>
      <c r="C205" s="137" t="s">
        <v>5363</v>
      </c>
      <c r="D205" s="137" t="s">
        <v>6142</v>
      </c>
    </row>
    <row r="206" spans="1:4" s="136" customFormat="1" ht="50.25" customHeight="1" x14ac:dyDescent="0.25">
      <c r="A206" s="136" t="s">
        <v>5674</v>
      </c>
      <c r="B206" s="137"/>
      <c r="C206" s="137" t="s">
        <v>5364</v>
      </c>
      <c r="D206" s="137" t="s">
        <v>6145</v>
      </c>
    </row>
    <row r="207" spans="1:4" s="136" customFormat="1" ht="50.25" customHeight="1" x14ac:dyDescent="0.25">
      <c r="A207" s="136" t="s">
        <v>5675</v>
      </c>
      <c r="B207" s="137"/>
      <c r="C207" s="137" t="s">
        <v>5365</v>
      </c>
      <c r="D207" s="137" t="s">
        <v>6035</v>
      </c>
    </row>
    <row r="208" spans="1:4" s="136" customFormat="1" ht="50.25" customHeight="1" x14ac:dyDescent="0.25">
      <c r="A208" s="136" t="s">
        <v>5676</v>
      </c>
      <c r="B208" s="137"/>
      <c r="C208" s="137" t="s">
        <v>5133</v>
      </c>
      <c r="D208" s="137" t="s">
        <v>6142</v>
      </c>
    </row>
    <row r="209" spans="1:4" s="136" customFormat="1" ht="50.25" customHeight="1" x14ac:dyDescent="0.25">
      <c r="A209" s="136" t="s">
        <v>5677</v>
      </c>
      <c r="B209" s="137"/>
      <c r="C209" s="137" t="s">
        <v>5366</v>
      </c>
      <c r="D209" s="137" t="s">
        <v>6368</v>
      </c>
    </row>
    <row r="210" spans="1:4" s="136" customFormat="1" ht="50.25" customHeight="1" x14ac:dyDescent="0.25">
      <c r="A210" s="136" t="s">
        <v>5678</v>
      </c>
      <c r="B210" s="137"/>
      <c r="C210" s="137" t="s">
        <v>5367</v>
      </c>
      <c r="D210" s="137"/>
    </row>
    <row r="211" spans="1:4" s="136" customFormat="1" ht="50.25" customHeight="1" x14ac:dyDescent="0.25">
      <c r="A211" s="136" t="s">
        <v>5679</v>
      </c>
      <c r="B211" s="137"/>
      <c r="C211" s="137" t="s">
        <v>5368</v>
      </c>
      <c r="D211" s="137" t="s">
        <v>6152</v>
      </c>
    </row>
    <row r="212" spans="1:4" s="136" customFormat="1" ht="50.25" customHeight="1" x14ac:dyDescent="0.25">
      <c r="A212" s="136" t="s">
        <v>5680</v>
      </c>
      <c r="B212" s="137"/>
      <c r="C212" s="137" t="s">
        <v>5369</v>
      </c>
      <c r="D212" s="137" t="s">
        <v>6154</v>
      </c>
    </row>
    <row r="213" spans="1:4" s="136" customFormat="1" ht="50.25" customHeight="1" x14ac:dyDescent="0.25">
      <c r="A213" s="136" t="s">
        <v>5681</v>
      </c>
      <c r="B213" s="137"/>
      <c r="C213" s="137" t="s">
        <v>5370</v>
      </c>
      <c r="D213" s="137" t="s">
        <v>6156</v>
      </c>
    </row>
    <row r="214" spans="1:4" s="136" customFormat="1" ht="50.25" customHeight="1" x14ac:dyDescent="0.25">
      <c r="A214" s="136" t="s">
        <v>5682</v>
      </c>
      <c r="B214" s="137"/>
      <c r="C214" s="137" t="s">
        <v>5371</v>
      </c>
      <c r="D214" s="137"/>
    </row>
    <row r="215" spans="1:4" s="136" customFormat="1" ht="50.25" customHeight="1" x14ac:dyDescent="0.25">
      <c r="A215" s="136" t="s">
        <v>5683</v>
      </c>
      <c r="B215" s="137"/>
      <c r="C215" s="137" t="s">
        <v>5372</v>
      </c>
      <c r="D215" s="137"/>
    </row>
    <row r="216" spans="1:4" s="136" customFormat="1" ht="50.25" customHeight="1" x14ac:dyDescent="0.25">
      <c r="A216" s="136" t="s">
        <v>5684</v>
      </c>
      <c r="B216" s="137"/>
      <c r="C216" s="137" t="s">
        <v>5373</v>
      </c>
      <c r="D216" s="137"/>
    </row>
    <row r="217" spans="1:4" s="136" customFormat="1" ht="50.25" customHeight="1" x14ac:dyDescent="0.25">
      <c r="A217" s="136" t="s">
        <v>5628</v>
      </c>
      <c r="B217" s="137" t="s">
        <v>5134</v>
      </c>
      <c r="C217" s="137"/>
      <c r="D217" s="137"/>
    </row>
    <row r="218" spans="1:4" s="136" customFormat="1" ht="50.25" customHeight="1" x14ac:dyDescent="0.25">
      <c r="A218" s="136" t="s">
        <v>5685</v>
      </c>
      <c r="B218" s="137"/>
      <c r="C218" s="137" t="s">
        <v>5374</v>
      </c>
      <c r="D218" s="137" t="s">
        <v>6162</v>
      </c>
    </row>
    <row r="219" spans="1:4" s="136" customFormat="1" ht="50.25" customHeight="1" x14ac:dyDescent="0.25">
      <c r="A219" s="136" t="s">
        <v>5686</v>
      </c>
      <c r="B219" s="137"/>
      <c r="C219" s="137" t="s">
        <v>5375</v>
      </c>
      <c r="D219" s="137"/>
    </row>
    <row r="220" spans="1:4" s="136" customFormat="1" ht="50.25" customHeight="1" x14ac:dyDescent="0.25">
      <c r="A220" s="136" t="s">
        <v>5687</v>
      </c>
      <c r="B220" s="137"/>
      <c r="C220" s="137" t="s">
        <v>5376</v>
      </c>
      <c r="D220" s="137" t="s">
        <v>6165</v>
      </c>
    </row>
    <row r="221" spans="1:4" s="136" customFormat="1" ht="50.25" customHeight="1" x14ac:dyDescent="0.25">
      <c r="A221" s="136" t="s">
        <v>5688</v>
      </c>
      <c r="B221" s="137"/>
      <c r="C221" s="137" t="s">
        <v>5377</v>
      </c>
      <c r="D221" s="137"/>
    </row>
    <row r="222" spans="1:4" s="136" customFormat="1" ht="50.25" customHeight="1" x14ac:dyDescent="0.25">
      <c r="A222" s="136" t="s">
        <v>5689</v>
      </c>
      <c r="B222" s="137"/>
      <c r="C222" s="137" t="s">
        <v>5378</v>
      </c>
      <c r="D222" s="137" t="s">
        <v>6168</v>
      </c>
    </row>
    <row r="223" spans="1:4" s="136" customFormat="1" ht="50.25" customHeight="1" x14ac:dyDescent="0.25">
      <c r="A223" s="136" t="s">
        <v>5690</v>
      </c>
      <c r="B223" s="137"/>
      <c r="C223" s="137" t="s">
        <v>5379</v>
      </c>
      <c r="D223" s="137" t="s">
        <v>6369</v>
      </c>
    </row>
    <row r="224" spans="1:4" s="185" customFormat="1" ht="50.25" customHeight="1" x14ac:dyDescent="0.25">
      <c r="A224" s="185" t="s">
        <v>5691</v>
      </c>
      <c r="B224" s="186" t="s">
        <v>5135</v>
      </c>
      <c r="C224" s="186"/>
      <c r="D224" s="186"/>
    </row>
    <row r="225" spans="1:4" s="136" customFormat="1" ht="50.25" customHeight="1" x14ac:dyDescent="0.25">
      <c r="A225" s="136" t="s">
        <v>5629</v>
      </c>
      <c r="B225" s="137" t="s">
        <v>5380</v>
      </c>
      <c r="C225" s="137"/>
      <c r="D225" s="137"/>
    </row>
    <row r="226" spans="1:4" s="136" customFormat="1" ht="50.25" customHeight="1" x14ac:dyDescent="0.25">
      <c r="A226" s="136" t="s">
        <v>5692</v>
      </c>
      <c r="B226" s="137"/>
      <c r="C226" s="137" t="s">
        <v>5381</v>
      </c>
      <c r="D226" s="137" t="s">
        <v>6370</v>
      </c>
    </row>
    <row r="227" spans="1:4" s="136" customFormat="1" ht="50.25" customHeight="1" x14ac:dyDescent="0.25">
      <c r="A227" s="136" t="s">
        <v>5693</v>
      </c>
      <c r="B227" s="137"/>
      <c r="C227" s="137" t="s">
        <v>5382</v>
      </c>
      <c r="D227" s="137"/>
    </row>
    <row r="228" spans="1:4" s="136" customFormat="1" ht="50.25" customHeight="1" x14ac:dyDescent="0.25">
      <c r="A228" s="136" t="s">
        <v>5694</v>
      </c>
      <c r="B228" s="137"/>
      <c r="C228" s="137" t="s">
        <v>5383</v>
      </c>
      <c r="D228" s="137"/>
    </row>
    <row r="229" spans="1:4" s="136" customFormat="1" ht="50.25" customHeight="1" x14ac:dyDescent="0.25">
      <c r="A229" s="136" t="s">
        <v>5695</v>
      </c>
      <c r="B229" s="137"/>
      <c r="C229" s="137" t="s">
        <v>5384</v>
      </c>
      <c r="D229" s="137"/>
    </row>
    <row r="230" spans="1:4" s="136" customFormat="1" ht="50.25" customHeight="1" x14ac:dyDescent="0.25">
      <c r="A230" s="136" t="s">
        <v>5696</v>
      </c>
      <c r="B230" s="137"/>
      <c r="C230" s="137" t="s">
        <v>5385</v>
      </c>
      <c r="D230" s="137" t="s">
        <v>6371</v>
      </c>
    </row>
    <row r="231" spans="1:4" s="136" customFormat="1" ht="50.25" customHeight="1" x14ac:dyDescent="0.25">
      <c r="A231" s="136" t="s">
        <v>5697</v>
      </c>
      <c r="B231" s="137"/>
      <c r="C231" s="137" t="s">
        <v>5386</v>
      </c>
      <c r="D231" s="137"/>
    </row>
    <row r="232" spans="1:4" s="136" customFormat="1" ht="50.25" customHeight="1" x14ac:dyDescent="0.25">
      <c r="A232" s="136" t="s">
        <v>5698</v>
      </c>
      <c r="B232" s="137"/>
      <c r="C232" s="137" t="s">
        <v>5387</v>
      </c>
      <c r="D232" s="137" t="s">
        <v>6370</v>
      </c>
    </row>
    <row r="233" spans="1:4" s="136" customFormat="1" ht="50.25" customHeight="1" x14ac:dyDescent="0.25">
      <c r="A233" s="136" t="s">
        <v>5699</v>
      </c>
      <c r="B233" s="137"/>
      <c r="C233" s="137" t="s">
        <v>5388</v>
      </c>
      <c r="D233" s="137" t="s">
        <v>6372</v>
      </c>
    </row>
    <row r="234" spans="1:4" s="136" customFormat="1" ht="50.25" customHeight="1" x14ac:dyDescent="0.25">
      <c r="A234" s="136" t="s">
        <v>5700</v>
      </c>
      <c r="B234" s="137"/>
      <c r="C234" s="137" t="s">
        <v>5389</v>
      </c>
      <c r="D234" s="137" t="s">
        <v>6370</v>
      </c>
    </row>
    <row r="235" spans="1:4" s="136" customFormat="1" ht="50.25" customHeight="1" x14ac:dyDescent="0.25">
      <c r="A235" s="136" t="s">
        <v>5701</v>
      </c>
      <c r="B235" s="137"/>
      <c r="C235" s="137" t="s">
        <v>5390</v>
      </c>
      <c r="D235" s="137" t="s">
        <v>6176</v>
      </c>
    </row>
    <row r="236" spans="1:4" s="136" customFormat="1" ht="50.25" customHeight="1" x14ac:dyDescent="0.25">
      <c r="A236" s="136" t="s">
        <v>5702</v>
      </c>
      <c r="B236" s="137"/>
      <c r="C236" s="137" t="s">
        <v>5391</v>
      </c>
      <c r="D236" s="137" t="s">
        <v>6176</v>
      </c>
    </row>
    <row r="237" spans="1:4" s="136" customFormat="1" ht="50.25" customHeight="1" x14ac:dyDescent="0.25">
      <c r="A237" s="136" t="s">
        <v>5703</v>
      </c>
      <c r="B237" s="137"/>
      <c r="C237" s="137" t="s">
        <v>5392</v>
      </c>
      <c r="D237" s="137" t="s">
        <v>6176</v>
      </c>
    </row>
    <row r="238" spans="1:4" s="136" customFormat="1" ht="50.25" customHeight="1" x14ac:dyDescent="0.25">
      <c r="A238" s="136" t="s">
        <v>5704</v>
      </c>
      <c r="B238" s="137"/>
      <c r="C238" s="137" t="s">
        <v>5393</v>
      </c>
      <c r="D238" s="137" t="s">
        <v>6177</v>
      </c>
    </row>
    <row r="239" spans="1:4" s="136" customFormat="1" ht="50.25" customHeight="1" x14ac:dyDescent="0.25">
      <c r="A239" s="136" t="s">
        <v>5705</v>
      </c>
      <c r="B239" s="137"/>
      <c r="C239" s="137" t="s">
        <v>5394</v>
      </c>
      <c r="D239" s="137" t="s">
        <v>6176</v>
      </c>
    </row>
    <row r="240" spans="1:4" s="136" customFormat="1" ht="50.25" customHeight="1" x14ac:dyDescent="0.25">
      <c r="A240" s="136" t="s">
        <v>5706</v>
      </c>
      <c r="B240" s="137"/>
      <c r="C240" s="137" t="s">
        <v>5395</v>
      </c>
      <c r="D240" s="137"/>
    </row>
    <row r="241" spans="1:4" s="185" customFormat="1" ht="50.25" customHeight="1" x14ac:dyDescent="0.25">
      <c r="A241" s="185" t="s">
        <v>5630</v>
      </c>
      <c r="B241" s="186" t="s">
        <v>5136</v>
      </c>
      <c r="C241" s="186"/>
      <c r="D241" s="186"/>
    </row>
    <row r="242" spans="1:4" s="136" customFormat="1" ht="50.25" customHeight="1" x14ac:dyDescent="0.25">
      <c r="A242" s="136" t="s">
        <v>5631</v>
      </c>
      <c r="B242" s="137" t="s">
        <v>5137</v>
      </c>
      <c r="C242" s="137"/>
      <c r="D242" s="137"/>
    </row>
    <row r="243" spans="1:4" s="136" customFormat="1" ht="50.25" customHeight="1" x14ac:dyDescent="0.25">
      <c r="A243" s="136" t="s">
        <v>5707</v>
      </c>
      <c r="B243" s="137"/>
      <c r="C243" s="137" t="s">
        <v>5396</v>
      </c>
      <c r="D243" s="137" t="s">
        <v>6373</v>
      </c>
    </row>
    <row r="244" spans="1:4" s="136" customFormat="1" ht="50.25" customHeight="1" x14ac:dyDescent="0.25">
      <c r="A244" s="136" t="s">
        <v>5708</v>
      </c>
      <c r="B244" s="137"/>
      <c r="C244" s="137" t="s">
        <v>5397</v>
      </c>
      <c r="D244" s="137"/>
    </row>
    <row r="245" spans="1:4" s="136" customFormat="1" ht="50.25" customHeight="1" x14ac:dyDescent="0.25">
      <c r="A245" s="136" t="s">
        <v>5632</v>
      </c>
      <c r="B245" s="137" t="s">
        <v>5138</v>
      </c>
      <c r="C245" s="137"/>
      <c r="D245" s="137"/>
    </row>
    <row r="246" spans="1:4" s="136" customFormat="1" ht="50.25" customHeight="1" x14ac:dyDescent="0.25">
      <c r="A246" s="136" t="s">
        <v>5709</v>
      </c>
      <c r="B246" s="137"/>
      <c r="C246" s="137" t="s">
        <v>5398</v>
      </c>
      <c r="D246" s="137" t="s">
        <v>6374</v>
      </c>
    </row>
    <row r="247" spans="1:4" s="136" customFormat="1" ht="50.25" customHeight="1" x14ac:dyDescent="0.25">
      <c r="A247" s="136" t="s">
        <v>5710</v>
      </c>
      <c r="B247" s="137"/>
      <c r="C247" s="137" t="s">
        <v>5399</v>
      </c>
      <c r="D247" s="137" t="s">
        <v>6205</v>
      </c>
    </row>
    <row r="248" spans="1:4" s="136" customFormat="1" ht="50.25" customHeight="1" x14ac:dyDescent="0.25">
      <c r="A248" s="136" t="s">
        <v>5711</v>
      </c>
      <c r="B248" s="137"/>
      <c r="C248" s="137" t="s">
        <v>5400</v>
      </c>
      <c r="D248" s="137"/>
    </row>
    <row r="249" spans="1:4" s="136" customFormat="1" ht="50.25" customHeight="1" x14ac:dyDescent="0.25">
      <c r="A249" s="136" t="s">
        <v>5712</v>
      </c>
      <c r="B249" s="137"/>
      <c r="C249" s="137" t="s">
        <v>5401</v>
      </c>
      <c r="D249" s="137"/>
    </row>
    <row r="250" spans="1:4" s="136" customFormat="1" ht="50.25" customHeight="1" x14ac:dyDescent="0.25">
      <c r="A250" s="136" t="s">
        <v>5713</v>
      </c>
      <c r="B250" s="137"/>
      <c r="C250" s="137" t="s">
        <v>5402</v>
      </c>
      <c r="D250" s="137"/>
    </row>
    <row r="251" spans="1:4" s="136" customFormat="1" ht="50.25" customHeight="1" x14ac:dyDescent="0.25">
      <c r="A251" s="136" t="s">
        <v>5714</v>
      </c>
      <c r="B251" s="137"/>
      <c r="C251" s="137" t="s">
        <v>5403</v>
      </c>
      <c r="D251" s="137" t="s">
        <v>6210</v>
      </c>
    </row>
    <row r="252" spans="1:4" s="136" customFormat="1" ht="50.25" customHeight="1" x14ac:dyDescent="0.25">
      <c r="A252" s="136" t="s">
        <v>5715</v>
      </c>
      <c r="B252" s="137"/>
      <c r="C252" s="137" t="s">
        <v>5404</v>
      </c>
      <c r="D252" s="137"/>
    </row>
    <row r="253" spans="1:4" s="136" customFormat="1" ht="50.25" customHeight="1" x14ac:dyDescent="0.25">
      <c r="A253" s="136" t="s">
        <v>5716</v>
      </c>
      <c r="B253" s="137"/>
      <c r="C253" s="137" t="s">
        <v>5405</v>
      </c>
      <c r="D253" s="137"/>
    </row>
    <row r="254" spans="1:4" s="136" customFormat="1" ht="50.25" customHeight="1" x14ac:dyDescent="0.25">
      <c r="A254" s="136" t="s">
        <v>5717</v>
      </c>
      <c r="B254" s="137"/>
      <c r="C254" s="137" t="s">
        <v>5406</v>
      </c>
      <c r="D254" s="137"/>
    </row>
    <row r="255" spans="1:4" s="136" customFormat="1" ht="50.25" customHeight="1" x14ac:dyDescent="0.25">
      <c r="A255" s="136" t="s">
        <v>5718</v>
      </c>
      <c r="B255" s="137"/>
      <c r="C255" s="137" t="s">
        <v>5407</v>
      </c>
      <c r="D255" s="137"/>
    </row>
    <row r="256" spans="1:4" s="136" customFormat="1" ht="50.25" customHeight="1" x14ac:dyDescent="0.25">
      <c r="A256" s="136" t="s">
        <v>5719</v>
      </c>
      <c r="B256" s="137"/>
      <c r="C256" s="137" t="s">
        <v>5408</v>
      </c>
      <c r="D256" s="137"/>
    </row>
    <row r="257" spans="1:4" s="136" customFormat="1" ht="50.25" customHeight="1" x14ac:dyDescent="0.25">
      <c r="A257" s="136" t="s">
        <v>5720</v>
      </c>
      <c r="B257" s="137"/>
      <c r="C257" s="137" t="s">
        <v>5409</v>
      </c>
      <c r="D257" s="137" t="s">
        <v>6375</v>
      </c>
    </row>
    <row r="258" spans="1:4" s="185" customFormat="1" ht="50.25" customHeight="1" x14ac:dyDescent="0.25">
      <c r="A258" s="185" t="s">
        <v>5743</v>
      </c>
      <c r="B258" s="186" t="s">
        <v>5139</v>
      </c>
      <c r="C258" s="186"/>
      <c r="D258" s="186"/>
    </row>
    <row r="259" spans="1:4" s="136" customFormat="1" ht="50.25" customHeight="1" x14ac:dyDescent="0.25">
      <c r="A259" s="136" t="s">
        <v>5744</v>
      </c>
      <c r="B259" s="137" t="s">
        <v>5140</v>
      </c>
      <c r="C259" s="137"/>
      <c r="D259" s="137"/>
    </row>
    <row r="260" spans="1:4" s="136" customFormat="1" ht="50.25" customHeight="1" x14ac:dyDescent="0.25">
      <c r="A260" s="136" t="s">
        <v>5745</v>
      </c>
      <c r="B260" s="137"/>
      <c r="C260" s="137" t="s">
        <v>5410</v>
      </c>
      <c r="D260" s="137" t="s">
        <v>6219</v>
      </c>
    </row>
    <row r="261" spans="1:4" s="136" customFormat="1" ht="50.25" customHeight="1" x14ac:dyDescent="0.25">
      <c r="A261" s="136" t="s">
        <v>5746</v>
      </c>
      <c r="B261" s="137"/>
      <c r="C261" s="137" t="s">
        <v>5411</v>
      </c>
      <c r="D261" s="137" t="s">
        <v>6079</v>
      </c>
    </row>
    <row r="262" spans="1:4" s="136" customFormat="1" ht="50.25" customHeight="1" x14ac:dyDescent="0.25">
      <c r="A262" s="136" t="s">
        <v>5747</v>
      </c>
      <c r="B262" s="137"/>
      <c r="C262" s="137" t="s">
        <v>5412</v>
      </c>
      <c r="D262" s="137" t="s">
        <v>6219</v>
      </c>
    </row>
    <row r="263" spans="1:4" s="136" customFormat="1" ht="50.25" customHeight="1" x14ac:dyDescent="0.25">
      <c r="A263" s="136" t="s">
        <v>5748</v>
      </c>
      <c r="B263" s="137" t="s">
        <v>5141</v>
      </c>
      <c r="C263" s="137"/>
      <c r="D263" s="137"/>
    </row>
    <row r="264" spans="1:4" s="136" customFormat="1" ht="50.25" customHeight="1" x14ac:dyDescent="0.25">
      <c r="A264" s="136" t="s">
        <v>5749</v>
      </c>
      <c r="B264" s="137"/>
      <c r="C264" s="137" t="s">
        <v>5413</v>
      </c>
      <c r="D264" s="137" t="s">
        <v>6224</v>
      </c>
    </row>
    <row r="265" spans="1:4" s="136" customFormat="1" ht="50.25" customHeight="1" x14ac:dyDescent="0.25">
      <c r="A265" s="136" t="s">
        <v>5750</v>
      </c>
      <c r="B265" s="137"/>
      <c r="C265" s="137" t="s">
        <v>5414</v>
      </c>
      <c r="D265" s="137"/>
    </row>
    <row r="266" spans="1:4" s="136" customFormat="1" ht="50.25" customHeight="1" x14ac:dyDescent="0.25">
      <c r="A266" s="136" t="s">
        <v>5751</v>
      </c>
      <c r="B266" s="137"/>
      <c r="C266" s="137" t="s">
        <v>5415</v>
      </c>
      <c r="D266" s="137"/>
    </row>
    <row r="267" spans="1:4" s="136" customFormat="1" ht="50.25" customHeight="1" x14ac:dyDescent="0.25">
      <c r="A267" s="136" t="s">
        <v>5752</v>
      </c>
      <c r="B267" s="137"/>
      <c r="C267" s="137" t="s">
        <v>5416</v>
      </c>
      <c r="D267" s="137"/>
    </row>
    <row r="268" spans="1:4" s="136" customFormat="1" ht="50.25" customHeight="1" x14ac:dyDescent="0.25">
      <c r="A268" s="136" t="s">
        <v>5753</v>
      </c>
      <c r="B268" s="137"/>
      <c r="C268" s="137" t="s">
        <v>5417</v>
      </c>
      <c r="D268" s="137" t="s">
        <v>6229</v>
      </c>
    </row>
    <row r="269" spans="1:4" s="136" customFormat="1" ht="50.25" customHeight="1" x14ac:dyDescent="0.25">
      <c r="A269" s="136" t="s">
        <v>5754</v>
      </c>
      <c r="B269" s="137"/>
      <c r="C269" s="137" t="s">
        <v>5418</v>
      </c>
      <c r="D269" s="137"/>
    </row>
    <row r="270" spans="1:4" s="136" customFormat="1" ht="50.25" customHeight="1" x14ac:dyDescent="0.25">
      <c r="A270" s="136" t="s">
        <v>5755</v>
      </c>
      <c r="B270" s="137"/>
      <c r="C270" s="137" t="s">
        <v>5419</v>
      </c>
      <c r="D270" s="137" t="s">
        <v>6232</v>
      </c>
    </row>
    <row r="271" spans="1:4" s="136" customFormat="1" ht="50.25" customHeight="1" x14ac:dyDescent="0.25">
      <c r="A271" s="136" t="s">
        <v>5756</v>
      </c>
      <c r="B271" s="137"/>
      <c r="C271" s="137" t="s">
        <v>5420</v>
      </c>
      <c r="D271" s="137" t="s">
        <v>6232</v>
      </c>
    </row>
    <row r="272" spans="1:4" s="136" customFormat="1" ht="50.25" customHeight="1" x14ac:dyDescent="0.25">
      <c r="A272" s="136" t="s">
        <v>5757</v>
      </c>
      <c r="B272" s="137"/>
      <c r="C272" s="137" t="s">
        <v>5421</v>
      </c>
      <c r="D272" s="137" t="s">
        <v>6232</v>
      </c>
    </row>
    <row r="273" spans="1:4" s="136" customFormat="1" ht="50.25" customHeight="1" x14ac:dyDescent="0.25">
      <c r="A273" s="136" t="s">
        <v>5758</v>
      </c>
      <c r="B273" s="137"/>
      <c r="C273" s="137" t="s">
        <v>5422</v>
      </c>
      <c r="D273" s="137" t="s">
        <v>6224</v>
      </c>
    </row>
    <row r="274" spans="1:4" s="136" customFormat="1" ht="50.25" customHeight="1" x14ac:dyDescent="0.25">
      <c r="A274" s="136" t="s">
        <v>5759</v>
      </c>
      <c r="B274" s="137" t="s">
        <v>5142</v>
      </c>
      <c r="C274" s="137"/>
      <c r="D274" s="137"/>
    </row>
    <row r="275" spans="1:4" s="136" customFormat="1" ht="50.25" customHeight="1" x14ac:dyDescent="0.25">
      <c r="A275" s="136" t="s">
        <v>5760</v>
      </c>
      <c r="B275" s="137"/>
      <c r="C275" s="137" t="s">
        <v>5423</v>
      </c>
      <c r="D275" s="137" t="s">
        <v>6376</v>
      </c>
    </row>
    <row r="276" spans="1:4" s="136" customFormat="1" ht="50.25" customHeight="1" x14ac:dyDescent="0.25">
      <c r="A276" s="136" t="s">
        <v>5761</v>
      </c>
      <c r="B276" s="137"/>
      <c r="C276" s="137" t="s">
        <v>5424</v>
      </c>
      <c r="D276" s="137" t="s">
        <v>6232</v>
      </c>
    </row>
    <row r="277" spans="1:4" s="185" customFormat="1" ht="50.25" customHeight="1" x14ac:dyDescent="0.25">
      <c r="A277" s="185" t="s">
        <v>5736</v>
      </c>
      <c r="B277" s="186" t="s">
        <v>5143</v>
      </c>
      <c r="C277" s="186"/>
      <c r="D277" s="186"/>
    </row>
    <row r="278" spans="1:4" s="136" customFormat="1" ht="50.25" customHeight="1" x14ac:dyDescent="0.25">
      <c r="A278" s="136" t="s">
        <v>5737</v>
      </c>
      <c r="B278" s="137" t="s">
        <v>5144</v>
      </c>
      <c r="C278" s="137"/>
      <c r="D278" s="137"/>
    </row>
    <row r="279" spans="1:4" s="136" customFormat="1" ht="50.25" customHeight="1" x14ac:dyDescent="0.25">
      <c r="A279" s="136" t="s">
        <v>5738</v>
      </c>
      <c r="B279" s="137"/>
      <c r="C279" s="137" t="s">
        <v>5425</v>
      </c>
      <c r="D279" s="137"/>
    </row>
    <row r="280" spans="1:4" s="136" customFormat="1" ht="50.25" customHeight="1" x14ac:dyDescent="0.25">
      <c r="A280" s="136" t="s">
        <v>5739</v>
      </c>
      <c r="B280" s="137"/>
      <c r="C280" s="137" t="s">
        <v>5426</v>
      </c>
      <c r="D280" s="137"/>
    </row>
    <row r="281" spans="1:4" s="136" customFormat="1" ht="50.25" customHeight="1" x14ac:dyDescent="0.25">
      <c r="A281" s="136" t="s">
        <v>5740</v>
      </c>
      <c r="B281" s="137" t="s">
        <v>5145</v>
      </c>
      <c r="C281" s="137"/>
      <c r="D281" s="137"/>
    </row>
    <row r="282" spans="1:4" s="136" customFormat="1" ht="50.25" customHeight="1" x14ac:dyDescent="0.25">
      <c r="A282" s="136" t="s">
        <v>5741</v>
      </c>
      <c r="B282" s="137"/>
      <c r="C282" s="137" t="s">
        <v>5427</v>
      </c>
      <c r="D282" s="137" t="s">
        <v>6244</v>
      </c>
    </row>
    <row r="283" spans="1:4" s="136" customFormat="1" ht="50.25" customHeight="1" x14ac:dyDescent="0.25">
      <c r="A283" s="136" t="s">
        <v>5742</v>
      </c>
      <c r="B283" s="137"/>
      <c r="C283" s="137" t="s">
        <v>5428</v>
      </c>
      <c r="D283" s="137" t="s">
        <v>6244</v>
      </c>
    </row>
    <row r="284" spans="1:4" s="185" customFormat="1" ht="50.25" customHeight="1" x14ac:dyDescent="0.25">
      <c r="A284" s="185" t="s">
        <v>6377</v>
      </c>
      <c r="B284" s="186" t="s">
        <v>5146</v>
      </c>
      <c r="C284" s="186"/>
      <c r="D284" s="186"/>
    </row>
    <row r="285" spans="1:4" s="136" customFormat="1" ht="50.25" customHeight="1" x14ac:dyDescent="0.25">
      <c r="A285" s="136" t="s">
        <v>5723</v>
      </c>
      <c r="B285" s="137" t="s">
        <v>5147</v>
      </c>
      <c r="C285" s="137"/>
      <c r="D285" s="137"/>
    </row>
    <row r="286" spans="1:4" s="136" customFormat="1" ht="50.25" customHeight="1" x14ac:dyDescent="0.25">
      <c r="A286" s="136" t="s">
        <v>5721</v>
      </c>
      <c r="B286" s="137"/>
      <c r="C286" s="137" t="s">
        <v>5429</v>
      </c>
      <c r="D286" s="137"/>
    </row>
    <row r="287" spans="1:4" s="136" customFormat="1" ht="50.25" customHeight="1" x14ac:dyDescent="0.25">
      <c r="A287" s="136" t="s">
        <v>5722</v>
      </c>
      <c r="B287" s="137"/>
      <c r="C287" s="137" t="s">
        <v>5430</v>
      </c>
      <c r="D287" s="137"/>
    </row>
    <row r="288" spans="1:4" s="136" customFormat="1" ht="50.25" customHeight="1" x14ac:dyDescent="0.25">
      <c r="A288" s="136" t="s">
        <v>5724</v>
      </c>
      <c r="B288" s="137"/>
      <c r="C288" s="137" t="s">
        <v>5148</v>
      </c>
      <c r="D288" s="137"/>
    </row>
    <row r="289" spans="1:4" s="136" customFormat="1" ht="50.25" customHeight="1" x14ac:dyDescent="0.25">
      <c r="A289" s="136" t="s">
        <v>5725</v>
      </c>
      <c r="B289" s="137"/>
      <c r="C289" s="137" t="s">
        <v>5149</v>
      </c>
      <c r="D289" s="137"/>
    </row>
    <row r="290" spans="1:4" s="136" customFormat="1" ht="50.25" customHeight="1" x14ac:dyDescent="0.25">
      <c r="A290" s="136" t="s">
        <v>5726</v>
      </c>
      <c r="B290" s="137"/>
      <c r="C290" s="137" t="s">
        <v>5150</v>
      </c>
      <c r="D290" s="137"/>
    </row>
    <row r="291" spans="1:4" s="136" customFormat="1" ht="50.25" customHeight="1" x14ac:dyDescent="0.25">
      <c r="A291" s="136" t="s">
        <v>5727</v>
      </c>
      <c r="B291" s="137"/>
      <c r="C291" s="137" t="s">
        <v>5151</v>
      </c>
      <c r="D291" s="137"/>
    </row>
    <row r="292" spans="1:4" s="136" customFormat="1" ht="50.25" customHeight="1" x14ac:dyDescent="0.25">
      <c r="A292" s="136" t="s">
        <v>5728</v>
      </c>
      <c r="B292" s="137"/>
      <c r="C292" s="137" t="s">
        <v>5152</v>
      </c>
      <c r="D292" s="137"/>
    </row>
    <row r="293" spans="1:4" s="136" customFormat="1" ht="50.25" customHeight="1" x14ac:dyDescent="0.25">
      <c r="A293" s="136" t="s">
        <v>5729</v>
      </c>
      <c r="B293" s="137"/>
      <c r="C293" s="137" t="s">
        <v>5153</v>
      </c>
      <c r="D293" s="137"/>
    </row>
    <row r="294" spans="1:4" s="136" customFormat="1" ht="50.25" customHeight="1" x14ac:dyDescent="0.25">
      <c r="A294" s="136" t="s">
        <v>5730</v>
      </c>
      <c r="B294" s="137"/>
      <c r="C294" s="137" t="s">
        <v>5154</v>
      </c>
      <c r="D294" s="137"/>
    </row>
    <row r="295" spans="1:4" s="136" customFormat="1" ht="50.25" customHeight="1" x14ac:dyDescent="0.25">
      <c r="A295" s="136" t="s">
        <v>5731</v>
      </c>
      <c r="B295" s="137"/>
      <c r="C295" s="137" t="s">
        <v>5155</v>
      </c>
      <c r="D295" s="137"/>
    </row>
    <row r="296" spans="1:4" s="136" customFormat="1" ht="50.25" customHeight="1" x14ac:dyDescent="0.25">
      <c r="A296" s="136" t="s">
        <v>5732</v>
      </c>
      <c r="B296" s="137"/>
      <c r="C296" s="137" t="s">
        <v>5156</v>
      </c>
      <c r="D296" s="137"/>
    </row>
    <row r="297" spans="1:4" s="136" customFormat="1" ht="50.25" customHeight="1" x14ac:dyDescent="0.25">
      <c r="A297" s="136" t="s">
        <v>5733</v>
      </c>
      <c r="B297" s="137"/>
      <c r="C297" s="137" t="s">
        <v>5157</v>
      </c>
      <c r="D297" s="137"/>
    </row>
    <row r="298" spans="1:4" s="136" customFormat="1" ht="50.25" customHeight="1" x14ac:dyDescent="0.25">
      <c r="A298" s="136" t="s">
        <v>5734</v>
      </c>
      <c r="B298" s="137"/>
      <c r="C298" s="137" t="s">
        <v>5158</v>
      </c>
      <c r="D298" s="137"/>
    </row>
    <row r="299" spans="1:4" s="136" customFormat="1" ht="50.25" customHeight="1" x14ac:dyDescent="0.25">
      <c r="A299" s="136" t="s">
        <v>5735</v>
      </c>
      <c r="B299" s="137"/>
      <c r="C299" s="137" t="s">
        <v>5159</v>
      </c>
      <c r="D299" s="137"/>
    </row>
    <row r="300" spans="1:4" s="138" customFormat="1" ht="50.25" customHeight="1" x14ac:dyDescent="0.25">
      <c r="A300" s="138" t="s">
        <v>5874</v>
      </c>
      <c r="B300" s="139" t="s">
        <v>5160</v>
      </c>
      <c r="C300" s="139"/>
      <c r="D300" s="139"/>
    </row>
    <row r="301" spans="1:4" s="136" customFormat="1" ht="50.25" customHeight="1" x14ac:dyDescent="0.25">
      <c r="A301" s="136" t="s">
        <v>5875</v>
      </c>
      <c r="B301" s="137"/>
      <c r="C301" s="137" t="s">
        <v>5431</v>
      </c>
      <c r="D301" s="137"/>
    </row>
    <row r="302" spans="1:4" s="136" customFormat="1" ht="50.25" customHeight="1" x14ac:dyDescent="0.25">
      <c r="A302" s="136" t="s">
        <v>5876</v>
      </c>
      <c r="B302" s="137"/>
      <c r="C302" s="137" t="s">
        <v>5432</v>
      </c>
      <c r="D302" s="137"/>
    </row>
    <row r="303" spans="1:4" s="136" customFormat="1" ht="50.25" customHeight="1" x14ac:dyDescent="0.25">
      <c r="A303" s="136" t="s">
        <v>5877</v>
      </c>
      <c r="B303" s="137"/>
      <c r="C303" s="137" t="s">
        <v>5433</v>
      </c>
      <c r="D303" s="137"/>
    </row>
    <row r="304" spans="1:4" s="136" customFormat="1" ht="50.25" customHeight="1" x14ac:dyDescent="0.25">
      <c r="A304" s="136" t="s">
        <v>5878</v>
      </c>
      <c r="B304" s="137" t="s">
        <v>5161</v>
      </c>
      <c r="C304" s="137"/>
      <c r="D304" s="137"/>
    </row>
    <row r="305" spans="1:4" s="136" customFormat="1" ht="50.25" customHeight="1" x14ac:dyDescent="0.25">
      <c r="A305" s="136" t="s">
        <v>6249</v>
      </c>
      <c r="B305" s="137"/>
      <c r="C305" s="137" t="s">
        <v>5434</v>
      </c>
      <c r="D305" s="137"/>
    </row>
    <row r="306" spans="1:4" s="136" customFormat="1" ht="50.25" customHeight="1" x14ac:dyDescent="0.25">
      <c r="A306" s="136" t="s">
        <v>6250</v>
      </c>
      <c r="B306" s="137"/>
      <c r="C306" s="137" t="s">
        <v>5435</v>
      </c>
      <c r="D306" s="137"/>
    </row>
    <row r="307" spans="1:4" s="136" customFormat="1" ht="50.25" customHeight="1" x14ac:dyDescent="0.25">
      <c r="A307" s="136" t="s">
        <v>6251</v>
      </c>
      <c r="B307" s="137"/>
      <c r="C307" s="137" t="s">
        <v>5436</v>
      </c>
      <c r="D307" s="137"/>
    </row>
    <row r="308" spans="1:4" s="136" customFormat="1" ht="50.25" customHeight="1" x14ac:dyDescent="0.25">
      <c r="A308" s="136" t="s">
        <v>6252</v>
      </c>
      <c r="B308" s="137"/>
      <c r="C308" s="137" t="s">
        <v>5437</v>
      </c>
      <c r="D308" s="137"/>
    </row>
    <row r="309" spans="1:4" s="136" customFormat="1" ht="50.25" customHeight="1" x14ac:dyDescent="0.25">
      <c r="A309" s="136" t="s">
        <v>6253</v>
      </c>
      <c r="B309" s="137"/>
      <c r="C309" s="137" t="s">
        <v>5438</v>
      </c>
      <c r="D309" s="137"/>
    </row>
    <row r="310" spans="1:4" s="136" customFormat="1" ht="50.25" customHeight="1" x14ac:dyDescent="0.25">
      <c r="A310" s="136" t="s">
        <v>6248</v>
      </c>
      <c r="B310" s="137" t="s">
        <v>5162</v>
      </c>
      <c r="C310" s="137"/>
      <c r="D310" s="137"/>
    </row>
    <row r="311" spans="1:4" s="136" customFormat="1" ht="50.25" customHeight="1" x14ac:dyDescent="0.25">
      <c r="A311" s="136" t="s">
        <v>6255</v>
      </c>
      <c r="B311" s="137"/>
      <c r="C311" s="137" t="s">
        <v>5439</v>
      </c>
      <c r="D311" s="137"/>
    </row>
    <row r="312" spans="1:4" s="136" customFormat="1" ht="50.25" customHeight="1" x14ac:dyDescent="0.25">
      <c r="A312" s="136" t="s">
        <v>6256</v>
      </c>
      <c r="B312" s="137"/>
      <c r="C312" s="137" t="s">
        <v>5440</v>
      </c>
      <c r="D312" s="137"/>
    </row>
    <row r="313" spans="1:4" s="136" customFormat="1" ht="50.25" customHeight="1" x14ac:dyDescent="0.25">
      <c r="A313" s="136" t="s">
        <v>6257</v>
      </c>
      <c r="B313" s="137"/>
      <c r="C313" s="137" t="s">
        <v>5441</v>
      </c>
      <c r="D313" s="137"/>
    </row>
    <row r="314" spans="1:4" s="136" customFormat="1" ht="50.25" customHeight="1" x14ac:dyDescent="0.25">
      <c r="A314" s="136" t="s">
        <v>6258</v>
      </c>
      <c r="B314" s="137"/>
      <c r="C314" s="137" t="s">
        <v>5442</v>
      </c>
      <c r="D314" s="137"/>
    </row>
    <row r="315" spans="1:4" s="136" customFormat="1" ht="50.25" customHeight="1" x14ac:dyDescent="0.25">
      <c r="A315" s="136" t="s">
        <v>6254</v>
      </c>
      <c r="B315" s="137" t="s">
        <v>5163</v>
      </c>
      <c r="C315" s="137"/>
      <c r="D315" s="137"/>
    </row>
    <row r="316" spans="1:4" s="136" customFormat="1" ht="50.25" customHeight="1" x14ac:dyDescent="0.25">
      <c r="A316" s="136" t="s">
        <v>6259</v>
      </c>
      <c r="B316" s="137"/>
      <c r="C316" s="137" t="s">
        <v>5443</v>
      </c>
      <c r="D316" s="137"/>
    </row>
    <row r="317" spans="1:4" s="136" customFormat="1" ht="50.25" customHeight="1" x14ac:dyDescent="0.25">
      <c r="A317" s="136" t="s">
        <v>6260</v>
      </c>
      <c r="B317" s="137"/>
      <c r="C317" s="137" t="s">
        <v>5444</v>
      </c>
      <c r="D317" s="137"/>
    </row>
    <row r="318" spans="1:4" s="136" customFormat="1" ht="50.25" customHeight="1" x14ac:dyDescent="0.25">
      <c r="A318" s="136" t="s">
        <v>6261</v>
      </c>
      <c r="B318" s="137"/>
      <c r="C318" s="137" t="s">
        <v>5445</v>
      </c>
      <c r="D318" s="137"/>
    </row>
    <row r="319" spans="1:4" s="136" customFormat="1" ht="50.25" customHeight="1" x14ac:dyDescent="0.25">
      <c r="A319" s="136" t="s">
        <v>6262</v>
      </c>
      <c r="B319" s="137"/>
      <c r="C319" s="137" t="s">
        <v>5446</v>
      </c>
      <c r="D319" s="137"/>
    </row>
    <row r="320" spans="1:4" s="136" customFormat="1" ht="50.25" customHeight="1" x14ac:dyDescent="0.25">
      <c r="A320" s="136" t="s">
        <v>6378</v>
      </c>
      <c r="B320" s="137" t="s">
        <v>5164</v>
      </c>
      <c r="C320" s="137"/>
      <c r="D320" s="137"/>
    </row>
    <row r="321" spans="1:4" s="136" customFormat="1" ht="50.25" customHeight="1" x14ac:dyDescent="0.25">
      <c r="A321" s="136" t="s">
        <v>6264</v>
      </c>
      <c r="B321" s="137" t="s">
        <v>5165</v>
      </c>
      <c r="C321" s="137"/>
      <c r="D321" s="137"/>
    </row>
    <row r="322" spans="1:4" s="136" customFormat="1" ht="50.25" customHeight="1" x14ac:dyDescent="0.25">
      <c r="A322" s="136" t="s">
        <v>6265</v>
      </c>
      <c r="B322" s="137" t="s">
        <v>5166</v>
      </c>
      <c r="C322" s="137"/>
      <c r="D322" s="137"/>
    </row>
    <row r="323" spans="1:4" s="136" customFormat="1" ht="50.25" customHeight="1" x14ac:dyDescent="0.25">
      <c r="A323" s="136" t="s">
        <v>6263</v>
      </c>
      <c r="B323" s="137"/>
      <c r="C323" s="137" t="s">
        <v>5447</v>
      </c>
      <c r="D323" s="137"/>
    </row>
    <row r="324" spans="1:4" s="136" customFormat="1" ht="50.25" customHeight="1" x14ac:dyDescent="0.25">
      <c r="A324" s="136" t="s">
        <v>6266</v>
      </c>
      <c r="B324" s="137"/>
      <c r="C324" s="137" t="s">
        <v>5167</v>
      </c>
      <c r="D324" s="137"/>
    </row>
    <row r="325" spans="1:4" s="136" customFormat="1" ht="50.25" customHeight="1" x14ac:dyDescent="0.25">
      <c r="A325" s="136" t="s">
        <v>6267</v>
      </c>
      <c r="B325" s="137"/>
      <c r="C325" s="137" t="s">
        <v>5168</v>
      </c>
      <c r="D325" s="137"/>
    </row>
    <row r="326" spans="1:4" s="136" customFormat="1" ht="50.25" customHeight="1" x14ac:dyDescent="0.25">
      <c r="A326" s="136" t="s">
        <v>6268</v>
      </c>
      <c r="B326" s="137"/>
      <c r="C326" s="137" t="s">
        <v>5169</v>
      </c>
      <c r="D326" s="137"/>
    </row>
    <row r="327" spans="1:4" s="136" customFormat="1" ht="50.25" customHeight="1" x14ac:dyDescent="0.25">
      <c r="A327" s="136" t="s">
        <v>6269</v>
      </c>
      <c r="B327" s="137"/>
      <c r="C327" s="137" t="s">
        <v>5170</v>
      </c>
      <c r="D327" s="137"/>
    </row>
    <row r="328" spans="1:4" s="136" customFormat="1" ht="50.25" customHeight="1" x14ac:dyDescent="0.25">
      <c r="A328" s="136" t="s">
        <v>6270</v>
      </c>
      <c r="B328" s="137"/>
      <c r="C328" s="137" t="s">
        <v>5171</v>
      </c>
      <c r="D328" s="137"/>
    </row>
    <row r="329" spans="1:4" s="136" customFormat="1" ht="50.25" customHeight="1" x14ac:dyDescent="0.25">
      <c r="A329" s="136" t="s">
        <v>6271</v>
      </c>
      <c r="B329" s="137"/>
      <c r="C329" s="137" t="s">
        <v>5172</v>
      </c>
      <c r="D329" s="137"/>
    </row>
    <row r="330" spans="1:4" s="136" customFormat="1" ht="50.25" customHeight="1" x14ac:dyDescent="0.25">
      <c r="A330" s="136" t="s">
        <v>6272</v>
      </c>
      <c r="B330" s="137"/>
      <c r="C330" s="137" t="s">
        <v>5173</v>
      </c>
      <c r="D330" s="137"/>
    </row>
    <row r="331" spans="1:4" s="136" customFormat="1" ht="50.25" customHeight="1" x14ac:dyDescent="0.25">
      <c r="A331" s="136" t="s">
        <v>6273</v>
      </c>
      <c r="B331" s="137"/>
      <c r="C331" s="137" t="s">
        <v>5174</v>
      </c>
      <c r="D331" s="137"/>
    </row>
    <row r="332" spans="1:4" s="136" customFormat="1" ht="50.25" customHeight="1" x14ac:dyDescent="0.25">
      <c r="A332" s="136" t="s">
        <v>6274</v>
      </c>
      <c r="B332" s="137"/>
      <c r="C332" s="137" t="s">
        <v>5175</v>
      </c>
      <c r="D332" s="137"/>
    </row>
    <row r="333" spans="1:4" s="136" customFormat="1" ht="50.25" customHeight="1" x14ac:dyDescent="0.25">
      <c r="A333" s="136" t="s">
        <v>6275</v>
      </c>
      <c r="B333" s="137"/>
      <c r="C333" s="137" t="s">
        <v>5448</v>
      </c>
      <c r="D333" s="137"/>
    </row>
    <row r="334" spans="1:4" s="136" customFormat="1" ht="50.25" customHeight="1" x14ac:dyDescent="0.25">
      <c r="A334" s="136" t="s">
        <v>6276</v>
      </c>
      <c r="B334" s="137"/>
      <c r="C334" s="137" t="s">
        <v>5176</v>
      </c>
      <c r="D334" s="137"/>
    </row>
    <row r="335" spans="1:4" s="136" customFormat="1" ht="50.25" customHeight="1" x14ac:dyDescent="0.25">
      <c r="A335" s="136" t="s">
        <v>6277</v>
      </c>
      <c r="B335" s="137"/>
      <c r="C335" s="137" t="s">
        <v>5449</v>
      </c>
      <c r="D335" s="137"/>
    </row>
    <row r="336" spans="1:4" s="136" customFormat="1" ht="50.25" customHeight="1" x14ac:dyDescent="0.25">
      <c r="A336" s="136" t="s">
        <v>6278</v>
      </c>
      <c r="B336" s="137"/>
      <c r="C336" s="137" t="s">
        <v>5450</v>
      </c>
      <c r="D336" s="137"/>
    </row>
    <row r="337" spans="1:4" s="136" customFormat="1" ht="50.25" customHeight="1" x14ac:dyDescent="0.25">
      <c r="A337" s="136" t="s">
        <v>6279</v>
      </c>
      <c r="B337" s="137"/>
      <c r="C337" s="137" t="s">
        <v>5451</v>
      </c>
      <c r="D337" s="137"/>
    </row>
    <row r="338" spans="1:4" s="136" customFormat="1" ht="50.25" customHeight="1" x14ac:dyDescent="0.25">
      <c r="A338" s="136" t="s">
        <v>6379</v>
      </c>
      <c r="B338" s="137" t="s">
        <v>5177</v>
      </c>
      <c r="C338" s="137"/>
      <c r="D338" s="137"/>
    </row>
    <row r="339" spans="1:4" s="136" customFormat="1" ht="50.25" customHeight="1" x14ac:dyDescent="0.25">
      <c r="A339" s="136" t="s">
        <v>6280</v>
      </c>
      <c r="B339" s="137" t="s">
        <v>5178</v>
      </c>
      <c r="C339" s="137"/>
      <c r="D339" s="137"/>
    </row>
    <row r="340" spans="1:4" s="136" customFormat="1" ht="50.25" customHeight="1" x14ac:dyDescent="0.25">
      <c r="A340" s="136" t="s">
        <v>6281</v>
      </c>
      <c r="B340" s="137"/>
      <c r="C340" s="137" t="s">
        <v>5452</v>
      </c>
      <c r="D340" s="137"/>
    </row>
    <row r="341" spans="1:4" s="136" customFormat="1" ht="50.25" customHeight="1" x14ac:dyDescent="0.25">
      <c r="A341" s="136" t="s">
        <v>6282</v>
      </c>
      <c r="B341" s="137"/>
      <c r="C341" s="137" t="s">
        <v>5453</v>
      </c>
      <c r="D341" s="137"/>
    </row>
    <row r="342" spans="1:4" s="136" customFormat="1" ht="50.25" customHeight="1" x14ac:dyDescent="0.25">
      <c r="A342" s="136" t="s">
        <v>6283</v>
      </c>
      <c r="B342" s="137"/>
      <c r="C342" s="137" t="s">
        <v>5454</v>
      </c>
      <c r="D342" s="137"/>
    </row>
    <row r="343" spans="1:4" s="136" customFormat="1" ht="50.25" customHeight="1" x14ac:dyDescent="0.25">
      <c r="A343" s="136" t="s">
        <v>6284</v>
      </c>
      <c r="B343" s="137"/>
      <c r="C343" s="137" t="s">
        <v>5455</v>
      </c>
      <c r="D343" s="137"/>
    </row>
    <row r="344" spans="1:4" s="136" customFormat="1" ht="50.25" customHeight="1" x14ac:dyDescent="0.25">
      <c r="A344" s="136" t="s">
        <v>6285</v>
      </c>
      <c r="B344" s="137"/>
      <c r="C344" s="137" t="s">
        <v>5456</v>
      </c>
      <c r="D344" s="137"/>
    </row>
    <row r="345" spans="1:4" s="136" customFormat="1" ht="50.25" customHeight="1" x14ac:dyDescent="0.25">
      <c r="A345" s="136" t="s">
        <v>6286</v>
      </c>
      <c r="B345" s="137"/>
      <c r="C345" s="137" t="s">
        <v>5457</v>
      </c>
      <c r="D345" s="137"/>
    </row>
    <row r="346" spans="1:4" s="136" customFormat="1" ht="50.25" customHeight="1" x14ac:dyDescent="0.25">
      <c r="A346" s="136" t="s">
        <v>6380</v>
      </c>
      <c r="B346" s="137" t="s">
        <v>5179</v>
      </c>
      <c r="C346" s="137"/>
      <c r="D346" s="137"/>
    </row>
    <row r="347" spans="1:4" s="136" customFormat="1" ht="50.25" customHeight="1" x14ac:dyDescent="0.25">
      <c r="A347" s="136" t="s">
        <v>6287</v>
      </c>
      <c r="B347" s="137" t="s">
        <v>5180</v>
      </c>
      <c r="C347" s="137"/>
      <c r="D347" s="137"/>
    </row>
    <row r="348" spans="1:4" s="136" customFormat="1" ht="50.25" customHeight="1" x14ac:dyDescent="0.25">
      <c r="A348" s="136" t="s">
        <v>6288</v>
      </c>
      <c r="B348" s="137"/>
      <c r="C348" s="137" t="s">
        <v>5458</v>
      </c>
      <c r="D348" s="137"/>
    </row>
    <row r="349" spans="1:4" s="136" customFormat="1" ht="50.25" customHeight="1" x14ac:dyDescent="0.25">
      <c r="A349" s="136" t="s">
        <v>6289</v>
      </c>
      <c r="B349" s="137"/>
      <c r="C349" s="137" t="s">
        <v>5459</v>
      </c>
      <c r="D349" s="137"/>
    </row>
    <row r="350" spans="1:4" s="136" customFormat="1" ht="50.25" customHeight="1" x14ac:dyDescent="0.25">
      <c r="A350" s="136" t="s">
        <v>6290</v>
      </c>
      <c r="B350" s="137"/>
      <c r="C350" s="137" t="s">
        <v>5460</v>
      </c>
      <c r="D350" s="137"/>
    </row>
    <row r="351" spans="1:4" s="136" customFormat="1" ht="50.25" customHeight="1" x14ac:dyDescent="0.25">
      <c r="A351" s="136" t="s">
        <v>6291</v>
      </c>
      <c r="B351" s="137"/>
      <c r="C351" s="137" t="s">
        <v>5461</v>
      </c>
      <c r="D351" s="137"/>
    </row>
    <row r="352" spans="1:4" s="136" customFormat="1" ht="50.25" customHeight="1" x14ac:dyDescent="0.25">
      <c r="A352" s="136" t="s">
        <v>6292</v>
      </c>
      <c r="B352" s="137" t="s">
        <v>5181</v>
      </c>
      <c r="C352" s="137"/>
      <c r="D352" s="137"/>
    </row>
    <row r="353" spans="1:4" s="136" customFormat="1" ht="50.25" customHeight="1" x14ac:dyDescent="0.25">
      <c r="A353" s="136" t="s">
        <v>6293</v>
      </c>
      <c r="B353" s="137"/>
      <c r="C353" s="137" t="s">
        <v>5456</v>
      </c>
      <c r="D353" s="137"/>
    </row>
    <row r="354" spans="1:4" s="136" customFormat="1" ht="50.25" customHeight="1" x14ac:dyDescent="0.25">
      <c r="A354" s="136" t="s">
        <v>6294</v>
      </c>
      <c r="B354" s="137"/>
      <c r="C354" s="137" t="s">
        <v>5462</v>
      </c>
      <c r="D354" s="137"/>
    </row>
    <row r="355" spans="1:4" s="136" customFormat="1" ht="50.25" customHeight="1" x14ac:dyDescent="0.25">
      <c r="A355" s="136" t="s">
        <v>6295</v>
      </c>
      <c r="B355" s="137" t="s">
        <v>5182</v>
      </c>
      <c r="C355" s="137"/>
      <c r="D355" s="137"/>
    </row>
    <row r="356" spans="1:4" s="136" customFormat="1" ht="50.25" customHeight="1" x14ac:dyDescent="0.25">
      <c r="A356" s="136" t="s">
        <v>6296</v>
      </c>
      <c r="B356" s="137" t="s">
        <v>5183</v>
      </c>
      <c r="C356" s="137"/>
      <c r="D356" s="137"/>
    </row>
    <row r="357" spans="1:4" s="136" customFormat="1" ht="50.25" customHeight="1" x14ac:dyDescent="0.25">
      <c r="A357" s="136" t="s">
        <v>6297</v>
      </c>
      <c r="B357" s="137"/>
      <c r="C357" s="137" t="s">
        <v>5463</v>
      </c>
      <c r="D357" s="137"/>
    </row>
    <row r="358" spans="1:4" s="136" customFormat="1" ht="50.25" customHeight="1" x14ac:dyDescent="0.25">
      <c r="A358" s="136" t="s">
        <v>6298</v>
      </c>
      <c r="B358" s="137" t="s">
        <v>5184</v>
      </c>
      <c r="C358" s="137"/>
      <c r="D358" s="137"/>
    </row>
    <row r="359" spans="1:4" s="136" customFormat="1" ht="50.25" customHeight="1" x14ac:dyDescent="0.25">
      <c r="A359" s="136" t="s">
        <v>6299</v>
      </c>
      <c r="B359" s="137"/>
      <c r="C359" s="137" t="s">
        <v>5464</v>
      </c>
      <c r="D359" s="137"/>
    </row>
    <row r="360" spans="1:4" s="136" customFormat="1" ht="50.25" customHeight="1" x14ac:dyDescent="0.25">
      <c r="A360" s="136" t="s">
        <v>6300</v>
      </c>
      <c r="B360" s="137"/>
      <c r="C360" s="137" t="s">
        <v>5465</v>
      </c>
      <c r="D360" s="137"/>
    </row>
    <row r="361" spans="1:4" s="136" customFormat="1" ht="50.25" customHeight="1" x14ac:dyDescent="0.25">
      <c r="A361" s="136" t="s">
        <v>6301</v>
      </c>
      <c r="B361" s="137" t="s">
        <v>5185</v>
      </c>
      <c r="C361" s="137"/>
      <c r="D361" s="137"/>
    </row>
    <row r="362" spans="1:4" s="136" customFormat="1" ht="50.25" customHeight="1" x14ac:dyDescent="0.25">
      <c r="A362" s="136" t="s">
        <v>6302</v>
      </c>
      <c r="B362" s="137"/>
      <c r="C362" s="137" t="s">
        <v>5466</v>
      </c>
      <c r="D362" s="137"/>
    </row>
    <row r="363" spans="1:4" s="136" customFormat="1" ht="50.25" customHeight="1" x14ac:dyDescent="0.25">
      <c r="A363" s="136" t="s">
        <v>6303</v>
      </c>
      <c r="B363" s="137"/>
      <c r="C363" s="137" t="s">
        <v>5467</v>
      </c>
      <c r="D363" s="137"/>
    </row>
    <row r="364" spans="1:4" s="136" customFormat="1" ht="50.25" customHeight="1" x14ac:dyDescent="0.25">
      <c r="A364" s="136" t="s">
        <v>6304</v>
      </c>
      <c r="B364" s="137"/>
      <c r="C364" s="137" t="s">
        <v>5468</v>
      </c>
      <c r="D364" s="137"/>
    </row>
    <row r="365" spans="1:4" s="136" customFormat="1" ht="50.25" customHeight="1" x14ac:dyDescent="0.25">
      <c r="A365" s="136" t="s">
        <v>6381</v>
      </c>
      <c r="B365" s="137" t="s">
        <v>5186</v>
      </c>
      <c r="C365" s="137"/>
      <c r="D365" s="137"/>
    </row>
    <row r="366" spans="1:4" s="136" customFormat="1" ht="50.25" customHeight="1" x14ac:dyDescent="0.25">
      <c r="A366" s="136" t="s">
        <v>6305</v>
      </c>
      <c r="B366" s="137" t="s">
        <v>5187</v>
      </c>
      <c r="C366" s="137"/>
      <c r="D366" s="137"/>
    </row>
    <row r="367" spans="1:4" s="136" customFormat="1" ht="50.25" customHeight="1" x14ac:dyDescent="0.25">
      <c r="A367" s="136" t="s">
        <v>6306</v>
      </c>
      <c r="B367" s="137"/>
      <c r="C367" s="137" t="s">
        <v>5469</v>
      </c>
      <c r="D367" s="137"/>
    </row>
    <row r="368" spans="1:4" s="136" customFormat="1" ht="50.25" customHeight="1" x14ac:dyDescent="0.25">
      <c r="A368" s="136" t="s">
        <v>6307</v>
      </c>
      <c r="B368" s="137"/>
      <c r="C368" s="137" t="s">
        <v>5470</v>
      </c>
      <c r="D368" s="137"/>
    </row>
    <row r="369" spans="1:4" s="136" customFormat="1" ht="50.25" customHeight="1" x14ac:dyDescent="0.25">
      <c r="A369" s="136" t="s">
        <v>6308</v>
      </c>
      <c r="B369" s="137"/>
      <c r="C369" s="137" t="s">
        <v>5471</v>
      </c>
      <c r="D369" s="137"/>
    </row>
    <row r="370" spans="1:4" s="136" customFormat="1" ht="50.25" customHeight="1" x14ac:dyDescent="0.25">
      <c r="A370" s="136" t="s">
        <v>6309</v>
      </c>
      <c r="B370" s="137"/>
      <c r="C370" s="137" t="s">
        <v>5472</v>
      </c>
      <c r="D370" s="137"/>
    </row>
    <row r="371" spans="1:4" s="136" customFormat="1" ht="50.25" customHeight="1" x14ac:dyDescent="0.25">
      <c r="A371" s="136" t="s">
        <v>6310</v>
      </c>
      <c r="B371" s="137" t="s">
        <v>5188</v>
      </c>
      <c r="C371" s="137"/>
      <c r="D371" s="137"/>
    </row>
    <row r="372" spans="1:4" s="136" customFormat="1" ht="50.25" customHeight="1" x14ac:dyDescent="0.25">
      <c r="A372" s="136" t="s">
        <v>6311</v>
      </c>
      <c r="B372" s="137"/>
      <c r="C372" s="137" t="s">
        <v>5473</v>
      </c>
      <c r="D372" s="137"/>
    </row>
    <row r="373" spans="1:4" s="136" customFormat="1" ht="50.25" customHeight="1" x14ac:dyDescent="0.25">
      <c r="A373" s="136" t="s">
        <v>6312</v>
      </c>
      <c r="B373" s="137"/>
      <c r="C373" s="137" t="s">
        <v>5474</v>
      </c>
      <c r="D373" s="137"/>
    </row>
    <row r="374" spans="1:4" s="136" customFormat="1" ht="50.25" customHeight="1" x14ac:dyDescent="0.25">
      <c r="A374" s="136" t="s">
        <v>6313</v>
      </c>
      <c r="B374" s="137"/>
      <c r="C374" s="137" t="s">
        <v>5475</v>
      </c>
      <c r="D374" s="137"/>
    </row>
    <row r="375" spans="1:4" s="136" customFormat="1" ht="50.25" customHeight="1" x14ac:dyDescent="0.25">
      <c r="A375" s="136" t="s">
        <v>6382</v>
      </c>
      <c r="B375" s="137" t="s">
        <v>5189</v>
      </c>
      <c r="C375" s="137"/>
      <c r="D375" s="137"/>
    </row>
    <row r="376" spans="1:4" s="136" customFormat="1" ht="50.25" customHeight="1" x14ac:dyDescent="0.25">
      <c r="A376" s="136" t="s">
        <v>6314</v>
      </c>
      <c r="B376" s="137" t="s">
        <v>5190</v>
      </c>
      <c r="C376" s="137"/>
      <c r="D376" s="137"/>
    </row>
    <row r="377" spans="1:4" s="136" customFormat="1" ht="50.25" customHeight="1" x14ac:dyDescent="0.25">
      <c r="A377" s="136" t="s">
        <v>6315</v>
      </c>
      <c r="B377" s="137"/>
      <c r="C377" s="137" t="s">
        <v>5476</v>
      </c>
      <c r="D377" s="137"/>
    </row>
    <row r="378" spans="1:4" s="136" customFormat="1" ht="50.25" customHeight="1" x14ac:dyDescent="0.25">
      <c r="A378" s="136" t="s">
        <v>6316</v>
      </c>
      <c r="B378" s="137"/>
      <c r="C378" s="137" t="s">
        <v>5477</v>
      </c>
      <c r="D378" s="137"/>
    </row>
    <row r="379" spans="1:4" s="136" customFormat="1" ht="50.25" customHeight="1" x14ac:dyDescent="0.25">
      <c r="A379" s="136" t="s">
        <v>6317</v>
      </c>
      <c r="B379" s="137"/>
      <c r="C379" s="137" t="s">
        <v>5478</v>
      </c>
      <c r="D379" s="137"/>
    </row>
    <row r="380" spans="1:4" s="136" customFormat="1" ht="50.25" customHeight="1" x14ac:dyDescent="0.25">
      <c r="A380" s="136" t="s">
        <v>6318</v>
      </c>
      <c r="B380" s="137"/>
      <c r="C380" s="137" t="s">
        <v>5479</v>
      </c>
      <c r="D380" s="137"/>
    </row>
    <row r="381" spans="1:4" s="136" customFormat="1" ht="50.25" customHeight="1" x14ac:dyDescent="0.25">
      <c r="A381" s="136" t="s">
        <v>6319</v>
      </c>
      <c r="B381" s="137" t="s">
        <v>5191</v>
      </c>
      <c r="C381" s="137"/>
      <c r="D381" s="137"/>
    </row>
    <row r="382" spans="1:4" s="136" customFormat="1" ht="50.25" customHeight="1" x14ac:dyDescent="0.25">
      <c r="A382" s="136" t="s">
        <v>6321</v>
      </c>
      <c r="B382" s="137"/>
      <c r="C382" s="137" t="s">
        <v>5480</v>
      </c>
      <c r="D382" s="137"/>
    </row>
    <row r="383" spans="1:4" s="136" customFormat="1" ht="50.25" customHeight="1" x14ac:dyDescent="0.25">
      <c r="A383" s="136" t="s">
        <v>6320</v>
      </c>
      <c r="B383" s="137" t="s">
        <v>5192</v>
      </c>
      <c r="C383" s="137"/>
      <c r="D383" s="137"/>
    </row>
    <row r="384" spans="1:4" s="136" customFormat="1" ht="50.25" customHeight="1" x14ac:dyDescent="0.25">
      <c r="A384" s="136" t="s">
        <v>6322</v>
      </c>
      <c r="B384" s="137"/>
      <c r="C384" s="137" t="s">
        <v>5481</v>
      </c>
      <c r="D384" s="137"/>
    </row>
    <row r="385" spans="1:4" s="136" customFormat="1" ht="50.25" customHeight="1" x14ac:dyDescent="0.25">
      <c r="A385" s="136" t="s">
        <v>6323</v>
      </c>
      <c r="B385" s="137" t="s">
        <v>5193</v>
      </c>
      <c r="C385" s="137"/>
      <c r="D385" s="137"/>
    </row>
    <row r="386" spans="1:4" s="136" customFormat="1" ht="50.25" customHeight="1" x14ac:dyDescent="0.25">
      <c r="A386" s="136" t="s">
        <v>6324</v>
      </c>
      <c r="B386" s="137"/>
      <c r="C386" s="137" t="s">
        <v>5478</v>
      </c>
      <c r="D386" s="137"/>
    </row>
    <row r="387" spans="1:4" s="136" customFormat="1" ht="50.25" customHeight="1" x14ac:dyDescent="0.25">
      <c r="A387" s="136" t="s">
        <v>6325</v>
      </c>
      <c r="B387" s="137"/>
      <c r="C387" s="137" t="s">
        <v>5482</v>
      </c>
      <c r="D387" s="137"/>
    </row>
    <row r="388" spans="1:4" s="136" customFormat="1" ht="50.25" customHeight="1" x14ac:dyDescent="0.25">
      <c r="A388" s="136" t="s">
        <v>6326</v>
      </c>
      <c r="B388" s="137" t="s">
        <v>5194</v>
      </c>
      <c r="C388" s="137"/>
      <c r="D388" s="137"/>
    </row>
    <row r="389" spans="1:4" s="136" customFormat="1" ht="50.25" customHeight="1" x14ac:dyDescent="0.25">
      <c r="A389" s="136" t="s">
        <v>6327</v>
      </c>
      <c r="B389" s="137"/>
      <c r="C389" s="137" t="s">
        <v>5483</v>
      </c>
      <c r="D389" s="137"/>
    </row>
    <row r="390" spans="1:4" s="136" customFormat="1" ht="50.25" customHeight="1" x14ac:dyDescent="0.25">
      <c r="A390" s="136" t="s">
        <v>6328</v>
      </c>
      <c r="B390" s="137"/>
      <c r="C390" s="137" t="s">
        <v>5484</v>
      </c>
      <c r="D390" s="137"/>
    </row>
    <row r="391" spans="1:4" s="136" customFormat="1" ht="50.25" customHeight="1" x14ac:dyDescent="0.25">
      <c r="A391" s="136" t="s">
        <v>6329</v>
      </c>
      <c r="B391" s="137" t="s">
        <v>5195</v>
      </c>
      <c r="C391" s="137"/>
      <c r="D391" s="137"/>
    </row>
    <row r="392" spans="1:4" s="136" customFormat="1" ht="50.25" customHeight="1" x14ac:dyDescent="0.25">
      <c r="A392" s="136" t="s">
        <v>6330</v>
      </c>
      <c r="B392" s="137"/>
      <c r="C392" s="137" t="s">
        <v>5483</v>
      </c>
      <c r="D392" s="137"/>
    </row>
    <row r="393" spans="1:4" s="136" customFormat="1" ht="50.25" customHeight="1" x14ac:dyDescent="0.25">
      <c r="A393" s="136" t="s">
        <v>6331</v>
      </c>
      <c r="B393" s="137"/>
      <c r="C393" s="137" t="s">
        <v>5485</v>
      </c>
      <c r="D393" s="137"/>
    </row>
    <row r="394" spans="1:4" s="136" customFormat="1" ht="50.25" customHeight="1" x14ac:dyDescent="0.25">
      <c r="A394" s="136" t="s">
        <v>6332</v>
      </c>
      <c r="B394" s="137" t="s">
        <v>5196</v>
      </c>
      <c r="C394" s="137"/>
      <c r="D394" s="137"/>
    </row>
    <row r="395" spans="1:4" s="136" customFormat="1" ht="50.25" customHeight="1" x14ac:dyDescent="0.25">
      <c r="A395" s="136" t="s">
        <v>6333</v>
      </c>
      <c r="B395" s="137"/>
      <c r="C395" s="137" t="s">
        <v>5486</v>
      </c>
      <c r="D395" s="137"/>
    </row>
    <row r="396" spans="1:4" s="136" customFormat="1" ht="50.25" customHeight="1" x14ac:dyDescent="0.25">
      <c r="A396" s="136" t="s">
        <v>6334</v>
      </c>
      <c r="B396" s="137"/>
      <c r="C396" s="137" t="s">
        <v>5487</v>
      </c>
      <c r="D396" s="137"/>
    </row>
    <row r="397" spans="1:4" s="136" customFormat="1" ht="50.25" customHeight="1" x14ac:dyDescent="0.25">
      <c r="A397" s="136" t="s">
        <v>6335</v>
      </c>
      <c r="B397" s="137" t="s">
        <v>5197</v>
      </c>
      <c r="C397" s="137"/>
      <c r="D397" s="137"/>
    </row>
    <row r="398" spans="1:4" s="136" customFormat="1" ht="50.25" customHeight="1" x14ac:dyDescent="0.25">
      <c r="A398" s="136" t="s">
        <v>6336</v>
      </c>
      <c r="B398" s="137" t="s">
        <v>5198</v>
      </c>
      <c r="C398" s="137"/>
      <c r="D398" s="137"/>
    </row>
    <row r="399" spans="1:4" s="136" customFormat="1" ht="50.25" customHeight="1" x14ac:dyDescent="0.25">
      <c r="A399" s="136" t="s">
        <v>6337</v>
      </c>
      <c r="B399" s="137"/>
      <c r="C399" s="137" t="s">
        <v>5488</v>
      </c>
      <c r="D399" s="137"/>
    </row>
    <row r="400" spans="1:4" s="136" customFormat="1" ht="50.25" customHeight="1" x14ac:dyDescent="0.25">
      <c r="A400" s="136" t="s">
        <v>6338</v>
      </c>
      <c r="B400" s="137"/>
      <c r="C400" s="137" t="s">
        <v>5489</v>
      </c>
      <c r="D400" s="137"/>
    </row>
    <row r="401" spans="1:4" s="136" customFormat="1" ht="50.25" customHeight="1" x14ac:dyDescent="0.25">
      <c r="A401" s="136" t="s">
        <v>6339</v>
      </c>
      <c r="B401" s="137" t="s">
        <v>5199</v>
      </c>
      <c r="C401" s="137"/>
      <c r="D401" s="137"/>
    </row>
    <row r="402" spans="1:4" s="136" customFormat="1" ht="50.25" customHeight="1" x14ac:dyDescent="0.25">
      <c r="A402" s="136" t="s">
        <v>6340</v>
      </c>
      <c r="B402" s="137" t="s">
        <v>5200</v>
      </c>
      <c r="C402" s="137"/>
      <c r="D402" s="137"/>
    </row>
    <row r="403" spans="1:4" s="136" customFormat="1" ht="50.25" customHeight="1" x14ac:dyDescent="0.25">
      <c r="A403" s="136" t="s">
        <v>6341</v>
      </c>
      <c r="B403" s="137"/>
      <c r="C403" s="137" t="s">
        <v>5490</v>
      </c>
      <c r="D403" s="137"/>
    </row>
    <row r="404" spans="1:4" s="136" customFormat="1" ht="50.25" customHeight="1" x14ac:dyDescent="0.25">
      <c r="A404" s="136" t="s">
        <v>6342</v>
      </c>
      <c r="B404" s="137"/>
      <c r="C404" s="137" t="s">
        <v>5491</v>
      </c>
      <c r="D404" s="137"/>
    </row>
    <row r="405" spans="1:4" s="136" customFormat="1" ht="50.25" customHeight="1" x14ac:dyDescent="0.25">
      <c r="A405" s="136" t="s">
        <v>6343</v>
      </c>
      <c r="B405" s="137"/>
      <c r="C405" s="137" t="s">
        <v>5492</v>
      </c>
      <c r="D405" s="137"/>
    </row>
    <row r="406" spans="1:4" s="136" customFormat="1" ht="50.25" customHeight="1" x14ac:dyDescent="0.25">
      <c r="A406" s="136" t="s">
        <v>6344</v>
      </c>
      <c r="B406" s="137"/>
      <c r="C406" s="137" t="s">
        <v>5493</v>
      </c>
      <c r="D406" s="137"/>
    </row>
    <row r="407" spans="1:4" s="136" customFormat="1" ht="50.25" customHeight="1" x14ac:dyDescent="0.25">
      <c r="A407" s="136" t="s">
        <v>6345</v>
      </c>
      <c r="B407" s="137"/>
      <c r="C407" s="137" t="s">
        <v>5494</v>
      </c>
      <c r="D407" s="137"/>
    </row>
    <row r="408" spans="1:4" s="136" customFormat="1" ht="50.25" customHeight="1" x14ac:dyDescent="0.25">
      <c r="A408" s="136" t="s">
        <v>6346</v>
      </c>
      <c r="B408" s="137"/>
      <c r="C408" s="137" t="s">
        <v>5495</v>
      </c>
      <c r="D408" s="137"/>
    </row>
  </sheetData>
  <phoneticPr fontId="20"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48777-A1A0-4E12-8133-463D773BEC4B}">
  <sheetPr>
    <tabColor rgb="FF7030A0"/>
  </sheetPr>
  <dimension ref="A1:I369"/>
  <sheetViews>
    <sheetView workbookViewId="0">
      <selection activeCell="E9" sqref="E9"/>
    </sheetView>
  </sheetViews>
  <sheetFormatPr defaultColWidth="9" defaultRowHeight="15" x14ac:dyDescent="0.25"/>
  <cols>
    <col min="1" max="1" width="9.625" style="72" customWidth="1"/>
    <col min="2" max="2" width="46.125" style="72" customWidth="1"/>
    <col min="3" max="3" width="54.125" style="72" customWidth="1"/>
    <col min="4" max="4" width="10" style="116" customWidth="1"/>
    <col min="5" max="5" width="43.875" style="71" customWidth="1"/>
    <col min="6" max="6" width="48.5" style="72" customWidth="1"/>
    <col min="7" max="16384" width="9" style="72"/>
  </cols>
  <sheetData>
    <row r="1" spans="1:5" s="68" customFormat="1" x14ac:dyDescent="0.25">
      <c r="A1" s="67" t="s">
        <v>5879</v>
      </c>
      <c r="B1" s="67" t="s">
        <v>5880</v>
      </c>
      <c r="C1" s="67" t="s">
        <v>5881</v>
      </c>
      <c r="D1" s="67" t="s">
        <v>5882</v>
      </c>
    </row>
    <row r="2" spans="1:5" x14ac:dyDescent="0.25">
      <c r="A2" s="69"/>
      <c r="B2" s="69" t="s">
        <v>5063</v>
      </c>
      <c r="C2" s="69"/>
      <c r="D2" s="70"/>
    </row>
    <row r="3" spans="1:5" s="66" customFormat="1" ht="24" x14ac:dyDescent="0.2">
      <c r="A3" s="73" t="s">
        <v>5064</v>
      </c>
      <c r="B3" s="73" t="s">
        <v>5065</v>
      </c>
      <c r="C3" s="73"/>
      <c r="D3" s="74"/>
      <c r="E3" s="75"/>
    </row>
    <row r="4" spans="1:5" s="66" customFormat="1" ht="48" x14ac:dyDescent="0.2">
      <c r="A4" s="76" t="s">
        <v>5066</v>
      </c>
      <c r="B4" s="76"/>
      <c r="C4" s="77" t="s">
        <v>5883</v>
      </c>
      <c r="D4" s="78" t="s">
        <v>5764</v>
      </c>
      <c r="E4" s="75"/>
    </row>
    <row r="5" spans="1:5" s="66" customFormat="1" ht="50.25" customHeight="1" x14ac:dyDescent="0.2">
      <c r="A5" s="73" t="s">
        <v>5497</v>
      </c>
      <c r="B5" s="73"/>
      <c r="C5" s="79" t="s">
        <v>5884</v>
      </c>
      <c r="D5" s="74"/>
      <c r="E5" s="75"/>
    </row>
    <row r="6" spans="1:5" s="66" customFormat="1" ht="36" x14ac:dyDescent="0.2">
      <c r="A6" s="76" t="s">
        <v>5067</v>
      </c>
      <c r="B6" s="76"/>
      <c r="C6" s="77" t="s">
        <v>5885</v>
      </c>
      <c r="D6" s="78"/>
      <c r="E6" s="75"/>
    </row>
    <row r="7" spans="1:5" s="66" customFormat="1" ht="36" x14ac:dyDescent="0.2">
      <c r="A7" s="73" t="s">
        <v>5068</v>
      </c>
      <c r="B7" s="73"/>
      <c r="C7" s="79" t="s">
        <v>5886</v>
      </c>
      <c r="D7" s="74"/>
      <c r="E7" s="75"/>
    </row>
    <row r="8" spans="1:5" s="66" customFormat="1" ht="60" x14ac:dyDescent="0.2">
      <c r="A8" s="76" t="s">
        <v>5069</v>
      </c>
      <c r="B8" s="76"/>
      <c r="C8" s="80" t="s">
        <v>5887</v>
      </c>
      <c r="D8" s="78"/>
      <c r="E8" s="75"/>
    </row>
    <row r="9" spans="1:5" s="66" customFormat="1" ht="36" x14ac:dyDescent="0.2">
      <c r="A9" s="73" t="s">
        <v>5070</v>
      </c>
      <c r="B9" s="73" t="s">
        <v>5071</v>
      </c>
      <c r="C9" s="73"/>
      <c r="D9" s="74"/>
      <c r="E9" s="75"/>
    </row>
    <row r="10" spans="1:5" s="66" customFormat="1" ht="36" x14ac:dyDescent="0.2">
      <c r="A10" s="81" t="s">
        <v>5072</v>
      </c>
      <c r="B10" s="81"/>
      <c r="C10" s="82" t="s">
        <v>5888</v>
      </c>
      <c r="D10" s="78"/>
      <c r="E10" s="75"/>
    </row>
    <row r="11" spans="1:5" s="66" customFormat="1" ht="48" x14ac:dyDescent="0.2">
      <c r="A11" s="83" t="s">
        <v>5073</v>
      </c>
      <c r="B11" s="83"/>
      <c r="C11" s="84" t="s">
        <v>5889</v>
      </c>
      <c r="D11" s="74"/>
      <c r="E11" s="75"/>
    </row>
    <row r="12" spans="1:5" s="66" customFormat="1" ht="36" x14ac:dyDescent="0.2">
      <c r="A12" s="81" t="s">
        <v>5074</v>
      </c>
      <c r="B12" s="81"/>
      <c r="C12" s="82" t="s">
        <v>5890</v>
      </c>
      <c r="D12" s="78"/>
      <c r="E12" s="75"/>
    </row>
    <row r="13" spans="1:5" s="66" customFormat="1" ht="36" x14ac:dyDescent="0.2">
      <c r="A13" s="83" t="s">
        <v>5075</v>
      </c>
      <c r="B13" s="83"/>
      <c r="C13" s="85" t="s">
        <v>5891</v>
      </c>
      <c r="D13" s="74"/>
      <c r="E13" s="75"/>
    </row>
    <row r="14" spans="1:5" s="66" customFormat="1" ht="36" x14ac:dyDescent="0.2">
      <c r="A14" s="76" t="s">
        <v>5076</v>
      </c>
      <c r="B14" s="76" t="s">
        <v>5077</v>
      </c>
      <c r="C14" s="76"/>
      <c r="D14" s="78"/>
      <c r="E14" s="75"/>
    </row>
    <row r="15" spans="1:5" s="66" customFormat="1" ht="48" x14ac:dyDescent="0.2">
      <c r="A15" s="83" t="s">
        <v>5078</v>
      </c>
      <c r="B15" s="83"/>
      <c r="C15" s="84" t="s">
        <v>5892</v>
      </c>
      <c r="D15" s="74"/>
      <c r="E15" s="75"/>
    </row>
    <row r="16" spans="1:5" s="66" customFormat="1" ht="39" customHeight="1" x14ac:dyDescent="0.2">
      <c r="A16" s="81" t="s">
        <v>5079</v>
      </c>
      <c r="B16" s="81"/>
      <c r="C16" s="82" t="s">
        <v>5893</v>
      </c>
      <c r="D16" s="78"/>
      <c r="E16" s="75"/>
    </row>
    <row r="17" spans="1:5" s="66" customFormat="1" ht="49.5" customHeight="1" x14ac:dyDescent="0.2">
      <c r="A17" s="83" t="s">
        <v>5080</v>
      </c>
      <c r="B17" s="83"/>
      <c r="C17" s="84" t="s">
        <v>5894</v>
      </c>
      <c r="D17" s="74" t="s">
        <v>5765</v>
      </c>
      <c r="E17" s="75"/>
    </row>
    <row r="18" spans="1:5" s="66" customFormat="1" ht="48" x14ac:dyDescent="0.2">
      <c r="A18" s="81" t="s">
        <v>5081</v>
      </c>
      <c r="B18" s="81"/>
      <c r="C18" s="86" t="s">
        <v>5895</v>
      </c>
      <c r="D18" s="78"/>
      <c r="E18" s="75"/>
    </row>
    <row r="19" spans="1:5" s="66" customFormat="1" ht="49.5" customHeight="1" x14ac:dyDescent="0.2">
      <c r="A19" s="85" t="s">
        <v>5082</v>
      </c>
      <c r="B19" s="85"/>
      <c r="C19" s="87" t="s">
        <v>5896</v>
      </c>
      <c r="D19" s="74"/>
      <c r="E19" s="75"/>
    </row>
    <row r="20" spans="1:5" s="66" customFormat="1" ht="36" x14ac:dyDescent="0.2">
      <c r="A20" s="76" t="s">
        <v>5083</v>
      </c>
      <c r="B20" s="76" t="s">
        <v>5084</v>
      </c>
      <c r="C20" s="76"/>
      <c r="D20" s="78"/>
      <c r="E20" s="75"/>
    </row>
    <row r="21" spans="1:5" s="66" customFormat="1" ht="26.25" customHeight="1" x14ac:dyDescent="0.2">
      <c r="A21" s="83" t="s">
        <v>5085</v>
      </c>
      <c r="B21" s="83"/>
      <c r="C21" s="84" t="s">
        <v>5897</v>
      </c>
      <c r="D21" s="74"/>
      <c r="E21" s="75"/>
    </row>
    <row r="22" spans="1:5" s="66" customFormat="1" ht="48" x14ac:dyDescent="0.2">
      <c r="A22" s="81" t="s">
        <v>5086</v>
      </c>
      <c r="B22" s="81"/>
      <c r="C22" s="82" t="s">
        <v>5898</v>
      </c>
      <c r="D22" s="78"/>
      <c r="E22" s="75"/>
    </row>
    <row r="23" spans="1:5" s="66" customFormat="1" ht="48" x14ac:dyDescent="0.2">
      <c r="A23" s="83" t="s">
        <v>5087</v>
      </c>
      <c r="B23" s="83"/>
      <c r="C23" s="84" t="s">
        <v>5899</v>
      </c>
      <c r="D23" s="74"/>
      <c r="E23" s="75"/>
    </row>
    <row r="24" spans="1:5" s="66" customFormat="1" ht="36" x14ac:dyDescent="0.2">
      <c r="A24" s="81" t="s">
        <v>5088</v>
      </c>
      <c r="B24" s="81"/>
      <c r="C24" s="82" t="s">
        <v>5900</v>
      </c>
      <c r="D24" s="78"/>
      <c r="E24" s="75"/>
    </row>
    <row r="25" spans="1:5" s="66" customFormat="1" ht="36" x14ac:dyDescent="0.2">
      <c r="A25" s="73" t="s">
        <v>5089</v>
      </c>
      <c r="B25" s="73"/>
      <c r="C25" s="87" t="s">
        <v>5901</v>
      </c>
      <c r="D25" s="74" t="s">
        <v>5766</v>
      </c>
      <c r="E25" s="75"/>
    </row>
    <row r="26" spans="1:5" s="66" customFormat="1" ht="36" x14ac:dyDescent="0.2">
      <c r="A26" s="76" t="s">
        <v>5090</v>
      </c>
      <c r="B26" s="76"/>
      <c r="C26" s="88" t="s">
        <v>5902</v>
      </c>
      <c r="D26" s="78"/>
      <c r="E26" s="75"/>
    </row>
    <row r="27" spans="1:5" s="66" customFormat="1" ht="48" x14ac:dyDescent="0.2">
      <c r="A27" s="73" t="s">
        <v>5091</v>
      </c>
      <c r="B27" s="73"/>
      <c r="C27" s="87" t="s">
        <v>5903</v>
      </c>
      <c r="D27" s="74"/>
      <c r="E27" s="75"/>
    </row>
    <row r="28" spans="1:5" s="66" customFormat="1" ht="27" customHeight="1" x14ac:dyDescent="0.2">
      <c r="A28" s="76" t="s">
        <v>5092</v>
      </c>
      <c r="B28" s="76" t="s">
        <v>5093</v>
      </c>
      <c r="C28" s="76"/>
      <c r="D28" s="78"/>
      <c r="E28" s="75"/>
    </row>
    <row r="29" spans="1:5" s="66" customFormat="1" ht="60" x14ac:dyDescent="0.2">
      <c r="A29" s="83" t="s">
        <v>5094</v>
      </c>
      <c r="B29" s="83"/>
      <c r="C29" s="84" t="s">
        <v>5904</v>
      </c>
      <c r="D29" s="74"/>
      <c r="E29" s="75"/>
    </row>
    <row r="30" spans="1:5" s="66" customFormat="1" ht="72" x14ac:dyDescent="0.2">
      <c r="A30" s="81" t="s">
        <v>5095</v>
      </c>
      <c r="B30" s="81"/>
      <c r="C30" s="82" t="s">
        <v>5905</v>
      </c>
      <c r="D30" s="78"/>
      <c r="E30" s="75"/>
    </row>
    <row r="31" spans="1:5" s="66" customFormat="1" ht="48" x14ac:dyDescent="0.2">
      <c r="A31" s="89" t="s">
        <v>5096</v>
      </c>
      <c r="B31" s="89"/>
      <c r="C31" s="84" t="s">
        <v>5906</v>
      </c>
      <c r="D31" s="74"/>
      <c r="E31" s="75"/>
    </row>
    <row r="32" spans="1:5" s="66" customFormat="1" ht="48" x14ac:dyDescent="0.2">
      <c r="A32" s="81" t="s">
        <v>5097</v>
      </c>
      <c r="B32" s="81"/>
      <c r="C32" s="82" t="s">
        <v>5907</v>
      </c>
      <c r="D32" s="78"/>
      <c r="E32" s="75"/>
    </row>
    <row r="33" spans="1:6" s="66" customFormat="1" ht="60" x14ac:dyDescent="0.2">
      <c r="A33" s="83" t="s">
        <v>5098</v>
      </c>
      <c r="B33" s="83"/>
      <c r="C33" s="84" t="s">
        <v>5908</v>
      </c>
      <c r="D33" s="74"/>
      <c r="E33" s="75"/>
    </row>
    <row r="34" spans="1:6" x14ac:dyDescent="0.25">
      <c r="A34" s="69"/>
      <c r="B34" s="69" t="s">
        <v>5099</v>
      </c>
      <c r="C34" s="69"/>
      <c r="D34" s="70"/>
      <c r="E34" s="75"/>
    </row>
    <row r="35" spans="1:6" ht="36" x14ac:dyDescent="0.25">
      <c r="A35" s="73" t="s">
        <v>5909</v>
      </c>
      <c r="B35" s="73" t="s">
        <v>5101</v>
      </c>
      <c r="C35" s="73"/>
      <c r="D35" s="74"/>
      <c r="E35" s="75"/>
    </row>
    <row r="36" spans="1:6" ht="39" customHeight="1" x14ac:dyDescent="0.25">
      <c r="A36" s="81"/>
      <c r="B36" s="81"/>
      <c r="C36" s="82" t="s">
        <v>5910</v>
      </c>
      <c r="D36" s="78"/>
      <c r="E36" s="75"/>
    </row>
    <row r="37" spans="1:6" ht="24" x14ac:dyDescent="0.25">
      <c r="A37" s="83"/>
      <c r="B37" s="83"/>
      <c r="C37" s="84" t="s">
        <v>5911</v>
      </c>
      <c r="D37" s="74"/>
      <c r="E37" s="75"/>
    </row>
    <row r="38" spans="1:6" ht="24" x14ac:dyDescent="0.25">
      <c r="A38" s="81"/>
      <c r="B38" s="81"/>
      <c r="C38" s="82" t="s">
        <v>5912</v>
      </c>
      <c r="D38" s="78"/>
      <c r="E38" s="75"/>
    </row>
    <row r="39" spans="1:6" ht="48" x14ac:dyDescent="0.25">
      <c r="A39" s="83"/>
      <c r="B39" s="83"/>
      <c r="C39" s="84" t="s">
        <v>5913</v>
      </c>
      <c r="D39" s="74"/>
      <c r="E39" s="75"/>
    </row>
    <row r="40" spans="1:6" ht="39" customHeight="1" x14ac:dyDescent="0.25">
      <c r="A40" s="76" t="s">
        <v>5914</v>
      </c>
      <c r="B40" s="76" t="s">
        <v>5102</v>
      </c>
      <c r="C40" s="76"/>
      <c r="D40" s="78"/>
      <c r="E40" s="75"/>
    </row>
    <row r="41" spans="1:6" ht="36" x14ac:dyDescent="0.25">
      <c r="A41" s="83"/>
      <c r="B41" s="83"/>
      <c r="C41" s="84" t="s">
        <v>5915</v>
      </c>
      <c r="D41" s="74" t="s">
        <v>5767</v>
      </c>
      <c r="E41" s="75"/>
      <c r="F41" s="90"/>
    </row>
    <row r="42" spans="1:6" x14ac:dyDescent="0.25">
      <c r="A42" s="81"/>
      <c r="B42" s="81"/>
      <c r="C42" s="82"/>
      <c r="D42" s="78" t="s">
        <v>5916</v>
      </c>
      <c r="E42" s="75"/>
    </row>
    <row r="43" spans="1:6" x14ac:dyDescent="0.25">
      <c r="A43" s="83"/>
      <c r="B43" s="83"/>
      <c r="C43" s="84"/>
      <c r="D43" s="74" t="s">
        <v>5917</v>
      </c>
      <c r="E43" s="75"/>
    </row>
    <row r="44" spans="1:6" ht="36" x14ac:dyDescent="0.25">
      <c r="A44" s="81"/>
      <c r="B44" s="81"/>
      <c r="C44" s="82" t="s">
        <v>5918</v>
      </c>
      <c r="D44" s="78" t="s">
        <v>5764</v>
      </c>
      <c r="E44" s="75"/>
    </row>
    <row r="45" spans="1:6" ht="48" x14ac:dyDescent="0.25">
      <c r="A45" s="83"/>
      <c r="B45" s="83"/>
      <c r="C45" s="84" t="s">
        <v>5919</v>
      </c>
      <c r="D45" s="74"/>
      <c r="E45" s="75"/>
    </row>
    <row r="46" spans="1:6" ht="24" customHeight="1" x14ac:dyDescent="0.25">
      <c r="A46" s="81"/>
      <c r="B46" s="81"/>
      <c r="C46" s="82" t="s">
        <v>5920</v>
      </c>
      <c r="D46" s="78"/>
      <c r="E46" s="75"/>
    </row>
    <row r="47" spans="1:6" ht="52.5" customHeight="1" x14ac:dyDescent="0.25">
      <c r="A47" s="85"/>
      <c r="B47" s="85"/>
      <c r="C47" s="87" t="s">
        <v>5921</v>
      </c>
      <c r="D47" s="74" t="s">
        <v>5767</v>
      </c>
      <c r="E47" s="75"/>
      <c r="F47" s="90"/>
    </row>
    <row r="48" spans="1:6" x14ac:dyDescent="0.25">
      <c r="A48" s="91"/>
      <c r="B48" s="91"/>
      <c r="C48" s="88"/>
      <c r="D48" s="78" t="s">
        <v>5916</v>
      </c>
      <c r="E48" s="75"/>
    </row>
    <row r="49" spans="1:5" ht="36" x14ac:dyDescent="0.25">
      <c r="A49" s="85"/>
      <c r="B49" s="85"/>
      <c r="C49" s="87" t="s">
        <v>5922</v>
      </c>
      <c r="D49" s="74" t="s">
        <v>5767</v>
      </c>
      <c r="E49" s="75"/>
    </row>
    <row r="50" spans="1:5" ht="24" x14ac:dyDescent="0.25">
      <c r="A50" s="91"/>
      <c r="B50" s="91"/>
      <c r="C50" s="88" t="s">
        <v>5923</v>
      </c>
      <c r="D50" s="78"/>
      <c r="E50" s="75"/>
    </row>
    <row r="51" spans="1:5" ht="48" x14ac:dyDescent="0.25">
      <c r="A51" s="85"/>
      <c r="B51" s="85"/>
      <c r="C51" s="87" t="s">
        <v>5924</v>
      </c>
      <c r="D51" s="74" t="s">
        <v>5767</v>
      </c>
      <c r="E51" s="75"/>
    </row>
    <row r="52" spans="1:5" ht="48" x14ac:dyDescent="0.25">
      <c r="A52" s="91"/>
      <c r="B52" s="91"/>
      <c r="C52" s="88" t="s">
        <v>5925</v>
      </c>
      <c r="D52" s="78"/>
      <c r="E52" s="75"/>
    </row>
    <row r="53" spans="1:5" ht="24" x14ac:dyDescent="0.25">
      <c r="A53" s="85"/>
      <c r="B53" s="85"/>
      <c r="C53" s="87" t="s">
        <v>5926</v>
      </c>
      <c r="D53" s="74" t="s">
        <v>5767</v>
      </c>
      <c r="E53" s="75"/>
    </row>
    <row r="54" spans="1:5" ht="24" x14ac:dyDescent="0.25">
      <c r="A54" s="88" t="s">
        <v>5927</v>
      </c>
      <c r="B54" s="88"/>
      <c r="C54" s="88" t="s">
        <v>5928</v>
      </c>
      <c r="D54" s="78"/>
      <c r="E54" s="75"/>
    </row>
    <row r="55" spans="1:5" ht="24" x14ac:dyDescent="0.25">
      <c r="A55" s="73" t="s">
        <v>5929</v>
      </c>
      <c r="B55" s="73" t="s">
        <v>5103</v>
      </c>
      <c r="C55" s="73"/>
      <c r="D55" s="74"/>
      <c r="E55" s="75"/>
    </row>
    <row r="56" spans="1:5" ht="48" x14ac:dyDescent="0.25">
      <c r="A56" s="81"/>
      <c r="B56" s="81"/>
      <c r="C56" s="82" t="s">
        <v>5930</v>
      </c>
      <c r="D56" s="78" t="s">
        <v>5768</v>
      </c>
      <c r="E56" s="75"/>
    </row>
    <row r="57" spans="1:5" ht="48" x14ac:dyDescent="0.25">
      <c r="A57" s="83"/>
      <c r="B57" s="83"/>
      <c r="C57" s="84" t="s">
        <v>5931</v>
      </c>
      <c r="D57" s="74"/>
      <c r="E57" s="75"/>
    </row>
    <row r="58" spans="1:5" ht="36" x14ac:dyDescent="0.25">
      <c r="A58" s="81"/>
      <c r="B58" s="81"/>
      <c r="C58" s="82" t="s">
        <v>5932</v>
      </c>
      <c r="D58" s="78"/>
      <c r="E58" s="75"/>
    </row>
    <row r="59" spans="1:5" ht="48" x14ac:dyDescent="0.25">
      <c r="A59" s="83"/>
      <c r="B59" s="83"/>
      <c r="C59" s="84" t="s">
        <v>5919</v>
      </c>
      <c r="D59" s="74"/>
      <c r="E59" s="75"/>
    </row>
    <row r="60" spans="1:5" ht="39" customHeight="1" x14ac:dyDescent="0.25">
      <c r="A60" s="81"/>
      <c r="B60" s="81"/>
      <c r="C60" s="82" t="s">
        <v>5933</v>
      </c>
      <c r="D60" s="78"/>
      <c r="E60" s="75"/>
    </row>
    <row r="61" spans="1:5" ht="48" x14ac:dyDescent="0.25">
      <c r="A61" s="85"/>
      <c r="B61" s="85"/>
      <c r="C61" s="87" t="s">
        <v>5934</v>
      </c>
      <c r="D61" s="74"/>
      <c r="E61" s="75"/>
    </row>
    <row r="62" spans="1:5" ht="48" x14ac:dyDescent="0.25">
      <c r="A62" s="91"/>
      <c r="B62" s="91"/>
      <c r="C62" s="88" t="s">
        <v>5935</v>
      </c>
      <c r="D62" s="78"/>
      <c r="E62" s="75"/>
    </row>
    <row r="63" spans="1:5" ht="48" x14ac:dyDescent="0.25">
      <c r="A63" s="92"/>
      <c r="B63" s="92"/>
      <c r="C63" s="93" t="s">
        <v>5936</v>
      </c>
      <c r="D63" s="74"/>
      <c r="E63" s="75"/>
    </row>
    <row r="64" spans="1:5" ht="24" x14ac:dyDescent="0.25">
      <c r="A64" s="94"/>
      <c r="B64" s="94"/>
      <c r="C64" s="95" t="s">
        <v>5937</v>
      </c>
      <c r="D64" s="78"/>
      <c r="E64" s="75"/>
    </row>
    <row r="65" spans="1:7" ht="48" x14ac:dyDescent="0.25">
      <c r="A65" s="92"/>
      <c r="B65" s="92"/>
      <c r="C65" s="93" t="s">
        <v>5938</v>
      </c>
      <c r="D65" s="74" t="s">
        <v>5767</v>
      </c>
      <c r="E65" s="75"/>
    </row>
    <row r="66" spans="1:7" x14ac:dyDescent="0.25">
      <c r="A66" s="94"/>
      <c r="B66" s="94"/>
      <c r="C66" s="96"/>
      <c r="D66" s="78" t="s">
        <v>5769</v>
      </c>
      <c r="E66" s="75"/>
    </row>
    <row r="67" spans="1:7" ht="40.5" customHeight="1" x14ac:dyDescent="0.25">
      <c r="A67" s="92"/>
      <c r="B67" s="92"/>
      <c r="C67" s="93" t="s">
        <v>5939</v>
      </c>
      <c r="D67" s="74" t="s">
        <v>5767</v>
      </c>
      <c r="E67" s="75"/>
    </row>
    <row r="68" spans="1:7" x14ac:dyDescent="0.25">
      <c r="A68" s="69"/>
      <c r="B68" s="69" t="s">
        <v>5104</v>
      </c>
      <c r="C68" s="69"/>
      <c r="D68" s="70"/>
      <c r="E68" s="75"/>
      <c r="F68" s="71"/>
      <c r="G68" s="97"/>
    </row>
    <row r="69" spans="1:7" ht="36" x14ac:dyDescent="0.25">
      <c r="A69" s="73" t="s">
        <v>5940</v>
      </c>
      <c r="B69" s="73" t="s">
        <v>5941</v>
      </c>
      <c r="C69" s="73"/>
      <c r="D69" s="74"/>
      <c r="E69" s="75"/>
      <c r="F69" s="71"/>
      <c r="G69" s="97"/>
    </row>
    <row r="70" spans="1:7" x14ac:dyDescent="0.25">
      <c r="A70" s="98"/>
      <c r="B70" s="98"/>
      <c r="C70" s="99" t="s">
        <v>5105</v>
      </c>
      <c r="D70" s="78"/>
      <c r="E70" s="75"/>
      <c r="F70" s="71"/>
      <c r="G70" s="97"/>
    </row>
    <row r="71" spans="1:7" ht="36" x14ac:dyDescent="0.25">
      <c r="A71" s="73"/>
      <c r="B71" s="73"/>
      <c r="C71" s="84" t="s">
        <v>5942</v>
      </c>
      <c r="D71" s="74" t="s">
        <v>5943</v>
      </c>
      <c r="E71" s="75"/>
      <c r="F71" s="71"/>
      <c r="G71" s="97"/>
    </row>
    <row r="72" spans="1:7" x14ac:dyDescent="0.25">
      <c r="A72" s="98"/>
      <c r="B72" s="98"/>
      <c r="C72" s="100"/>
      <c r="D72" s="78" t="s">
        <v>5944</v>
      </c>
      <c r="E72" s="75"/>
      <c r="F72" s="71"/>
      <c r="G72" s="97"/>
    </row>
    <row r="73" spans="1:7" x14ac:dyDescent="0.25">
      <c r="A73" s="73"/>
      <c r="B73" s="73"/>
      <c r="C73" s="84"/>
      <c r="D73" s="74" t="s">
        <v>5945</v>
      </c>
      <c r="E73" s="75"/>
      <c r="F73" s="71"/>
      <c r="G73" s="97"/>
    </row>
    <row r="74" spans="1:7" x14ac:dyDescent="0.25">
      <c r="A74" s="98"/>
      <c r="B74" s="98"/>
      <c r="C74" s="100"/>
      <c r="D74" s="78" t="s">
        <v>5946</v>
      </c>
      <c r="E74" s="75"/>
      <c r="F74" s="71"/>
      <c r="G74" s="97"/>
    </row>
    <row r="75" spans="1:7" x14ac:dyDescent="0.25">
      <c r="A75" s="73"/>
      <c r="B75" s="73"/>
      <c r="C75" s="84"/>
      <c r="D75" s="74" t="s">
        <v>5947</v>
      </c>
      <c r="E75" s="75"/>
    </row>
    <row r="76" spans="1:7" ht="24" x14ac:dyDescent="0.25">
      <c r="A76" s="98"/>
      <c r="B76" s="98"/>
      <c r="C76" s="100" t="s">
        <v>5948</v>
      </c>
      <c r="D76" s="78" t="s">
        <v>5949</v>
      </c>
      <c r="E76" s="75"/>
    </row>
    <row r="77" spans="1:7" x14ac:dyDescent="0.25">
      <c r="A77" s="73"/>
      <c r="B77" s="73"/>
      <c r="C77" s="84"/>
      <c r="D77" s="74" t="s">
        <v>5950</v>
      </c>
      <c r="E77" s="75"/>
    </row>
    <row r="78" spans="1:7" ht="36" x14ac:dyDescent="0.25">
      <c r="A78" s="98"/>
      <c r="B78" s="98"/>
      <c r="C78" s="100" t="s">
        <v>5951</v>
      </c>
      <c r="D78" s="78" t="s">
        <v>5952</v>
      </c>
      <c r="E78" s="75"/>
    </row>
    <row r="79" spans="1:7" ht="36" x14ac:dyDescent="0.25">
      <c r="A79" s="73"/>
      <c r="B79" s="73"/>
      <c r="C79" s="84" t="s">
        <v>5953</v>
      </c>
      <c r="D79" s="74" t="s">
        <v>5950</v>
      </c>
      <c r="E79" s="75"/>
    </row>
    <row r="80" spans="1:7" x14ac:dyDescent="0.25">
      <c r="A80" s="98"/>
      <c r="B80" s="98"/>
      <c r="C80" s="99" t="s">
        <v>5106</v>
      </c>
      <c r="D80" s="78"/>
      <c r="E80" s="75"/>
    </row>
    <row r="81" spans="1:5" ht="48" x14ac:dyDescent="0.25">
      <c r="A81" s="73"/>
      <c r="B81" s="73"/>
      <c r="C81" s="84" t="s">
        <v>5954</v>
      </c>
      <c r="D81" s="74"/>
      <c r="E81" s="75"/>
    </row>
    <row r="82" spans="1:5" ht="24" x14ac:dyDescent="0.25">
      <c r="A82" s="98"/>
      <c r="B82" s="98"/>
      <c r="C82" s="100" t="s">
        <v>5955</v>
      </c>
      <c r="D82" s="78" t="s">
        <v>5949</v>
      </c>
      <c r="E82" s="75"/>
    </row>
    <row r="83" spans="1:5" ht="24" x14ac:dyDescent="0.25">
      <c r="A83" s="73"/>
      <c r="B83" s="73"/>
      <c r="C83" s="84" t="s">
        <v>5956</v>
      </c>
      <c r="D83" s="74"/>
      <c r="E83" s="75"/>
    </row>
    <row r="84" spans="1:5" x14ac:dyDescent="0.25">
      <c r="A84" s="98"/>
      <c r="B84" s="98"/>
      <c r="C84" s="99" t="s">
        <v>5107</v>
      </c>
      <c r="D84" s="78"/>
      <c r="E84" s="75"/>
    </row>
    <row r="85" spans="1:5" ht="36" x14ac:dyDescent="0.25">
      <c r="A85" s="73"/>
      <c r="B85" s="73"/>
      <c r="C85" s="101" t="s">
        <v>5957</v>
      </c>
      <c r="D85" s="74"/>
      <c r="E85" s="75"/>
    </row>
    <row r="86" spans="1:5" ht="36" x14ac:dyDescent="0.25">
      <c r="A86" s="98"/>
      <c r="B86" s="98"/>
      <c r="C86" s="102" t="s">
        <v>5958</v>
      </c>
      <c r="D86" s="78" t="s">
        <v>5949</v>
      </c>
      <c r="E86" s="75"/>
    </row>
    <row r="87" spans="1:5" ht="24" x14ac:dyDescent="0.25">
      <c r="A87" s="73"/>
      <c r="B87" s="73"/>
      <c r="C87" s="101" t="s">
        <v>5959</v>
      </c>
      <c r="D87" s="74"/>
      <c r="E87" s="75"/>
    </row>
    <row r="88" spans="1:5" x14ac:dyDescent="0.25">
      <c r="A88" s="98"/>
      <c r="B88" s="98"/>
      <c r="C88" s="99" t="s">
        <v>5108</v>
      </c>
      <c r="D88" s="78"/>
      <c r="E88" s="75"/>
    </row>
    <row r="89" spans="1:5" ht="36" x14ac:dyDescent="0.25">
      <c r="A89" s="73"/>
      <c r="B89" s="73"/>
      <c r="C89" s="84" t="s">
        <v>5960</v>
      </c>
      <c r="D89" s="74"/>
      <c r="E89" s="75"/>
    </row>
    <row r="90" spans="1:5" ht="48" x14ac:dyDescent="0.25">
      <c r="A90" s="98"/>
      <c r="B90" s="98"/>
      <c r="C90" s="100" t="s">
        <v>5961</v>
      </c>
      <c r="D90" s="78" t="s">
        <v>5949</v>
      </c>
      <c r="E90" s="75"/>
    </row>
    <row r="91" spans="1:5" ht="24" x14ac:dyDescent="0.25">
      <c r="A91" s="73"/>
      <c r="B91" s="73"/>
      <c r="C91" s="84" t="s">
        <v>5962</v>
      </c>
      <c r="D91" s="74"/>
      <c r="E91" s="75"/>
    </row>
    <row r="92" spans="1:5" x14ac:dyDescent="0.25">
      <c r="A92" s="98"/>
      <c r="B92" s="98"/>
      <c r="C92" s="99" t="s">
        <v>5109</v>
      </c>
      <c r="D92" s="78"/>
      <c r="E92" s="75"/>
    </row>
    <row r="93" spans="1:5" ht="36" x14ac:dyDescent="0.25">
      <c r="A93" s="73"/>
      <c r="B93" s="73"/>
      <c r="C93" s="84" t="s">
        <v>5963</v>
      </c>
      <c r="D93" s="74" t="s">
        <v>5964</v>
      </c>
      <c r="E93" s="75"/>
    </row>
    <row r="94" spans="1:5" ht="24" x14ac:dyDescent="0.25">
      <c r="A94" s="98"/>
      <c r="B94" s="98"/>
      <c r="C94" s="100" t="s">
        <v>5948</v>
      </c>
      <c r="D94" s="78" t="s">
        <v>5950</v>
      </c>
      <c r="E94" s="75"/>
    </row>
    <row r="95" spans="1:5" ht="48" x14ac:dyDescent="0.25">
      <c r="A95" s="73"/>
      <c r="B95" s="73"/>
      <c r="C95" s="87" t="s">
        <v>5965</v>
      </c>
      <c r="D95" s="74" t="s">
        <v>5949</v>
      </c>
      <c r="E95" s="75"/>
    </row>
    <row r="96" spans="1:5" ht="36" x14ac:dyDescent="0.25">
      <c r="A96" s="76" t="s">
        <v>5966</v>
      </c>
      <c r="B96" s="76" t="s">
        <v>5110</v>
      </c>
      <c r="C96" s="98"/>
      <c r="D96" s="78"/>
      <c r="E96" s="75"/>
    </row>
    <row r="97" spans="1:5" ht="48" x14ac:dyDescent="0.25">
      <c r="A97" s="83"/>
      <c r="B97" s="73"/>
      <c r="C97" s="73" t="s">
        <v>5967</v>
      </c>
      <c r="D97" s="74" t="s">
        <v>5968</v>
      </c>
      <c r="E97" s="75"/>
    </row>
    <row r="98" spans="1:5" x14ac:dyDescent="0.25">
      <c r="A98" s="81"/>
      <c r="B98" s="98"/>
      <c r="C98" s="98"/>
      <c r="D98" s="78" t="s">
        <v>5969</v>
      </c>
      <c r="E98" s="75"/>
    </row>
    <row r="99" spans="1:5" ht="36" x14ac:dyDescent="0.25">
      <c r="A99" s="83"/>
      <c r="B99" s="83"/>
      <c r="C99" s="84" t="s">
        <v>5970</v>
      </c>
      <c r="D99" s="74" t="s">
        <v>5968</v>
      </c>
      <c r="E99" s="75"/>
    </row>
    <row r="100" spans="1:5" x14ac:dyDescent="0.25">
      <c r="A100" s="81"/>
      <c r="B100" s="81"/>
      <c r="C100" s="82"/>
      <c r="D100" s="78" t="s">
        <v>5969</v>
      </c>
      <c r="E100" s="75"/>
    </row>
    <row r="101" spans="1:5" x14ac:dyDescent="0.25">
      <c r="A101" s="83"/>
      <c r="B101" s="83"/>
      <c r="C101" s="84"/>
      <c r="D101" s="74" t="s">
        <v>5971</v>
      </c>
      <c r="E101" s="75"/>
    </row>
    <row r="102" spans="1:5" x14ac:dyDescent="0.25">
      <c r="A102" s="81"/>
      <c r="B102" s="81"/>
      <c r="C102" s="82"/>
      <c r="D102" s="78" t="s">
        <v>5972</v>
      </c>
      <c r="E102" s="75"/>
    </row>
    <row r="103" spans="1:5" ht="36" x14ac:dyDescent="0.25">
      <c r="A103" s="83"/>
      <c r="B103" s="83"/>
      <c r="C103" s="84" t="s">
        <v>5973</v>
      </c>
      <c r="D103" s="74"/>
      <c r="E103" s="75"/>
    </row>
    <row r="104" spans="1:5" ht="36" x14ac:dyDescent="0.25">
      <c r="A104" s="81"/>
      <c r="B104" s="81"/>
      <c r="C104" s="82" t="s">
        <v>5974</v>
      </c>
      <c r="D104" s="78" t="s">
        <v>5975</v>
      </c>
      <c r="E104" s="75"/>
    </row>
    <row r="105" spans="1:5" ht="36" x14ac:dyDescent="0.25">
      <c r="A105" s="73"/>
      <c r="B105" s="73"/>
      <c r="C105" s="79" t="s">
        <v>5976</v>
      </c>
      <c r="D105" s="74" t="s">
        <v>5977</v>
      </c>
      <c r="E105" s="75"/>
    </row>
    <row r="106" spans="1:5" ht="96" x14ac:dyDescent="0.25">
      <c r="A106" s="76"/>
      <c r="B106" s="76"/>
      <c r="C106" s="96" t="s">
        <v>5978</v>
      </c>
      <c r="D106" s="78" t="s">
        <v>5979</v>
      </c>
      <c r="E106" s="75"/>
    </row>
    <row r="107" spans="1:5" x14ac:dyDescent="0.25">
      <c r="A107" s="73"/>
      <c r="B107" s="73"/>
      <c r="C107" s="93"/>
      <c r="D107" s="74" t="s">
        <v>5980</v>
      </c>
      <c r="E107" s="75"/>
    </row>
    <row r="108" spans="1:5" x14ac:dyDescent="0.25">
      <c r="A108" s="76"/>
      <c r="B108" s="76"/>
      <c r="C108" s="96"/>
      <c r="D108" s="78" t="s">
        <v>5981</v>
      </c>
      <c r="E108" s="75"/>
    </row>
    <row r="109" spans="1:5" x14ac:dyDescent="0.25">
      <c r="A109" s="73"/>
      <c r="B109" s="73"/>
      <c r="C109" s="93"/>
      <c r="D109" s="74" t="s">
        <v>5982</v>
      </c>
      <c r="E109" s="75"/>
    </row>
    <row r="110" spans="1:5" x14ac:dyDescent="0.25">
      <c r="A110" s="76"/>
      <c r="B110" s="76"/>
      <c r="C110" s="96"/>
      <c r="D110" s="78" t="s">
        <v>5983</v>
      </c>
      <c r="E110" s="75"/>
    </row>
    <row r="111" spans="1:5" ht="60" x14ac:dyDescent="0.25">
      <c r="A111" s="73"/>
      <c r="B111" s="73"/>
      <c r="C111" s="93" t="s">
        <v>5984</v>
      </c>
      <c r="D111" s="74"/>
      <c r="E111" s="75"/>
    </row>
    <row r="112" spans="1:5" ht="72" x14ac:dyDescent="0.25">
      <c r="A112" s="76"/>
      <c r="B112" s="76"/>
      <c r="C112" s="96" t="s">
        <v>5985</v>
      </c>
      <c r="D112" s="78"/>
      <c r="E112" s="75"/>
    </row>
    <row r="113" spans="1:5" ht="24" x14ac:dyDescent="0.25">
      <c r="A113" s="73" t="s">
        <v>5986</v>
      </c>
      <c r="B113" s="73" t="s">
        <v>5987</v>
      </c>
      <c r="C113" s="73"/>
      <c r="D113" s="74"/>
      <c r="E113" s="75"/>
    </row>
    <row r="114" spans="1:5" ht="36" x14ac:dyDescent="0.25">
      <c r="A114" s="81"/>
      <c r="B114" s="81"/>
      <c r="C114" s="82" t="s">
        <v>5988</v>
      </c>
      <c r="D114" s="78"/>
      <c r="E114" s="75"/>
    </row>
    <row r="115" spans="1:5" ht="24" x14ac:dyDescent="0.25">
      <c r="A115" s="83"/>
      <c r="B115" s="83"/>
      <c r="C115" s="84" t="s">
        <v>5989</v>
      </c>
      <c r="D115" s="74"/>
      <c r="E115" s="75"/>
    </row>
    <row r="116" spans="1:5" ht="48" x14ac:dyDescent="0.25">
      <c r="A116" s="81"/>
      <c r="B116" s="81"/>
      <c r="C116" s="82" t="s">
        <v>5990</v>
      </c>
      <c r="D116" s="78"/>
      <c r="E116" s="75"/>
    </row>
    <row r="117" spans="1:5" ht="36" x14ac:dyDescent="0.25">
      <c r="A117" s="83"/>
      <c r="B117" s="83"/>
      <c r="C117" s="84" t="s">
        <v>5991</v>
      </c>
      <c r="D117" s="74"/>
      <c r="E117" s="75"/>
    </row>
    <row r="118" spans="1:5" ht="36" x14ac:dyDescent="0.25">
      <c r="A118" s="81"/>
      <c r="B118" s="81"/>
      <c r="C118" s="96" t="s">
        <v>5992</v>
      </c>
      <c r="D118" s="78"/>
      <c r="E118" s="75"/>
    </row>
    <row r="119" spans="1:5" ht="24" x14ac:dyDescent="0.25">
      <c r="A119" s="73" t="s">
        <v>5993</v>
      </c>
      <c r="B119" s="73" t="s">
        <v>5111</v>
      </c>
      <c r="C119" s="73"/>
      <c r="D119" s="74"/>
      <c r="E119" s="75"/>
    </row>
    <row r="120" spans="1:5" ht="36" x14ac:dyDescent="0.25">
      <c r="A120" s="81"/>
      <c r="B120" s="81"/>
      <c r="C120" s="82" t="s">
        <v>5994</v>
      </c>
      <c r="D120" s="78"/>
      <c r="E120" s="75"/>
    </row>
    <row r="121" spans="1:5" ht="60" x14ac:dyDescent="0.25">
      <c r="A121" s="83"/>
      <c r="B121" s="83"/>
      <c r="C121" s="84" t="s">
        <v>5995</v>
      </c>
      <c r="D121" s="74"/>
      <c r="E121" s="75"/>
    </row>
    <row r="122" spans="1:5" ht="36" x14ac:dyDescent="0.25">
      <c r="A122" s="81"/>
      <c r="B122" s="81"/>
      <c r="C122" s="82" t="s">
        <v>5996</v>
      </c>
      <c r="D122" s="78"/>
      <c r="E122" s="75"/>
    </row>
    <row r="123" spans="1:5" ht="36" x14ac:dyDescent="0.25">
      <c r="A123" s="83"/>
      <c r="B123" s="83"/>
      <c r="C123" s="93" t="s">
        <v>5997</v>
      </c>
      <c r="D123" s="74"/>
      <c r="E123" s="75"/>
    </row>
    <row r="124" spans="1:5" ht="27" customHeight="1" x14ac:dyDescent="0.25">
      <c r="A124" s="81"/>
      <c r="B124" s="81"/>
      <c r="C124" s="96" t="s">
        <v>5998</v>
      </c>
      <c r="D124" s="78"/>
      <c r="E124" s="75"/>
    </row>
    <row r="125" spans="1:5" x14ac:dyDescent="0.25">
      <c r="A125" s="69"/>
      <c r="B125" s="69" t="s">
        <v>5112</v>
      </c>
      <c r="C125" s="103"/>
      <c r="D125" s="104"/>
      <c r="E125" s="75"/>
    </row>
    <row r="126" spans="1:5" ht="36" x14ac:dyDescent="0.25">
      <c r="A126" s="76" t="s">
        <v>5999</v>
      </c>
      <c r="B126" s="76" t="s">
        <v>6000</v>
      </c>
      <c r="C126" s="105"/>
      <c r="D126" s="106"/>
      <c r="E126" s="75"/>
    </row>
    <row r="127" spans="1:5" ht="24" x14ac:dyDescent="0.25">
      <c r="A127" s="92"/>
      <c r="B127" s="73"/>
      <c r="C127" s="107" t="s">
        <v>6001</v>
      </c>
      <c r="D127" s="108"/>
      <c r="E127" s="75"/>
    </row>
    <row r="128" spans="1:5" ht="36" x14ac:dyDescent="0.25">
      <c r="A128" s="94"/>
      <c r="B128" s="76"/>
      <c r="C128" s="109" t="s">
        <v>6002</v>
      </c>
      <c r="D128" s="106"/>
      <c r="E128" s="75"/>
    </row>
    <row r="129" spans="1:5" ht="36" x14ac:dyDescent="0.25">
      <c r="A129" s="92"/>
      <c r="B129" s="73"/>
      <c r="C129" s="107" t="s">
        <v>6003</v>
      </c>
      <c r="D129" s="108"/>
      <c r="E129" s="75"/>
    </row>
    <row r="130" spans="1:5" ht="36" x14ac:dyDescent="0.25">
      <c r="A130" s="94"/>
      <c r="B130" s="76"/>
      <c r="C130" s="109" t="s">
        <v>6004</v>
      </c>
      <c r="D130" s="106"/>
      <c r="E130" s="75"/>
    </row>
    <row r="131" spans="1:5" ht="24" x14ac:dyDescent="0.25">
      <c r="A131" s="92"/>
      <c r="B131" s="73"/>
      <c r="C131" s="84" t="s">
        <v>6005</v>
      </c>
      <c r="D131" s="108"/>
      <c r="E131" s="75"/>
    </row>
    <row r="132" spans="1:5" ht="24" x14ac:dyDescent="0.25">
      <c r="A132" s="94"/>
      <c r="B132" s="76"/>
      <c r="C132" s="82" t="s">
        <v>6006</v>
      </c>
      <c r="D132" s="106"/>
      <c r="E132" s="75"/>
    </row>
    <row r="133" spans="1:5" ht="24" x14ac:dyDescent="0.25">
      <c r="A133" s="92"/>
      <c r="B133" s="73"/>
      <c r="C133" s="84" t="s">
        <v>6007</v>
      </c>
      <c r="D133" s="108"/>
      <c r="E133" s="75"/>
    </row>
    <row r="134" spans="1:5" ht="48" x14ac:dyDescent="0.25">
      <c r="A134" s="94"/>
      <c r="B134" s="76"/>
      <c r="C134" s="88" t="s">
        <v>6008</v>
      </c>
      <c r="D134" s="106"/>
      <c r="E134" s="75"/>
    </row>
    <row r="135" spans="1:5" ht="48" x14ac:dyDescent="0.25">
      <c r="A135" s="73" t="s">
        <v>6009</v>
      </c>
      <c r="B135" s="73" t="s">
        <v>5114</v>
      </c>
      <c r="C135" s="73"/>
      <c r="D135" s="108"/>
      <c r="E135" s="75"/>
    </row>
    <row r="136" spans="1:5" ht="24" x14ac:dyDescent="0.25">
      <c r="A136" s="94"/>
      <c r="B136" s="76"/>
      <c r="C136" s="109" t="s">
        <v>6010</v>
      </c>
      <c r="D136" s="78" t="s">
        <v>6011</v>
      </c>
      <c r="E136" s="75"/>
    </row>
    <row r="137" spans="1:5" ht="36" x14ac:dyDescent="0.25">
      <c r="A137" s="92"/>
      <c r="B137" s="73"/>
      <c r="C137" s="107" t="s">
        <v>6012</v>
      </c>
      <c r="D137" s="74" t="s">
        <v>6011</v>
      </c>
      <c r="E137" s="75"/>
    </row>
    <row r="138" spans="1:5" ht="24" x14ac:dyDescent="0.25">
      <c r="A138" s="94"/>
      <c r="B138" s="76"/>
      <c r="C138" s="109" t="s">
        <v>6013</v>
      </c>
      <c r="D138" s="78" t="s">
        <v>6011</v>
      </c>
      <c r="E138" s="75"/>
    </row>
    <row r="139" spans="1:5" x14ac:dyDescent="0.25">
      <c r="A139" s="69"/>
      <c r="B139" s="69" t="s">
        <v>5115</v>
      </c>
      <c r="C139" s="103"/>
      <c r="D139" s="104"/>
      <c r="E139" s="75"/>
    </row>
    <row r="140" spans="1:5" ht="36" x14ac:dyDescent="0.25">
      <c r="A140" s="76" t="s">
        <v>6014</v>
      </c>
      <c r="B140" s="76" t="s">
        <v>5116</v>
      </c>
      <c r="C140" s="105"/>
      <c r="D140" s="78"/>
      <c r="E140" s="75"/>
    </row>
    <row r="141" spans="1:5" ht="24" x14ac:dyDescent="0.25">
      <c r="A141" s="83"/>
      <c r="B141" s="73"/>
      <c r="C141" s="107" t="s">
        <v>6015</v>
      </c>
      <c r="D141" s="74" t="s">
        <v>6011</v>
      </c>
      <c r="E141" s="75"/>
    </row>
    <row r="142" spans="1:5" x14ac:dyDescent="0.25">
      <c r="A142" s="81"/>
      <c r="B142" s="76"/>
      <c r="C142" s="109"/>
      <c r="D142" s="78" t="s">
        <v>6016</v>
      </c>
      <c r="E142" s="75"/>
    </row>
    <row r="143" spans="1:5" ht="48" x14ac:dyDescent="0.25">
      <c r="A143" s="83"/>
      <c r="B143" s="73"/>
      <c r="C143" s="107" t="s">
        <v>6017</v>
      </c>
      <c r="D143" s="108"/>
      <c r="E143" s="75"/>
    </row>
    <row r="144" spans="1:5" ht="24" x14ac:dyDescent="0.25">
      <c r="A144" s="81"/>
      <c r="B144" s="76"/>
      <c r="C144" s="82" t="s">
        <v>6018</v>
      </c>
      <c r="D144" s="106"/>
      <c r="E144" s="75"/>
    </row>
    <row r="145" spans="1:5" ht="48" x14ac:dyDescent="0.25">
      <c r="A145" s="83"/>
      <c r="B145" s="73"/>
      <c r="C145" s="84" t="s">
        <v>6019</v>
      </c>
      <c r="D145" s="108"/>
      <c r="E145" s="75"/>
    </row>
    <row r="146" spans="1:5" ht="24" x14ac:dyDescent="0.25">
      <c r="A146" s="81"/>
      <c r="B146" s="76"/>
      <c r="C146" s="82" t="s">
        <v>6020</v>
      </c>
      <c r="D146" s="106"/>
      <c r="E146" s="75"/>
    </row>
    <row r="147" spans="1:5" ht="36" x14ac:dyDescent="0.25">
      <c r="A147" s="83"/>
      <c r="B147" s="73"/>
      <c r="C147" s="84" t="s">
        <v>6021</v>
      </c>
      <c r="D147" s="108"/>
      <c r="E147" s="75"/>
    </row>
    <row r="148" spans="1:5" ht="36" x14ac:dyDescent="0.25">
      <c r="A148" s="76" t="s">
        <v>6022</v>
      </c>
      <c r="B148" s="76" t="s">
        <v>5117</v>
      </c>
      <c r="C148" s="76"/>
      <c r="D148" s="106"/>
      <c r="E148" s="75"/>
    </row>
    <row r="149" spans="1:5" ht="48" x14ac:dyDescent="0.25">
      <c r="A149" s="83"/>
      <c r="B149" s="73"/>
      <c r="C149" s="84" t="s">
        <v>6023</v>
      </c>
      <c r="D149" s="108"/>
      <c r="E149" s="75"/>
    </row>
    <row r="150" spans="1:5" ht="60" x14ac:dyDescent="0.25">
      <c r="A150" s="81"/>
      <c r="B150" s="76"/>
      <c r="C150" s="82" t="s">
        <v>6024</v>
      </c>
      <c r="D150" s="106"/>
      <c r="E150" s="75"/>
    </row>
    <row r="151" spans="1:5" ht="60" x14ac:dyDescent="0.25">
      <c r="A151" s="83"/>
      <c r="B151" s="73"/>
      <c r="C151" s="84" t="s">
        <v>6025</v>
      </c>
      <c r="D151" s="108"/>
      <c r="E151" s="75"/>
    </row>
    <row r="152" spans="1:5" ht="48" x14ac:dyDescent="0.25">
      <c r="A152" s="81"/>
      <c r="B152" s="76"/>
      <c r="C152" s="82" t="s">
        <v>6026</v>
      </c>
      <c r="D152" s="106"/>
      <c r="E152" s="75"/>
    </row>
    <row r="153" spans="1:5" ht="36" x14ac:dyDescent="0.25">
      <c r="A153" s="73" t="s">
        <v>6027</v>
      </c>
      <c r="B153" s="73" t="s">
        <v>5118</v>
      </c>
      <c r="C153" s="73"/>
      <c r="D153" s="108"/>
      <c r="E153" s="75"/>
    </row>
    <row r="154" spans="1:5" ht="48" x14ac:dyDescent="0.25">
      <c r="A154" s="81"/>
      <c r="B154" s="76"/>
      <c r="C154" s="82" t="s">
        <v>6028</v>
      </c>
      <c r="D154" s="78" t="s">
        <v>6029</v>
      </c>
      <c r="E154" s="75"/>
    </row>
    <row r="155" spans="1:5" ht="48" x14ac:dyDescent="0.25">
      <c r="A155" s="83"/>
      <c r="B155" s="73"/>
      <c r="C155" s="84" t="s">
        <v>6030</v>
      </c>
      <c r="D155" s="74" t="s">
        <v>5873</v>
      </c>
      <c r="E155" s="75"/>
    </row>
    <row r="156" spans="1:5" ht="24" x14ac:dyDescent="0.25">
      <c r="A156" s="81"/>
      <c r="B156" s="76"/>
      <c r="C156" s="82" t="s">
        <v>6031</v>
      </c>
      <c r="D156" s="106"/>
      <c r="E156" s="75"/>
    </row>
    <row r="157" spans="1:5" ht="24" x14ac:dyDescent="0.25">
      <c r="A157" s="83"/>
      <c r="B157" s="73"/>
      <c r="C157" s="84" t="s">
        <v>6032</v>
      </c>
      <c r="D157" s="108"/>
      <c r="E157" s="75"/>
    </row>
    <row r="158" spans="1:5" ht="24" x14ac:dyDescent="0.25">
      <c r="A158" s="81"/>
      <c r="B158" s="76"/>
      <c r="C158" s="109" t="s">
        <v>6033</v>
      </c>
      <c r="D158" s="106"/>
      <c r="E158" s="75"/>
    </row>
    <row r="159" spans="1:5" ht="36" x14ac:dyDescent="0.25">
      <c r="A159" s="83"/>
      <c r="B159" s="73"/>
      <c r="C159" s="110" t="s">
        <v>6034</v>
      </c>
      <c r="D159" s="74" t="s">
        <v>6011</v>
      </c>
      <c r="E159" s="75"/>
    </row>
    <row r="160" spans="1:5" x14ac:dyDescent="0.25">
      <c r="A160" s="81"/>
      <c r="B160" s="76"/>
      <c r="C160" s="76"/>
      <c r="D160" s="78" t="s">
        <v>6035</v>
      </c>
      <c r="E160" s="75"/>
    </row>
    <row r="161" spans="1:5" x14ac:dyDescent="0.25">
      <c r="A161" s="83"/>
      <c r="B161" s="73"/>
      <c r="C161" s="73"/>
      <c r="D161" s="74" t="s">
        <v>6036</v>
      </c>
      <c r="E161" s="75"/>
    </row>
    <row r="162" spans="1:5" x14ac:dyDescent="0.25">
      <c r="A162" s="111"/>
      <c r="B162" s="111" t="s">
        <v>5119</v>
      </c>
      <c r="C162" s="112"/>
      <c r="D162" s="104"/>
      <c r="E162" s="75"/>
    </row>
    <row r="163" spans="1:5" ht="36" x14ac:dyDescent="0.25">
      <c r="A163" s="113" t="s">
        <v>6037</v>
      </c>
      <c r="B163" s="114" t="s">
        <v>5120</v>
      </c>
      <c r="C163" s="115"/>
      <c r="D163" s="74"/>
      <c r="E163" s="75"/>
    </row>
    <row r="164" spans="1:5" ht="24" x14ac:dyDescent="0.25">
      <c r="A164" s="91"/>
      <c r="B164" s="76"/>
      <c r="C164" s="88" t="s">
        <v>6038</v>
      </c>
      <c r="D164" s="78" t="s">
        <v>5979</v>
      </c>
      <c r="E164" s="75"/>
    </row>
    <row r="165" spans="1:5" x14ac:dyDescent="0.25">
      <c r="A165" s="85"/>
      <c r="B165" s="73"/>
      <c r="C165" s="87"/>
      <c r="D165" s="74" t="s">
        <v>5980</v>
      </c>
      <c r="E165" s="75"/>
    </row>
    <row r="166" spans="1:5" x14ac:dyDescent="0.25">
      <c r="A166" s="91"/>
      <c r="B166" s="76"/>
      <c r="C166" s="88"/>
      <c r="D166" s="78" t="s">
        <v>5981</v>
      </c>
      <c r="E166" s="75"/>
    </row>
    <row r="167" spans="1:5" x14ac:dyDescent="0.25">
      <c r="A167" s="85"/>
      <c r="B167" s="73"/>
      <c r="C167" s="87"/>
      <c r="D167" s="74" t="s">
        <v>5982</v>
      </c>
      <c r="E167" s="75"/>
    </row>
    <row r="168" spans="1:5" x14ac:dyDescent="0.25">
      <c r="A168" s="91"/>
      <c r="B168" s="76"/>
      <c r="C168" s="88"/>
      <c r="D168" s="78" t="s">
        <v>6039</v>
      </c>
      <c r="E168" s="75"/>
    </row>
    <row r="169" spans="1:5" ht="48" x14ac:dyDescent="0.25">
      <c r="A169" s="85"/>
      <c r="B169" s="73"/>
      <c r="C169" s="87" t="s">
        <v>6040</v>
      </c>
      <c r="D169" s="74" t="s">
        <v>6041</v>
      </c>
      <c r="E169" s="75"/>
    </row>
    <row r="170" spans="1:5" x14ac:dyDescent="0.25">
      <c r="A170" s="91"/>
      <c r="B170" s="76"/>
      <c r="C170" s="88"/>
      <c r="D170" s="78" t="s">
        <v>6042</v>
      </c>
      <c r="E170" s="75"/>
    </row>
    <row r="171" spans="1:5" x14ac:dyDescent="0.25">
      <c r="A171" s="85"/>
      <c r="B171" s="73"/>
      <c r="C171" s="87"/>
      <c r="D171" s="74" t="s">
        <v>6043</v>
      </c>
      <c r="E171" s="75"/>
    </row>
    <row r="172" spans="1:5" x14ac:dyDescent="0.25">
      <c r="A172" s="91"/>
      <c r="B172" s="76"/>
      <c r="C172" s="88"/>
      <c r="D172" s="78" t="s">
        <v>6044</v>
      </c>
      <c r="E172" s="75"/>
    </row>
    <row r="173" spans="1:5" x14ac:dyDescent="0.25">
      <c r="A173" s="85"/>
      <c r="B173" s="73"/>
      <c r="C173" s="87"/>
      <c r="D173" s="74" t="s">
        <v>6039</v>
      </c>
      <c r="E173" s="75"/>
    </row>
    <row r="174" spans="1:5" x14ac:dyDescent="0.25">
      <c r="A174" s="91"/>
      <c r="B174" s="76"/>
      <c r="C174" s="88"/>
      <c r="D174" s="78" t="s">
        <v>6042</v>
      </c>
      <c r="E174" s="75"/>
    </row>
    <row r="175" spans="1:5" ht="36" x14ac:dyDescent="0.25">
      <c r="A175" s="85"/>
      <c r="B175" s="73"/>
      <c r="C175" s="87" t="s">
        <v>6045</v>
      </c>
      <c r="D175" s="74" t="s">
        <v>6046</v>
      </c>
      <c r="E175" s="75"/>
    </row>
    <row r="176" spans="1:5" ht="24" x14ac:dyDescent="0.25">
      <c r="A176" s="91"/>
      <c r="B176" s="76"/>
      <c r="C176" s="88" t="s">
        <v>6047</v>
      </c>
      <c r="D176" s="78" t="s">
        <v>6041</v>
      </c>
      <c r="E176" s="75"/>
    </row>
    <row r="177" spans="1:5" ht="48" x14ac:dyDescent="0.25">
      <c r="A177" s="92"/>
      <c r="B177" s="73"/>
      <c r="C177" s="93" t="s">
        <v>6048</v>
      </c>
      <c r="D177" s="74" t="s">
        <v>6041</v>
      </c>
      <c r="E177" s="75"/>
    </row>
    <row r="178" spans="1:5" ht="38.25" customHeight="1" x14ac:dyDescent="0.25">
      <c r="A178" s="94"/>
      <c r="B178" s="76"/>
      <c r="C178" s="96" t="s">
        <v>6049</v>
      </c>
      <c r="D178" s="78"/>
      <c r="E178" s="75"/>
    </row>
    <row r="179" spans="1:5" ht="36" x14ac:dyDescent="0.25">
      <c r="A179" s="92"/>
      <c r="B179" s="73"/>
      <c r="C179" s="93" t="s">
        <v>6050</v>
      </c>
      <c r="D179" s="74"/>
      <c r="E179" s="75"/>
    </row>
    <row r="180" spans="1:5" ht="60" x14ac:dyDescent="0.25">
      <c r="A180" s="94"/>
      <c r="B180" s="76"/>
      <c r="C180" s="96" t="s">
        <v>6051</v>
      </c>
      <c r="D180" s="78" t="s">
        <v>6052</v>
      </c>
      <c r="E180" s="75"/>
    </row>
    <row r="181" spans="1:5" ht="36" x14ac:dyDescent="0.25">
      <c r="A181" s="92"/>
      <c r="B181" s="73"/>
      <c r="C181" s="93" t="s">
        <v>6053</v>
      </c>
      <c r="D181" s="74"/>
      <c r="E181" s="75"/>
    </row>
    <row r="182" spans="1:5" ht="24" x14ac:dyDescent="0.25">
      <c r="A182" s="94"/>
      <c r="B182" s="76"/>
      <c r="C182" s="96" t="s">
        <v>6054</v>
      </c>
      <c r="D182" s="78"/>
      <c r="E182" s="75"/>
    </row>
    <row r="183" spans="1:5" ht="60" x14ac:dyDescent="0.25">
      <c r="A183" s="73" t="s">
        <v>6055</v>
      </c>
      <c r="B183" s="92" t="s">
        <v>5121</v>
      </c>
      <c r="C183" s="73"/>
      <c r="D183" s="74"/>
      <c r="E183" s="75"/>
    </row>
    <row r="184" spans="1:5" ht="36" x14ac:dyDescent="0.25">
      <c r="A184" s="91"/>
      <c r="B184" s="76"/>
      <c r="C184" s="88" t="s">
        <v>6056</v>
      </c>
      <c r="D184" s="78" t="s">
        <v>6052</v>
      </c>
      <c r="E184" s="75"/>
    </row>
    <row r="185" spans="1:5" ht="24" x14ac:dyDescent="0.25">
      <c r="A185" s="85"/>
      <c r="B185" s="73"/>
      <c r="C185" s="87" t="s">
        <v>6057</v>
      </c>
      <c r="D185" s="74" t="s">
        <v>6052</v>
      </c>
      <c r="E185" s="75"/>
    </row>
    <row r="186" spans="1:5" x14ac:dyDescent="0.25">
      <c r="A186" s="91"/>
      <c r="B186" s="76"/>
      <c r="C186" s="88"/>
      <c r="D186" s="78" t="s">
        <v>5766</v>
      </c>
      <c r="E186" s="75"/>
    </row>
    <row r="187" spans="1:5" ht="36" x14ac:dyDescent="0.25">
      <c r="A187" s="92"/>
      <c r="B187" s="73"/>
      <c r="C187" s="93" t="s">
        <v>6058</v>
      </c>
      <c r="D187" s="74" t="s">
        <v>6052</v>
      </c>
      <c r="E187" s="75"/>
    </row>
    <row r="188" spans="1:5" x14ac:dyDescent="0.25">
      <c r="A188" s="94"/>
      <c r="B188" s="76"/>
      <c r="C188" s="96"/>
      <c r="D188" s="78" t="s">
        <v>5766</v>
      </c>
      <c r="E188" s="75"/>
    </row>
    <row r="189" spans="1:5" ht="60" x14ac:dyDescent="0.25">
      <c r="A189" s="73" t="s">
        <v>6059</v>
      </c>
      <c r="B189" s="92" t="s">
        <v>5122</v>
      </c>
      <c r="C189" s="73"/>
      <c r="D189" s="74"/>
      <c r="E189" s="75"/>
    </row>
    <row r="190" spans="1:5" ht="36" x14ac:dyDescent="0.25">
      <c r="A190" s="94"/>
      <c r="B190" s="76"/>
      <c r="C190" s="96" t="s">
        <v>6060</v>
      </c>
      <c r="D190" s="78" t="s">
        <v>6061</v>
      </c>
      <c r="E190" s="75"/>
    </row>
    <row r="191" spans="1:5" ht="36" x14ac:dyDescent="0.25">
      <c r="A191" s="92"/>
      <c r="B191" s="73"/>
      <c r="C191" s="93" t="s">
        <v>6062</v>
      </c>
      <c r="D191" s="74" t="s">
        <v>6061</v>
      </c>
      <c r="E191" s="75"/>
    </row>
    <row r="192" spans="1:5" ht="24" x14ac:dyDescent="0.25">
      <c r="A192" s="94"/>
      <c r="B192" s="76"/>
      <c r="C192" s="96" t="s">
        <v>6063</v>
      </c>
      <c r="D192" s="78" t="s">
        <v>6061</v>
      </c>
      <c r="E192" s="75"/>
    </row>
    <row r="193" spans="1:5" x14ac:dyDescent="0.25">
      <c r="A193" s="92"/>
      <c r="B193" s="73"/>
      <c r="C193" s="93"/>
      <c r="D193" s="74" t="s">
        <v>6061</v>
      </c>
      <c r="E193" s="75"/>
    </row>
    <row r="194" spans="1:5" ht="48" x14ac:dyDescent="0.25">
      <c r="A194" s="76" t="s">
        <v>6064</v>
      </c>
      <c r="B194" s="94" t="s">
        <v>6065</v>
      </c>
      <c r="C194" s="76"/>
      <c r="E194" s="75"/>
    </row>
    <row r="195" spans="1:5" x14ac:dyDescent="0.25">
      <c r="A195" s="73"/>
      <c r="B195" s="92"/>
      <c r="C195" s="73"/>
      <c r="D195" s="74" t="s">
        <v>6066</v>
      </c>
      <c r="E195" s="75"/>
    </row>
    <row r="196" spans="1:5" x14ac:dyDescent="0.25">
      <c r="A196" s="76"/>
      <c r="B196" s="94"/>
      <c r="C196" s="76"/>
      <c r="D196" s="78" t="s">
        <v>6066</v>
      </c>
      <c r="E196" s="75"/>
    </row>
    <row r="197" spans="1:5" x14ac:dyDescent="0.25">
      <c r="A197" s="73"/>
      <c r="B197" s="92"/>
      <c r="C197" s="73"/>
      <c r="D197" s="74" t="s">
        <v>6066</v>
      </c>
      <c r="E197" s="75"/>
    </row>
    <row r="198" spans="1:5" ht="36" x14ac:dyDescent="0.25">
      <c r="A198" s="94"/>
      <c r="B198" s="76"/>
      <c r="C198" s="95" t="s">
        <v>6067</v>
      </c>
      <c r="D198" s="78" t="s">
        <v>6066</v>
      </c>
      <c r="E198" s="75"/>
    </row>
    <row r="199" spans="1:5" ht="24" x14ac:dyDescent="0.25">
      <c r="A199" s="92"/>
      <c r="B199" s="73"/>
      <c r="C199" s="93" t="s">
        <v>6068</v>
      </c>
      <c r="D199" s="74" t="s">
        <v>6066</v>
      </c>
      <c r="E199" s="75"/>
    </row>
    <row r="200" spans="1:5" ht="24" x14ac:dyDescent="0.25">
      <c r="A200" s="94"/>
      <c r="B200" s="76"/>
      <c r="C200" s="95" t="s">
        <v>6069</v>
      </c>
      <c r="D200" s="78" t="s">
        <v>6066</v>
      </c>
      <c r="E200" s="75"/>
    </row>
    <row r="201" spans="1:5" ht="48" x14ac:dyDescent="0.25">
      <c r="A201" s="73" t="s">
        <v>6070</v>
      </c>
      <c r="B201" s="92" t="s">
        <v>5124</v>
      </c>
      <c r="C201" s="73"/>
      <c r="D201" s="74"/>
      <c r="E201" s="75"/>
    </row>
    <row r="202" spans="1:5" ht="36" x14ac:dyDescent="0.25">
      <c r="A202" s="94"/>
      <c r="B202" s="76"/>
      <c r="C202" s="95" t="s">
        <v>6071</v>
      </c>
      <c r="D202" s="78" t="s">
        <v>6039</v>
      </c>
      <c r="E202" s="75"/>
    </row>
    <row r="203" spans="1:5" ht="36" x14ac:dyDescent="0.25">
      <c r="A203" s="92"/>
      <c r="B203" s="73"/>
      <c r="C203" s="93" t="s">
        <v>6072</v>
      </c>
      <c r="D203" s="74" t="s">
        <v>6039</v>
      </c>
      <c r="E203" s="75"/>
    </row>
    <row r="204" spans="1:5" x14ac:dyDescent="0.25">
      <c r="A204" s="94"/>
      <c r="B204" s="76"/>
      <c r="C204" s="96"/>
      <c r="D204" s="78" t="s">
        <v>6039</v>
      </c>
      <c r="E204" s="75"/>
    </row>
    <row r="205" spans="1:5" ht="24" x14ac:dyDescent="0.25">
      <c r="A205" s="73" t="s">
        <v>6073</v>
      </c>
      <c r="B205" s="92" t="s">
        <v>5125</v>
      </c>
      <c r="C205" s="73"/>
      <c r="D205" s="74"/>
      <c r="E205" s="75"/>
    </row>
    <row r="206" spans="1:5" ht="24" x14ac:dyDescent="0.25">
      <c r="A206" s="94"/>
      <c r="B206" s="76"/>
      <c r="C206" s="96" t="s">
        <v>6074</v>
      </c>
      <c r="D206" s="78" t="s">
        <v>6075</v>
      </c>
      <c r="E206" s="75"/>
    </row>
    <row r="207" spans="1:5" ht="36" x14ac:dyDescent="0.25">
      <c r="A207" s="92"/>
      <c r="B207" s="73"/>
      <c r="C207" s="93" t="s">
        <v>6076</v>
      </c>
      <c r="D207" s="74" t="s">
        <v>6075</v>
      </c>
      <c r="E207" s="75"/>
    </row>
    <row r="208" spans="1:5" ht="36" x14ac:dyDescent="0.25">
      <c r="A208" s="94"/>
      <c r="B208" s="76"/>
      <c r="C208" s="96" t="s">
        <v>6077</v>
      </c>
      <c r="D208" s="78" t="s">
        <v>6075</v>
      </c>
      <c r="E208" s="75"/>
    </row>
    <row r="209" spans="1:5" ht="48" x14ac:dyDescent="0.25">
      <c r="A209" s="92"/>
      <c r="B209" s="73"/>
      <c r="C209" s="93" t="s">
        <v>6078</v>
      </c>
      <c r="D209" s="74" t="s">
        <v>6079</v>
      </c>
      <c r="E209" s="75"/>
    </row>
    <row r="210" spans="1:5" ht="48" x14ac:dyDescent="0.25">
      <c r="A210" s="76" t="s">
        <v>6080</v>
      </c>
      <c r="B210" s="94" t="s">
        <v>5126</v>
      </c>
      <c r="C210" s="76"/>
      <c r="D210" s="78"/>
      <c r="E210" s="75"/>
    </row>
    <row r="211" spans="1:5" ht="36" x14ac:dyDescent="0.25">
      <c r="A211" s="92"/>
      <c r="B211" s="73"/>
      <c r="C211" s="93" t="s">
        <v>6081</v>
      </c>
      <c r="D211" s="74"/>
      <c r="E211" s="75"/>
    </row>
    <row r="212" spans="1:5" ht="48" x14ac:dyDescent="0.25">
      <c r="A212" s="94"/>
      <c r="B212" s="76"/>
      <c r="C212" s="96" t="s">
        <v>6082</v>
      </c>
      <c r="D212" s="78" t="s">
        <v>6083</v>
      </c>
      <c r="E212" s="75"/>
    </row>
    <row r="213" spans="1:5" ht="36" x14ac:dyDescent="0.25">
      <c r="A213" s="92"/>
      <c r="B213" s="73"/>
      <c r="C213" s="93" t="s">
        <v>6084</v>
      </c>
      <c r="D213" s="74" t="s">
        <v>6085</v>
      </c>
      <c r="E213" s="75"/>
    </row>
    <row r="214" spans="1:5" ht="24" x14ac:dyDescent="0.25">
      <c r="A214" s="94"/>
      <c r="B214" s="76"/>
      <c r="C214" s="96" t="s">
        <v>6086</v>
      </c>
      <c r="D214" s="78"/>
      <c r="E214" s="75"/>
    </row>
    <row r="215" spans="1:5" ht="36" x14ac:dyDescent="0.25">
      <c r="A215" s="73" t="s">
        <v>6087</v>
      </c>
      <c r="B215" s="92" t="s">
        <v>5127</v>
      </c>
      <c r="C215" s="73"/>
      <c r="D215" s="74"/>
      <c r="E215" s="75"/>
    </row>
    <row r="216" spans="1:5" ht="24" x14ac:dyDescent="0.25">
      <c r="A216" s="94"/>
      <c r="B216" s="76"/>
      <c r="C216" s="96" t="s">
        <v>6088</v>
      </c>
      <c r="D216" s="78"/>
      <c r="E216" s="75"/>
    </row>
    <row r="217" spans="1:5" ht="48" x14ac:dyDescent="0.25">
      <c r="A217" s="92"/>
      <c r="B217" s="73"/>
      <c r="C217" s="93" t="s">
        <v>6089</v>
      </c>
      <c r="D217" s="74"/>
      <c r="E217" s="75"/>
    </row>
    <row r="218" spans="1:5" ht="24" x14ac:dyDescent="0.25">
      <c r="A218" s="94"/>
      <c r="B218" s="76"/>
      <c r="C218" s="96" t="s">
        <v>6090</v>
      </c>
      <c r="D218" s="78"/>
      <c r="E218" s="75"/>
    </row>
    <row r="219" spans="1:5" ht="36" x14ac:dyDescent="0.25">
      <c r="A219" s="92"/>
      <c r="B219" s="73"/>
      <c r="C219" s="93" t="s">
        <v>6091</v>
      </c>
      <c r="D219" s="74" t="s">
        <v>6092</v>
      </c>
      <c r="E219" s="75"/>
    </row>
    <row r="220" spans="1:5" ht="60" x14ac:dyDescent="0.25">
      <c r="A220" s="94"/>
      <c r="B220" s="76"/>
      <c r="C220" s="96" t="s">
        <v>6093</v>
      </c>
      <c r="D220" s="78" t="s">
        <v>6094</v>
      </c>
      <c r="E220" s="75"/>
    </row>
    <row r="221" spans="1:5" x14ac:dyDescent="0.25">
      <c r="A221" s="69"/>
      <c r="B221" s="69" t="s">
        <v>5128</v>
      </c>
      <c r="C221" s="69"/>
      <c r="D221" s="70"/>
      <c r="E221" s="75"/>
    </row>
    <row r="222" spans="1:5" ht="48" x14ac:dyDescent="0.25">
      <c r="A222" s="73" t="s">
        <v>6095</v>
      </c>
      <c r="B222" s="92" t="s">
        <v>5129</v>
      </c>
      <c r="C222" s="73"/>
      <c r="D222" s="74"/>
      <c r="E222" s="75"/>
    </row>
    <row r="223" spans="1:5" ht="24" x14ac:dyDescent="0.25">
      <c r="A223" s="94"/>
      <c r="B223" s="76"/>
      <c r="C223" s="96" t="s">
        <v>6096</v>
      </c>
      <c r="D223" s="78" t="s">
        <v>6097</v>
      </c>
      <c r="E223" s="75"/>
    </row>
    <row r="224" spans="1:5" ht="36" x14ac:dyDescent="0.25">
      <c r="A224" s="92"/>
      <c r="B224" s="73"/>
      <c r="C224" s="93" t="s">
        <v>6098</v>
      </c>
      <c r="D224" s="74" t="s">
        <v>6097</v>
      </c>
      <c r="E224" s="75"/>
    </row>
    <row r="225" spans="1:5" ht="48" x14ac:dyDescent="0.25">
      <c r="A225" s="94"/>
      <c r="B225" s="76"/>
      <c r="C225" s="96" t="s">
        <v>6099</v>
      </c>
      <c r="D225" s="78" t="s">
        <v>6100</v>
      </c>
      <c r="E225" s="75"/>
    </row>
    <row r="226" spans="1:5" x14ac:dyDescent="0.25">
      <c r="A226" s="92"/>
      <c r="B226" s="73"/>
      <c r="C226" s="93"/>
      <c r="D226" s="74" t="s">
        <v>6101</v>
      </c>
      <c r="E226" s="75"/>
    </row>
    <row r="227" spans="1:5" ht="24" x14ac:dyDescent="0.25">
      <c r="A227" s="94"/>
      <c r="B227" s="76"/>
      <c r="C227" s="96" t="s">
        <v>6102</v>
      </c>
      <c r="D227" s="78" t="s">
        <v>6101</v>
      </c>
      <c r="E227" s="75"/>
    </row>
    <row r="228" spans="1:5" ht="48" x14ac:dyDescent="0.25">
      <c r="A228" s="92"/>
      <c r="B228" s="73"/>
      <c r="C228" s="93" t="s">
        <v>6103</v>
      </c>
      <c r="D228" s="74" t="s">
        <v>6035</v>
      </c>
      <c r="E228" s="75"/>
    </row>
    <row r="229" spans="1:5" x14ac:dyDescent="0.25">
      <c r="A229" s="94"/>
      <c r="B229" s="76"/>
      <c r="C229" s="96"/>
      <c r="D229" s="78" t="s">
        <v>6104</v>
      </c>
      <c r="E229" s="75"/>
    </row>
    <row r="230" spans="1:5" ht="60" x14ac:dyDescent="0.25">
      <c r="A230" s="73" t="s">
        <v>6105</v>
      </c>
      <c r="B230" s="92" t="s">
        <v>5130</v>
      </c>
      <c r="C230" s="73"/>
      <c r="D230" s="74"/>
      <c r="E230" s="75"/>
    </row>
    <row r="231" spans="1:5" ht="84" x14ac:dyDescent="0.25">
      <c r="A231" s="94"/>
      <c r="B231" s="76"/>
      <c r="C231" s="95" t="s">
        <v>6106</v>
      </c>
      <c r="D231" s="78" t="s">
        <v>6079</v>
      </c>
      <c r="E231" s="75"/>
    </row>
    <row r="232" spans="1:5" x14ac:dyDescent="0.25">
      <c r="A232" s="92"/>
      <c r="B232" s="73"/>
      <c r="C232" s="117"/>
      <c r="D232" s="74" t="s">
        <v>6107</v>
      </c>
      <c r="E232" s="75"/>
    </row>
    <row r="233" spans="1:5" x14ac:dyDescent="0.25">
      <c r="A233" s="94"/>
      <c r="B233" s="76"/>
      <c r="C233" s="95"/>
      <c r="D233" s="78" t="s">
        <v>6108</v>
      </c>
      <c r="E233" s="75"/>
    </row>
    <row r="234" spans="1:5" x14ac:dyDescent="0.25">
      <c r="A234" s="92"/>
      <c r="B234" s="73"/>
      <c r="C234" s="117"/>
      <c r="D234" s="74" t="s">
        <v>6109</v>
      </c>
      <c r="E234" s="75"/>
    </row>
    <row r="235" spans="1:5" x14ac:dyDescent="0.25">
      <c r="A235" s="94"/>
      <c r="B235" s="76"/>
      <c r="C235" s="95"/>
      <c r="D235" s="78" t="s">
        <v>6110</v>
      </c>
      <c r="E235" s="75"/>
    </row>
    <row r="236" spans="1:5" x14ac:dyDescent="0.25">
      <c r="A236" s="92"/>
      <c r="B236" s="73"/>
      <c r="C236" s="117"/>
      <c r="D236" s="74" t="s">
        <v>6111</v>
      </c>
      <c r="E236" s="75"/>
    </row>
    <row r="237" spans="1:5" ht="72" x14ac:dyDescent="0.25">
      <c r="A237" s="94"/>
      <c r="B237" s="76"/>
      <c r="C237" s="96" t="s">
        <v>6112</v>
      </c>
      <c r="D237" s="78" t="s">
        <v>6079</v>
      </c>
      <c r="E237" s="75"/>
    </row>
    <row r="238" spans="1:5" x14ac:dyDescent="0.25">
      <c r="A238" s="92"/>
      <c r="B238" s="73"/>
      <c r="C238" s="93"/>
      <c r="D238" s="74" t="s">
        <v>6113</v>
      </c>
      <c r="E238" s="75"/>
    </row>
    <row r="239" spans="1:5" x14ac:dyDescent="0.25">
      <c r="A239" s="94"/>
      <c r="B239" s="76"/>
      <c r="C239" s="96"/>
      <c r="D239" s="78" t="s">
        <v>6108</v>
      </c>
      <c r="E239" s="75"/>
    </row>
    <row r="240" spans="1:5" x14ac:dyDescent="0.25">
      <c r="A240" s="92"/>
      <c r="B240" s="73"/>
      <c r="C240" s="93"/>
      <c r="D240" s="74" t="s">
        <v>6114</v>
      </c>
      <c r="E240" s="75"/>
    </row>
    <row r="241" spans="1:5" x14ac:dyDescent="0.25">
      <c r="A241" s="94"/>
      <c r="B241" s="76"/>
      <c r="C241" s="96"/>
      <c r="D241" s="78" t="s">
        <v>6115</v>
      </c>
      <c r="E241" s="75"/>
    </row>
    <row r="242" spans="1:5" x14ac:dyDescent="0.25">
      <c r="A242" s="92"/>
      <c r="B242" s="73"/>
      <c r="C242" s="93"/>
      <c r="D242" s="74" t="s">
        <v>6092</v>
      </c>
      <c r="E242" s="75"/>
    </row>
    <row r="243" spans="1:5" x14ac:dyDescent="0.25">
      <c r="A243" s="94"/>
      <c r="B243" s="76"/>
      <c r="C243" s="96"/>
      <c r="D243" s="78" t="s">
        <v>6094</v>
      </c>
      <c r="E243" s="75"/>
    </row>
    <row r="244" spans="1:5" x14ac:dyDescent="0.25">
      <c r="A244" s="92"/>
      <c r="B244" s="73"/>
      <c r="C244" s="93"/>
      <c r="D244" s="74" t="s">
        <v>6116</v>
      </c>
      <c r="E244" s="75"/>
    </row>
    <row r="245" spans="1:5" x14ac:dyDescent="0.25">
      <c r="A245" s="94"/>
      <c r="B245" s="76"/>
      <c r="C245" s="96"/>
      <c r="D245" s="78" t="s">
        <v>6117</v>
      </c>
      <c r="E245" s="75"/>
    </row>
    <row r="246" spans="1:5" x14ac:dyDescent="0.25">
      <c r="A246" s="92"/>
      <c r="B246" s="73"/>
      <c r="C246" s="93"/>
      <c r="D246" s="74" t="s">
        <v>6104</v>
      </c>
      <c r="E246" s="75"/>
    </row>
    <row r="247" spans="1:5" ht="24" x14ac:dyDescent="0.25">
      <c r="A247" s="94"/>
      <c r="B247" s="76"/>
      <c r="C247" s="96" t="s">
        <v>6118</v>
      </c>
      <c r="D247" s="78" t="s">
        <v>6119</v>
      </c>
      <c r="E247" s="75"/>
    </row>
    <row r="248" spans="1:5" x14ac:dyDescent="0.25">
      <c r="A248" s="92"/>
      <c r="B248" s="73"/>
      <c r="C248" s="93"/>
      <c r="D248" s="74" t="s">
        <v>6120</v>
      </c>
      <c r="E248" s="75"/>
    </row>
    <row r="249" spans="1:5" x14ac:dyDescent="0.25">
      <c r="A249" s="94"/>
      <c r="B249" s="76"/>
      <c r="C249" s="96"/>
      <c r="D249" s="78" t="s">
        <v>6121</v>
      </c>
      <c r="E249" s="75"/>
    </row>
    <row r="250" spans="1:5" x14ac:dyDescent="0.25">
      <c r="A250" s="92"/>
      <c r="B250" s="73"/>
      <c r="C250" s="93"/>
      <c r="D250" s="74" t="s">
        <v>6111</v>
      </c>
      <c r="E250" s="75"/>
    </row>
    <row r="251" spans="1:5" x14ac:dyDescent="0.25">
      <c r="A251" s="94"/>
      <c r="B251" s="76"/>
      <c r="C251" s="96"/>
      <c r="D251" s="78" t="s">
        <v>6122</v>
      </c>
      <c r="E251" s="75"/>
    </row>
    <row r="252" spans="1:5" ht="24" x14ac:dyDescent="0.25">
      <c r="A252" s="92"/>
      <c r="B252" s="73"/>
      <c r="C252" s="93" t="s">
        <v>6123</v>
      </c>
      <c r="D252" s="74" t="s">
        <v>6124</v>
      </c>
      <c r="E252" s="75"/>
    </row>
    <row r="253" spans="1:5" x14ac:dyDescent="0.25">
      <c r="A253" s="94"/>
      <c r="B253" s="76"/>
      <c r="C253" s="96"/>
      <c r="D253" s="78" t="s">
        <v>6036</v>
      </c>
      <c r="E253" s="75"/>
    </row>
    <row r="254" spans="1:5" ht="41.25" customHeight="1" x14ac:dyDescent="0.25">
      <c r="A254" s="73" t="s">
        <v>6125</v>
      </c>
      <c r="B254" s="92" t="s">
        <v>5131</v>
      </c>
      <c r="C254" s="73"/>
      <c r="D254" s="74"/>
      <c r="E254" s="75"/>
    </row>
    <row r="255" spans="1:5" ht="40.5" customHeight="1" x14ac:dyDescent="0.25">
      <c r="A255" s="94"/>
      <c r="B255" s="76"/>
      <c r="C255" s="96" t="s">
        <v>6126</v>
      </c>
      <c r="D255" s="78" t="s">
        <v>6127</v>
      </c>
      <c r="E255" s="75"/>
    </row>
    <row r="256" spans="1:5" x14ac:dyDescent="0.25">
      <c r="A256" s="92"/>
      <c r="B256" s="73"/>
      <c r="C256" s="93"/>
      <c r="D256" s="74" t="s">
        <v>6128</v>
      </c>
      <c r="E256" s="75"/>
    </row>
    <row r="257" spans="1:5" x14ac:dyDescent="0.25">
      <c r="A257" s="94"/>
      <c r="B257" s="76"/>
      <c r="C257" s="96"/>
      <c r="D257" s="78" t="s">
        <v>6121</v>
      </c>
      <c r="E257" s="75"/>
    </row>
    <row r="258" spans="1:5" x14ac:dyDescent="0.25">
      <c r="A258" s="92"/>
      <c r="B258" s="73"/>
      <c r="C258" s="93"/>
      <c r="D258" s="74" t="s">
        <v>6129</v>
      </c>
      <c r="E258" s="75"/>
    </row>
    <row r="259" spans="1:5" ht="36" x14ac:dyDescent="0.25">
      <c r="A259" s="91"/>
      <c r="B259" s="76"/>
      <c r="C259" s="80" t="s">
        <v>6130</v>
      </c>
      <c r="D259" s="78" t="s">
        <v>6131</v>
      </c>
      <c r="E259" s="75"/>
    </row>
    <row r="260" spans="1:5" x14ac:dyDescent="0.25">
      <c r="A260" s="85"/>
      <c r="B260" s="73"/>
      <c r="C260" s="93"/>
      <c r="D260" s="74" t="s">
        <v>6132</v>
      </c>
      <c r="E260" s="75"/>
    </row>
    <row r="261" spans="1:5" ht="24" x14ac:dyDescent="0.25">
      <c r="A261" s="94"/>
      <c r="B261" s="76"/>
      <c r="C261" s="80" t="s">
        <v>6133</v>
      </c>
      <c r="D261" s="78" t="s">
        <v>6128</v>
      </c>
      <c r="E261" s="75"/>
    </row>
    <row r="262" spans="1:5" x14ac:dyDescent="0.25">
      <c r="A262" s="92"/>
      <c r="B262" s="73"/>
      <c r="C262" s="93"/>
      <c r="D262" s="74" t="s">
        <v>6134</v>
      </c>
      <c r="E262" s="75"/>
    </row>
    <row r="263" spans="1:5" x14ac:dyDescent="0.25">
      <c r="A263" s="94"/>
      <c r="B263" s="76"/>
      <c r="C263" s="80"/>
      <c r="D263" s="78" t="s">
        <v>6135</v>
      </c>
      <c r="E263" s="75"/>
    </row>
    <row r="264" spans="1:5" ht="48" x14ac:dyDescent="0.25">
      <c r="A264" s="73"/>
      <c r="B264" s="73"/>
      <c r="C264" s="87" t="s">
        <v>6136</v>
      </c>
      <c r="D264" s="74"/>
      <c r="E264" s="75"/>
    </row>
    <row r="265" spans="1:5" ht="36" x14ac:dyDescent="0.25">
      <c r="A265" s="76"/>
      <c r="B265" s="76"/>
      <c r="C265" s="86" t="s">
        <v>6137</v>
      </c>
      <c r="D265" s="78"/>
      <c r="E265" s="75"/>
    </row>
    <row r="266" spans="1:5" ht="36" x14ac:dyDescent="0.25">
      <c r="A266" s="73" t="s">
        <v>6138</v>
      </c>
      <c r="B266" s="92" t="s">
        <v>5132</v>
      </c>
      <c r="C266" s="73"/>
      <c r="D266" s="74"/>
      <c r="E266" s="75"/>
    </row>
    <row r="267" spans="1:5" ht="36" x14ac:dyDescent="0.25">
      <c r="A267" s="91"/>
      <c r="B267" s="76"/>
      <c r="C267" s="86" t="s">
        <v>6139</v>
      </c>
      <c r="D267" s="78" t="s">
        <v>6140</v>
      </c>
      <c r="E267" s="75"/>
    </row>
    <row r="268" spans="1:5" ht="24" x14ac:dyDescent="0.25">
      <c r="A268" s="92"/>
      <c r="B268" s="73"/>
      <c r="C268" s="93" t="s">
        <v>6141</v>
      </c>
      <c r="D268" s="74" t="s">
        <v>6142</v>
      </c>
      <c r="E268" s="75"/>
    </row>
    <row r="269" spans="1:5" x14ac:dyDescent="0.25">
      <c r="A269" s="94"/>
      <c r="B269" s="76"/>
      <c r="C269" s="80"/>
      <c r="D269" s="78" t="s">
        <v>6143</v>
      </c>
      <c r="E269" s="75"/>
    </row>
    <row r="270" spans="1:5" ht="24" x14ac:dyDescent="0.25">
      <c r="A270" s="92"/>
      <c r="B270" s="73"/>
      <c r="C270" s="93" t="s">
        <v>6144</v>
      </c>
      <c r="D270" s="74" t="s">
        <v>6145</v>
      </c>
      <c r="E270" s="75"/>
    </row>
    <row r="271" spans="1:5" ht="36" x14ac:dyDescent="0.25">
      <c r="A271" s="94"/>
      <c r="B271" s="76"/>
      <c r="C271" s="80" t="s">
        <v>6146</v>
      </c>
      <c r="D271" s="78" t="s">
        <v>6035</v>
      </c>
      <c r="E271" s="75"/>
    </row>
    <row r="272" spans="1:5" ht="24" x14ac:dyDescent="0.25">
      <c r="A272" s="92"/>
      <c r="B272" s="73"/>
      <c r="C272" s="93" t="s">
        <v>5133</v>
      </c>
      <c r="D272" s="74" t="s">
        <v>6142</v>
      </c>
      <c r="E272" s="75"/>
    </row>
    <row r="273" spans="1:5" ht="36" x14ac:dyDescent="0.25">
      <c r="A273" s="94"/>
      <c r="B273" s="76"/>
      <c r="C273" s="80" t="s">
        <v>6147</v>
      </c>
      <c r="D273" s="78" t="s">
        <v>6132</v>
      </c>
      <c r="E273" s="75"/>
    </row>
    <row r="274" spans="1:5" x14ac:dyDescent="0.25">
      <c r="A274" s="92"/>
      <c r="B274" s="73"/>
      <c r="C274" s="93"/>
      <c r="D274" s="74" t="s">
        <v>6148</v>
      </c>
      <c r="E274" s="75"/>
    </row>
    <row r="275" spans="1:5" x14ac:dyDescent="0.25">
      <c r="A275" s="94"/>
      <c r="B275" s="76"/>
      <c r="C275" s="80"/>
      <c r="D275" s="78" t="s">
        <v>6149</v>
      </c>
      <c r="E275" s="75"/>
    </row>
    <row r="276" spans="1:5" ht="72" x14ac:dyDescent="0.25">
      <c r="A276" s="85"/>
      <c r="B276" s="73"/>
      <c r="C276" s="87" t="s">
        <v>6150</v>
      </c>
      <c r="D276" s="74"/>
      <c r="E276" s="75"/>
    </row>
    <row r="277" spans="1:5" ht="24" x14ac:dyDescent="0.25">
      <c r="A277" s="91"/>
      <c r="B277" s="76"/>
      <c r="C277" s="86" t="s">
        <v>6151</v>
      </c>
      <c r="D277" s="78" t="s">
        <v>6152</v>
      </c>
      <c r="E277" s="75"/>
    </row>
    <row r="278" spans="1:5" ht="24" x14ac:dyDescent="0.25">
      <c r="A278" s="92"/>
      <c r="B278" s="73"/>
      <c r="C278" s="93" t="s">
        <v>6153</v>
      </c>
      <c r="D278" s="74" t="s">
        <v>6154</v>
      </c>
      <c r="E278" s="75"/>
    </row>
    <row r="279" spans="1:5" ht="24" x14ac:dyDescent="0.25">
      <c r="A279" s="94"/>
      <c r="B279" s="76"/>
      <c r="C279" s="80" t="s">
        <v>6155</v>
      </c>
      <c r="D279" s="78" t="s">
        <v>6156</v>
      </c>
      <c r="E279" s="75"/>
    </row>
    <row r="280" spans="1:5" ht="36" x14ac:dyDescent="0.25">
      <c r="A280" s="92"/>
      <c r="B280" s="73"/>
      <c r="C280" s="93" t="s">
        <v>6157</v>
      </c>
      <c r="D280" s="74"/>
      <c r="E280" s="75"/>
    </row>
    <row r="281" spans="1:5" ht="36" x14ac:dyDescent="0.25">
      <c r="A281" s="94"/>
      <c r="B281" s="76"/>
      <c r="C281" s="80" t="s">
        <v>6158</v>
      </c>
      <c r="D281" s="78"/>
      <c r="E281" s="75"/>
    </row>
    <row r="282" spans="1:5" ht="48" x14ac:dyDescent="0.25">
      <c r="A282" s="92"/>
      <c r="B282" s="73"/>
      <c r="C282" s="93" t="s">
        <v>6159</v>
      </c>
      <c r="D282" s="74"/>
      <c r="E282" s="75"/>
    </row>
    <row r="283" spans="1:5" ht="24" x14ac:dyDescent="0.25">
      <c r="A283" s="76" t="s">
        <v>6160</v>
      </c>
      <c r="B283" s="94" t="s">
        <v>5134</v>
      </c>
      <c r="C283" s="76"/>
      <c r="D283" s="78"/>
      <c r="E283" s="75"/>
    </row>
    <row r="284" spans="1:5" ht="36" x14ac:dyDescent="0.25">
      <c r="A284" s="92"/>
      <c r="B284" s="73"/>
      <c r="C284" s="93" t="s">
        <v>6161</v>
      </c>
      <c r="D284" s="74" t="s">
        <v>6162</v>
      </c>
      <c r="E284" s="75"/>
    </row>
    <row r="285" spans="1:5" ht="48" x14ac:dyDescent="0.25">
      <c r="A285" s="94"/>
      <c r="B285" s="76"/>
      <c r="C285" s="96" t="s">
        <v>6163</v>
      </c>
      <c r="D285" s="78"/>
      <c r="E285" s="75"/>
    </row>
    <row r="286" spans="1:5" x14ac:dyDescent="0.25">
      <c r="A286" s="92"/>
      <c r="B286" s="73"/>
      <c r="C286" s="93" t="s">
        <v>6164</v>
      </c>
      <c r="D286" s="74" t="s">
        <v>6165</v>
      </c>
      <c r="E286" s="75"/>
    </row>
    <row r="287" spans="1:5" ht="36" x14ac:dyDescent="0.25">
      <c r="A287" s="94"/>
      <c r="B287" s="76"/>
      <c r="C287" s="96" t="s">
        <v>6166</v>
      </c>
      <c r="D287" s="78"/>
      <c r="E287" s="75"/>
    </row>
    <row r="288" spans="1:5" ht="24" x14ac:dyDescent="0.25">
      <c r="A288" s="92"/>
      <c r="B288" s="73"/>
      <c r="C288" s="93" t="s">
        <v>6167</v>
      </c>
      <c r="D288" s="74" t="s">
        <v>6168</v>
      </c>
      <c r="E288" s="75"/>
    </row>
    <row r="289" spans="1:5" ht="72" x14ac:dyDescent="0.25">
      <c r="A289" s="91"/>
      <c r="B289" s="76"/>
      <c r="C289" s="118" t="s">
        <v>6169</v>
      </c>
      <c r="D289" s="78" t="s">
        <v>6170</v>
      </c>
      <c r="E289" s="75"/>
    </row>
    <row r="290" spans="1:5" x14ac:dyDescent="0.25">
      <c r="A290" s="85"/>
      <c r="B290" s="119"/>
      <c r="C290" s="119"/>
      <c r="D290" s="74" t="s">
        <v>6171</v>
      </c>
      <c r="E290" s="75"/>
    </row>
    <row r="291" spans="1:5" x14ac:dyDescent="0.25">
      <c r="A291" s="91"/>
      <c r="B291" s="120"/>
      <c r="C291" s="120"/>
      <c r="D291" s="78" t="s">
        <v>6172</v>
      </c>
      <c r="E291" s="75"/>
    </row>
    <row r="292" spans="1:5" x14ac:dyDescent="0.25">
      <c r="A292" s="111"/>
      <c r="B292" s="111" t="s">
        <v>5135</v>
      </c>
      <c r="C292" s="112"/>
      <c r="D292" s="121"/>
      <c r="E292" s="75"/>
    </row>
    <row r="293" spans="1:5" ht="36" x14ac:dyDescent="0.25">
      <c r="A293" s="76" t="s">
        <v>6173</v>
      </c>
      <c r="B293" s="94" t="s">
        <v>6174</v>
      </c>
      <c r="C293" s="105"/>
      <c r="D293" s="78"/>
      <c r="E293" s="75"/>
    </row>
    <row r="294" spans="1:5" ht="48" x14ac:dyDescent="0.25">
      <c r="A294" s="92"/>
      <c r="B294" s="73"/>
      <c r="C294" s="122" t="s">
        <v>6175</v>
      </c>
      <c r="D294" s="74" t="s">
        <v>6176</v>
      </c>
      <c r="E294" s="75"/>
    </row>
    <row r="295" spans="1:5" x14ac:dyDescent="0.25">
      <c r="A295" s="94"/>
      <c r="B295" s="76"/>
      <c r="C295" s="123"/>
      <c r="D295" s="78" t="s">
        <v>6177</v>
      </c>
      <c r="E295" s="75"/>
    </row>
    <row r="296" spans="1:5" x14ac:dyDescent="0.25">
      <c r="A296" s="92"/>
      <c r="B296" s="73"/>
      <c r="C296" s="124"/>
      <c r="D296" s="74" t="s">
        <v>6177</v>
      </c>
      <c r="E296" s="75"/>
    </row>
    <row r="297" spans="1:5" ht="24" x14ac:dyDescent="0.25">
      <c r="A297" s="94"/>
      <c r="B297" s="76"/>
      <c r="C297" s="125" t="s">
        <v>6178</v>
      </c>
      <c r="D297" s="78"/>
      <c r="E297" s="75"/>
    </row>
    <row r="298" spans="1:5" ht="24" x14ac:dyDescent="0.25">
      <c r="A298" s="92"/>
      <c r="B298" s="73"/>
      <c r="C298" s="122" t="s">
        <v>6179</v>
      </c>
      <c r="D298" s="74"/>
      <c r="E298" s="75"/>
    </row>
    <row r="299" spans="1:5" ht="36" x14ac:dyDescent="0.25">
      <c r="A299" s="94"/>
      <c r="B299" s="76"/>
      <c r="C299" s="96" t="s">
        <v>6180</v>
      </c>
      <c r="D299" s="78"/>
      <c r="E299" s="75"/>
    </row>
    <row r="300" spans="1:5" ht="24" x14ac:dyDescent="0.25">
      <c r="A300" s="92"/>
      <c r="B300" s="73"/>
      <c r="C300" s="93" t="s">
        <v>6181</v>
      </c>
      <c r="D300" s="74" t="s">
        <v>6182</v>
      </c>
      <c r="E300" s="75"/>
    </row>
    <row r="301" spans="1:5" x14ac:dyDescent="0.25">
      <c r="A301" s="94"/>
      <c r="B301" s="76"/>
      <c r="C301" s="96"/>
      <c r="D301" s="78" t="s">
        <v>6183</v>
      </c>
      <c r="E301" s="75"/>
    </row>
    <row r="302" spans="1:5" ht="24" x14ac:dyDescent="0.25">
      <c r="A302" s="92"/>
      <c r="B302" s="73"/>
      <c r="C302" s="93" t="s">
        <v>6184</v>
      </c>
      <c r="D302" s="74"/>
      <c r="E302" s="75"/>
    </row>
    <row r="303" spans="1:5" ht="24" x14ac:dyDescent="0.25">
      <c r="A303" s="94"/>
      <c r="B303" s="76"/>
      <c r="C303" s="96" t="s">
        <v>6185</v>
      </c>
      <c r="D303" s="78" t="s">
        <v>6176</v>
      </c>
      <c r="E303" s="75"/>
    </row>
    <row r="304" spans="1:5" ht="24" x14ac:dyDescent="0.25">
      <c r="A304" s="92"/>
      <c r="B304" s="73"/>
      <c r="C304" s="93" t="s">
        <v>6186</v>
      </c>
      <c r="D304" s="74" t="s">
        <v>6176</v>
      </c>
      <c r="E304" s="75"/>
    </row>
    <row r="305" spans="1:5" x14ac:dyDescent="0.25">
      <c r="A305" s="94"/>
      <c r="B305" s="76"/>
      <c r="C305" s="96"/>
      <c r="D305" s="78" t="s">
        <v>6177</v>
      </c>
      <c r="E305" s="75"/>
    </row>
    <row r="306" spans="1:5" x14ac:dyDescent="0.25">
      <c r="A306" s="92"/>
      <c r="B306" s="73"/>
      <c r="C306" s="93"/>
      <c r="D306" s="74" t="s">
        <v>6182</v>
      </c>
      <c r="E306" s="75"/>
    </row>
    <row r="307" spans="1:5" x14ac:dyDescent="0.25">
      <c r="A307" s="94"/>
      <c r="B307" s="76"/>
      <c r="C307" s="96"/>
      <c r="D307" s="78" t="s">
        <v>6183</v>
      </c>
      <c r="E307" s="75"/>
    </row>
    <row r="308" spans="1:5" x14ac:dyDescent="0.25">
      <c r="A308" s="92"/>
      <c r="B308" s="73"/>
      <c r="C308" s="93"/>
      <c r="D308" s="74" t="s">
        <v>6187</v>
      </c>
      <c r="E308" s="75"/>
    </row>
    <row r="309" spans="1:5" x14ac:dyDescent="0.25">
      <c r="A309" s="94"/>
      <c r="B309" s="76"/>
      <c r="C309" s="96" t="s">
        <v>6188</v>
      </c>
      <c r="D309" s="78" t="s">
        <v>6176</v>
      </c>
      <c r="E309" s="75"/>
    </row>
    <row r="310" spans="1:5" x14ac:dyDescent="0.25">
      <c r="A310" s="92"/>
      <c r="B310" s="73"/>
      <c r="C310" s="93"/>
      <c r="D310" s="74" t="s">
        <v>6177</v>
      </c>
      <c r="E310" s="75"/>
    </row>
    <row r="311" spans="1:5" ht="36" x14ac:dyDescent="0.25">
      <c r="A311" s="94"/>
      <c r="B311" s="76"/>
      <c r="C311" s="96" t="s">
        <v>6189</v>
      </c>
      <c r="D311" s="78" t="s">
        <v>6176</v>
      </c>
      <c r="E311" s="75"/>
    </row>
    <row r="312" spans="1:5" x14ac:dyDescent="0.25">
      <c r="A312" s="92"/>
      <c r="B312" s="73"/>
      <c r="C312" s="93"/>
      <c r="D312" s="74" t="s">
        <v>6176</v>
      </c>
      <c r="E312" s="75"/>
    </row>
    <row r="313" spans="1:5" x14ac:dyDescent="0.25">
      <c r="A313" s="94"/>
      <c r="B313" s="76"/>
      <c r="C313" s="96"/>
      <c r="D313" s="78" t="s">
        <v>6176</v>
      </c>
      <c r="E313" s="75"/>
    </row>
    <row r="314" spans="1:5" ht="48" x14ac:dyDescent="0.25">
      <c r="A314" s="92"/>
      <c r="B314" s="73"/>
      <c r="C314" s="93" t="s">
        <v>6190</v>
      </c>
      <c r="D314" s="74" t="s">
        <v>6176</v>
      </c>
      <c r="E314" s="75"/>
    </row>
    <row r="315" spans="1:5" ht="24" x14ac:dyDescent="0.25">
      <c r="A315" s="94"/>
      <c r="B315" s="76"/>
      <c r="C315" s="96" t="s">
        <v>6191</v>
      </c>
      <c r="D315" s="78" t="s">
        <v>6176</v>
      </c>
      <c r="E315" s="75"/>
    </row>
    <row r="316" spans="1:5" ht="48" x14ac:dyDescent="0.25">
      <c r="A316" s="92"/>
      <c r="B316" s="73"/>
      <c r="C316" s="93" t="s">
        <v>6192</v>
      </c>
      <c r="D316" s="74" t="s">
        <v>6177</v>
      </c>
      <c r="E316" s="75"/>
    </row>
    <row r="317" spans="1:5" ht="36" x14ac:dyDescent="0.25">
      <c r="A317" s="94"/>
      <c r="B317" s="76"/>
      <c r="C317" s="125" t="s">
        <v>6193</v>
      </c>
      <c r="D317" s="78" t="s">
        <v>6176</v>
      </c>
      <c r="E317" s="75"/>
    </row>
    <row r="318" spans="1:5" ht="36" x14ac:dyDescent="0.25">
      <c r="A318" s="92"/>
      <c r="B318" s="73"/>
      <c r="C318" s="122" t="s">
        <v>6194</v>
      </c>
      <c r="D318" s="74"/>
      <c r="E318" s="75"/>
    </row>
    <row r="319" spans="1:5" x14ac:dyDescent="0.25">
      <c r="A319" s="69"/>
      <c r="B319" s="69" t="s">
        <v>5136</v>
      </c>
      <c r="C319" s="103"/>
      <c r="D319" s="121"/>
      <c r="E319" s="75"/>
    </row>
    <row r="320" spans="1:5" ht="24" x14ac:dyDescent="0.25">
      <c r="A320" s="73" t="s">
        <v>6195</v>
      </c>
      <c r="B320" s="92" t="s">
        <v>5137</v>
      </c>
      <c r="C320" s="110"/>
      <c r="D320" s="74"/>
      <c r="E320" s="75"/>
    </row>
    <row r="321" spans="1:5" ht="72" x14ac:dyDescent="0.25">
      <c r="A321" s="94"/>
      <c r="B321" s="76"/>
      <c r="C321" s="88" t="s">
        <v>6196</v>
      </c>
      <c r="D321" s="78" t="s">
        <v>6127</v>
      </c>
      <c r="E321" s="75"/>
    </row>
    <row r="322" spans="1:5" x14ac:dyDescent="0.25">
      <c r="A322" s="92"/>
      <c r="B322" s="73"/>
      <c r="C322" s="87"/>
      <c r="D322" s="74" t="s">
        <v>6197</v>
      </c>
      <c r="E322" s="75"/>
    </row>
    <row r="323" spans="1:5" ht="48" x14ac:dyDescent="0.25">
      <c r="A323" s="94"/>
      <c r="B323" s="76"/>
      <c r="C323" s="96" t="s">
        <v>6198</v>
      </c>
      <c r="D323" s="78"/>
      <c r="E323" s="75"/>
    </row>
    <row r="324" spans="1:5" ht="24" x14ac:dyDescent="0.25">
      <c r="A324" s="73" t="s">
        <v>6199</v>
      </c>
      <c r="B324" s="92" t="s">
        <v>5138</v>
      </c>
      <c r="C324" s="73"/>
      <c r="D324" s="74"/>
      <c r="E324" s="75"/>
    </row>
    <row r="325" spans="1:5" ht="48" x14ac:dyDescent="0.25">
      <c r="A325" s="94"/>
      <c r="B325" s="76"/>
      <c r="C325" s="96" t="s">
        <v>6200</v>
      </c>
      <c r="D325" s="78" t="s">
        <v>6201</v>
      </c>
      <c r="E325" s="75"/>
    </row>
    <row r="326" spans="1:5" x14ac:dyDescent="0.25">
      <c r="A326" s="92"/>
      <c r="B326" s="73"/>
      <c r="C326" s="93"/>
      <c r="D326" s="74" t="s">
        <v>6203</v>
      </c>
      <c r="E326" s="75"/>
    </row>
    <row r="327" spans="1:5" ht="36" x14ac:dyDescent="0.25">
      <c r="A327" s="94"/>
      <c r="B327" s="76"/>
      <c r="C327" s="96" t="s">
        <v>6204</v>
      </c>
      <c r="D327" s="78" t="s">
        <v>6205</v>
      </c>
      <c r="E327" s="75"/>
    </row>
    <row r="328" spans="1:5" ht="36" x14ac:dyDescent="0.25">
      <c r="A328" s="92"/>
      <c r="B328" s="73"/>
      <c r="C328" s="93" t="s">
        <v>6206</v>
      </c>
      <c r="D328" s="74"/>
      <c r="E328" s="75"/>
    </row>
    <row r="329" spans="1:5" ht="36" x14ac:dyDescent="0.25">
      <c r="A329" s="94"/>
      <c r="B329" s="76"/>
      <c r="C329" s="96" t="s">
        <v>6207</v>
      </c>
      <c r="D329" s="78"/>
      <c r="E329" s="75"/>
    </row>
    <row r="330" spans="1:5" ht="36" x14ac:dyDescent="0.25">
      <c r="A330" s="92"/>
      <c r="B330" s="73"/>
      <c r="C330" s="93" t="s">
        <v>6208</v>
      </c>
      <c r="D330" s="74"/>
      <c r="E330" s="75"/>
    </row>
    <row r="331" spans="1:5" ht="24" x14ac:dyDescent="0.25">
      <c r="A331" s="94"/>
      <c r="B331" s="76"/>
      <c r="C331" s="96" t="s">
        <v>6209</v>
      </c>
      <c r="D331" s="78" t="s">
        <v>6210</v>
      </c>
      <c r="E331" s="75"/>
    </row>
    <row r="332" spans="1:5" ht="36" x14ac:dyDescent="0.25">
      <c r="A332" s="92"/>
      <c r="B332" s="73"/>
      <c r="C332" s="93" t="s">
        <v>6211</v>
      </c>
      <c r="D332" s="74"/>
      <c r="E332" s="75"/>
    </row>
    <row r="333" spans="1:5" ht="36" x14ac:dyDescent="0.25">
      <c r="A333" s="94"/>
      <c r="B333" s="76"/>
      <c r="C333" s="96" t="s">
        <v>6212</v>
      </c>
      <c r="D333" s="78"/>
      <c r="E333" s="75"/>
    </row>
    <row r="334" spans="1:5" ht="48" x14ac:dyDescent="0.25">
      <c r="A334" s="85"/>
      <c r="B334" s="73"/>
      <c r="C334" s="87" t="s">
        <v>6213</v>
      </c>
      <c r="D334" s="74"/>
      <c r="E334" s="75"/>
    </row>
    <row r="335" spans="1:5" ht="48" x14ac:dyDescent="0.25">
      <c r="A335" s="91"/>
      <c r="B335" s="76"/>
      <c r="C335" s="88" t="s">
        <v>6214</v>
      </c>
      <c r="D335" s="78"/>
      <c r="E335" s="75"/>
    </row>
    <row r="336" spans="1:5" ht="48" x14ac:dyDescent="0.25">
      <c r="A336" s="85"/>
      <c r="B336" s="73"/>
      <c r="C336" s="87" t="s">
        <v>6215</v>
      </c>
      <c r="D336" s="74"/>
      <c r="E336" s="75"/>
    </row>
    <row r="337" spans="1:5" ht="48" x14ac:dyDescent="0.25">
      <c r="A337" s="91"/>
      <c r="B337" s="76"/>
      <c r="C337" s="126" t="s">
        <v>6216</v>
      </c>
      <c r="D337" s="78"/>
      <c r="E337" s="75"/>
    </row>
    <row r="338" spans="1:5" x14ac:dyDescent="0.25">
      <c r="A338" s="85"/>
      <c r="B338" s="73"/>
      <c r="C338" s="127"/>
      <c r="D338" s="74" t="s">
        <v>5769</v>
      </c>
      <c r="E338" s="75"/>
    </row>
    <row r="339" spans="1:5" x14ac:dyDescent="0.25">
      <c r="A339" s="91"/>
      <c r="B339" s="76"/>
      <c r="C339" s="126"/>
      <c r="D339" s="78" t="s">
        <v>6210</v>
      </c>
      <c r="E339" s="75"/>
    </row>
    <row r="340" spans="1:5" x14ac:dyDescent="0.25">
      <c r="A340" s="69"/>
      <c r="B340" s="69" t="s">
        <v>5139</v>
      </c>
      <c r="C340" s="103"/>
      <c r="D340" s="121"/>
      <c r="E340" s="75"/>
    </row>
    <row r="341" spans="1:5" ht="48" x14ac:dyDescent="0.25">
      <c r="A341" s="73" t="s">
        <v>6217</v>
      </c>
      <c r="B341" s="92" t="s">
        <v>5140</v>
      </c>
      <c r="C341" s="110"/>
      <c r="D341" s="74"/>
      <c r="E341" s="75"/>
    </row>
    <row r="342" spans="1:5" ht="36" x14ac:dyDescent="0.25">
      <c r="A342" s="94"/>
      <c r="B342" s="76"/>
      <c r="C342" s="125" t="s">
        <v>6218</v>
      </c>
      <c r="D342" s="78" t="s">
        <v>6219</v>
      </c>
      <c r="E342" s="75"/>
    </row>
    <row r="343" spans="1:5" ht="48" x14ac:dyDescent="0.25">
      <c r="A343" s="92"/>
      <c r="B343" s="73"/>
      <c r="C343" s="122" t="s">
        <v>6220</v>
      </c>
      <c r="D343" s="74" t="s">
        <v>6219</v>
      </c>
      <c r="E343" s="75"/>
    </row>
    <row r="344" spans="1:5" ht="24" x14ac:dyDescent="0.25">
      <c r="A344" s="94"/>
      <c r="B344" s="76"/>
      <c r="C344" s="125" t="s">
        <v>6221</v>
      </c>
      <c r="D344" s="78" t="s">
        <v>6219</v>
      </c>
      <c r="E344" s="75"/>
    </row>
    <row r="345" spans="1:5" ht="48" x14ac:dyDescent="0.25">
      <c r="A345" s="73" t="s">
        <v>6222</v>
      </c>
      <c r="B345" s="92" t="s">
        <v>5141</v>
      </c>
      <c r="C345" s="110"/>
      <c r="D345" s="74"/>
      <c r="E345" s="75"/>
    </row>
    <row r="346" spans="1:5" ht="48" x14ac:dyDescent="0.25">
      <c r="A346" s="94"/>
      <c r="B346" s="76"/>
      <c r="C346" s="125" t="s">
        <v>6223</v>
      </c>
      <c r="D346" s="78" t="s">
        <v>6224</v>
      </c>
      <c r="E346" s="75"/>
    </row>
    <row r="347" spans="1:5" ht="24" x14ac:dyDescent="0.25">
      <c r="A347" s="92"/>
      <c r="B347" s="73"/>
      <c r="C347" s="122" t="s">
        <v>6225</v>
      </c>
      <c r="D347" s="74"/>
      <c r="E347" s="75"/>
    </row>
    <row r="348" spans="1:5" ht="36" x14ac:dyDescent="0.25">
      <c r="A348" s="94"/>
      <c r="B348" s="76"/>
      <c r="C348" s="125" t="s">
        <v>6226</v>
      </c>
      <c r="D348" s="78"/>
      <c r="E348" s="75"/>
    </row>
    <row r="349" spans="1:5" ht="24" x14ac:dyDescent="0.25">
      <c r="A349" s="92"/>
      <c r="B349" s="73"/>
      <c r="C349" s="122" t="s">
        <v>6227</v>
      </c>
      <c r="D349" s="74"/>
      <c r="E349" s="75"/>
    </row>
    <row r="350" spans="1:5" ht="53.25" customHeight="1" x14ac:dyDescent="0.25">
      <c r="A350" s="94"/>
      <c r="B350" s="76"/>
      <c r="C350" s="125" t="s">
        <v>6228</v>
      </c>
      <c r="D350" s="128" t="s">
        <v>6229</v>
      </c>
      <c r="E350" s="75"/>
    </row>
    <row r="351" spans="1:5" ht="36" x14ac:dyDescent="0.25">
      <c r="A351" s="92"/>
      <c r="B351" s="73"/>
      <c r="C351" s="122" t="s">
        <v>6230</v>
      </c>
      <c r="D351" s="74"/>
      <c r="E351" s="75"/>
    </row>
    <row r="352" spans="1:5" ht="24" x14ac:dyDescent="0.25">
      <c r="A352" s="94"/>
      <c r="B352" s="76"/>
      <c r="C352" s="125" t="s">
        <v>6231</v>
      </c>
      <c r="D352" s="78" t="s">
        <v>6232</v>
      </c>
      <c r="E352" s="75"/>
    </row>
    <row r="353" spans="1:9" ht="24" x14ac:dyDescent="0.25">
      <c r="A353" s="92"/>
      <c r="B353" s="73"/>
      <c r="C353" s="122" t="s">
        <v>6233</v>
      </c>
      <c r="D353" s="74" t="s">
        <v>6232</v>
      </c>
      <c r="E353" s="75"/>
    </row>
    <row r="354" spans="1:9" x14ac:dyDescent="0.25">
      <c r="A354" s="94"/>
      <c r="B354" s="76"/>
      <c r="C354" s="125"/>
      <c r="D354" s="78" t="s">
        <v>6232</v>
      </c>
      <c r="E354" s="75"/>
    </row>
    <row r="355" spans="1:9" ht="42.75" customHeight="1" x14ac:dyDescent="0.25">
      <c r="A355" s="92"/>
      <c r="B355" s="73"/>
      <c r="C355" s="122" t="s">
        <v>6234</v>
      </c>
      <c r="D355" s="74" t="s">
        <v>6232</v>
      </c>
      <c r="E355" s="75"/>
    </row>
    <row r="356" spans="1:9" ht="36" x14ac:dyDescent="0.25">
      <c r="A356" s="94"/>
      <c r="B356" s="76"/>
      <c r="C356" s="125" t="s">
        <v>6235</v>
      </c>
      <c r="D356" s="128" t="s">
        <v>6229</v>
      </c>
      <c r="E356" s="75"/>
    </row>
    <row r="357" spans="1:9" ht="24" x14ac:dyDescent="0.25">
      <c r="A357" s="73" t="s">
        <v>6236</v>
      </c>
      <c r="B357" s="92" t="s">
        <v>5142</v>
      </c>
      <c r="C357" s="110"/>
      <c r="D357" s="74"/>
      <c r="E357" s="75"/>
    </row>
    <row r="358" spans="1:9" ht="72" x14ac:dyDescent="0.25">
      <c r="A358" s="94"/>
      <c r="B358" s="76"/>
      <c r="C358" s="125" t="s">
        <v>6237</v>
      </c>
      <c r="D358" s="78" t="s">
        <v>6129</v>
      </c>
      <c r="E358" s="75"/>
    </row>
    <row r="359" spans="1:9" x14ac:dyDescent="0.25">
      <c r="A359" s="92"/>
      <c r="B359" s="73"/>
      <c r="C359" s="122"/>
      <c r="D359" s="74" t="s">
        <v>6197</v>
      </c>
      <c r="E359" s="75"/>
    </row>
    <row r="360" spans="1:9" ht="24" x14ac:dyDescent="0.25">
      <c r="A360" s="94"/>
      <c r="B360" s="76"/>
      <c r="C360" s="125" t="s">
        <v>6238</v>
      </c>
      <c r="D360" s="78" t="s">
        <v>6232</v>
      </c>
      <c r="E360" s="75"/>
    </row>
    <row r="361" spans="1:9" x14ac:dyDescent="0.25">
      <c r="A361" s="69"/>
      <c r="B361" s="69" t="s">
        <v>5143</v>
      </c>
      <c r="C361" s="103"/>
      <c r="D361" s="121"/>
      <c r="E361" s="75"/>
    </row>
    <row r="362" spans="1:9" ht="24" x14ac:dyDescent="0.25">
      <c r="A362" s="73" t="s">
        <v>6239</v>
      </c>
      <c r="B362" s="92" t="s">
        <v>5144</v>
      </c>
      <c r="C362" s="110"/>
      <c r="D362" s="74"/>
      <c r="E362" s="75"/>
    </row>
    <row r="363" spans="1:9" ht="36" x14ac:dyDescent="0.25">
      <c r="A363" s="94"/>
      <c r="B363" s="76"/>
      <c r="C363" s="125" t="s">
        <v>6240</v>
      </c>
      <c r="D363" s="78"/>
      <c r="E363" s="75"/>
    </row>
    <row r="364" spans="1:9" ht="36" x14ac:dyDescent="0.25">
      <c r="A364" s="92"/>
      <c r="B364" s="73"/>
      <c r="C364" s="122" t="s">
        <v>6241</v>
      </c>
      <c r="D364" s="74"/>
      <c r="E364" s="75"/>
    </row>
    <row r="365" spans="1:9" ht="24" x14ac:dyDescent="0.25">
      <c r="A365" s="76" t="s">
        <v>6242</v>
      </c>
      <c r="B365" s="94" t="s">
        <v>5145</v>
      </c>
      <c r="C365" s="105"/>
      <c r="D365" s="78"/>
      <c r="E365" s="75"/>
    </row>
    <row r="366" spans="1:9" ht="36" x14ac:dyDescent="0.25">
      <c r="A366" s="73"/>
      <c r="B366" s="73"/>
      <c r="C366" s="122" t="s">
        <v>6243</v>
      </c>
      <c r="D366" s="74" t="s">
        <v>6244</v>
      </c>
      <c r="E366" s="75"/>
    </row>
    <row r="367" spans="1:9" ht="24" x14ac:dyDescent="0.25">
      <c r="A367" s="76"/>
      <c r="B367" s="76"/>
      <c r="C367" s="125" t="s">
        <v>6245</v>
      </c>
      <c r="D367" s="78" t="s">
        <v>6244</v>
      </c>
      <c r="E367" s="75"/>
    </row>
    <row r="368" spans="1:9" s="131" customFormat="1" ht="37.5" customHeight="1" x14ac:dyDescent="0.25">
      <c r="A368" s="188" t="s">
        <v>6246</v>
      </c>
      <c r="B368" s="188"/>
      <c r="C368" s="188"/>
      <c r="D368" s="129"/>
      <c r="E368" s="130"/>
      <c r="G368" s="132"/>
      <c r="I368" s="132"/>
    </row>
    <row r="369" spans="1:9" s="131" customFormat="1" ht="68.25" customHeight="1" x14ac:dyDescent="0.25">
      <c r="A369" s="133" t="s">
        <v>6247</v>
      </c>
      <c r="B369" s="134"/>
      <c r="E369" s="132"/>
      <c r="G369" s="132"/>
      <c r="I369" s="132"/>
    </row>
  </sheetData>
  <mergeCells count="1">
    <mergeCell ref="A368:C36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A8D94-71C3-429F-9E14-7F45133478ED}">
  <sheetPr>
    <tabColor rgb="FF7030A0"/>
    <pageSetUpPr fitToPage="1"/>
  </sheetPr>
  <dimension ref="A1:M109"/>
  <sheetViews>
    <sheetView showGridLines="0" zoomScaleNormal="100" workbookViewId="0">
      <pane ySplit="1" topLeftCell="A5" activePane="bottomLeft" state="frozen"/>
      <selection pane="bottomLeft" activeCell="F7" sqref="F7"/>
    </sheetView>
  </sheetViews>
  <sheetFormatPr defaultColWidth="8" defaultRowHeight="15" x14ac:dyDescent="0.25"/>
  <cols>
    <col min="1" max="1" width="7.625" style="169" customWidth="1"/>
    <col min="2" max="2" width="9.5" style="169" customWidth="1"/>
    <col min="3" max="3" width="14" style="169" customWidth="1"/>
    <col min="4" max="4" width="9.5" style="169" customWidth="1"/>
    <col min="5" max="5" width="54.125" style="169" customWidth="1"/>
    <col min="6" max="6" width="12.375" style="169" bestFit="1" customWidth="1"/>
    <col min="7" max="7" width="33.875" style="169" customWidth="1"/>
    <col min="8" max="10" width="9.375" style="169" customWidth="1"/>
    <col min="11" max="11" width="26.875" style="169" customWidth="1"/>
    <col min="12" max="13" width="9.375" style="169" customWidth="1"/>
    <col min="14" max="16384" width="8" style="169"/>
  </cols>
  <sheetData>
    <row r="1" spans="1:13" s="140" customFormat="1" ht="54.95" customHeight="1" x14ac:dyDescent="0.25">
      <c r="A1" s="140" t="s">
        <v>6384</v>
      </c>
      <c r="B1" s="140" t="s">
        <v>5785</v>
      </c>
      <c r="C1" s="140" t="s">
        <v>6385</v>
      </c>
      <c r="D1" s="140" t="s">
        <v>1</v>
      </c>
      <c r="E1" s="140" t="s">
        <v>6386</v>
      </c>
      <c r="F1" s="140" t="s">
        <v>6387</v>
      </c>
      <c r="G1" s="140" t="s">
        <v>6388</v>
      </c>
      <c r="H1" s="141" t="s">
        <v>6389</v>
      </c>
      <c r="I1" s="141" t="s">
        <v>6390</v>
      </c>
      <c r="J1" s="141" t="s">
        <v>6391</v>
      </c>
      <c r="K1" s="141" t="s">
        <v>6392</v>
      </c>
      <c r="L1" s="141" t="s">
        <v>6393</v>
      </c>
      <c r="M1" s="141" t="s">
        <v>6394</v>
      </c>
    </row>
    <row r="2" spans="1:13" s="140" customFormat="1" ht="80.25" customHeight="1" x14ac:dyDescent="0.25">
      <c r="A2" s="140" t="s">
        <v>6395</v>
      </c>
      <c r="B2" s="142" t="s">
        <v>6396</v>
      </c>
      <c r="C2" s="142" t="s">
        <v>6397</v>
      </c>
      <c r="D2" s="143" t="s">
        <v>6398</v>
      </c>
      <c r="E2" s="144" t="s">
        <v>6399</v>
      </c>
      <c r="F2" s="145" t="s">
        <v>5979</v>
      </c>
      <c r="G2" s="146" t="s">
        <v>6400</v>
      </c>
      <c r="H2" s="147" t="s">
        <v>6401</v>
      </c>
      <c r="I2" s="140" t="s">
        <v>6402</v>
      </c>
      <c r="J2" s="140" t="s">
        <v>6403</v>
      </c>
      <c r="K2" s="140" t="s">
        <v>6404</v>
      </c>
      <c r="M2" s="140" t="s">
        <v>6405</v>
      </c>
    </row>
    <row r="3" spans="1:13" s="140" customFormat="1" ht="80.25" customHeight="1" x14ac:dyDescent="0.25">
      <c r="A3" s="140" t="s">
        <v>6406</v>
      </c>
      <c r="B3" s="142" t="s">
        <v>6396</v>
      </c>
      <c r="C3" s="142" t="s">
        <v>6397</v>
      </c>
      <c r="D3" s="143" t="s">
        <v>6398</v>
      </c>
      <c r="E3" s="144" t="s">
        <v>6399</v>
      </c>
      <c r="F3" s="145" t="s">
        <v>5980</v>
      </c>
      <c r="G3" s="146" t="s">
        <v>6407</v>
      </c>
      <c r="H3" s="147" t="s">
        <v>6408</v>
      </c>
      <c r="I3" s="140" t="s">
        <v>6402</v>
      </c>
      <c r="J3" s="140" t="s">
        <v>6409</v>
      </c>
      <c r="K3" s="140" t="s">
        <v>6410</v>
      </c>
      <c r="M3" s="140" t="s">
        <v>6411</v>
      </c>
    </row>
    <row r="4" spans="1:13" s="140" customFormat="1" ht="80.25" customHeight="1" x14ac:dyDescent="0.25">
      <c r="A4" s="140" t="s">
        <v>6412</v>
      </c>
      <c r="B4" s="142" t="s">
        <v>6396</v>
      </c>
      <c r="C4" s="142" t="s">
        <v>6397</v>
      </c>
      <c r="D4" s="143" t="s">
        <v>6398</v>
      </c>
      <c r="E4" s="144" t="s">
        <v>6399</v>
      </c>
      <c r="F4" s="145" t="s">
        <v>5981</v>
      </c>
      <c r="G4" s="146" t="s">
        <v>6413</v>
      </c>
      <c r="H4" s="147" t="s">
        <v>6414</v>
      </c>
      <c r="I4" s="140" t="s">
        <v>6415</v>
      </c>
      <c r="J4" s="140" t="s">
        <v>6416</v>
      </c>
      <c r="K4" s="140" t="s">
        <v>6417</v>
      </c>
      <c r="M4" s="140" t="s">
        <v>6418</v>
      </c>
    </row>
    <row r="5" spans="1:13" s="140" customFormat="1" ht="80.25" customHeight="1" x14ac:dyDescent="0.25">
      <c r="A5" s="140" t="s">
        <v>6419</v>
      </c>
      <c r="B5" s="142" t="s">
        <v>6396</v>
      </c>
      <c r="C5" s="142" t="s">
        <v>6397</v>
      </c>
      <c r="D5" s="143" t="s">
        <v>6398</v>
      </c>
      <c r="E5" s="144" t="s">
        <v>6399</v>
      </c>
      <c r="F5" s="145" t="s">
        <v>5982</v>
      </c>
      <c r="G5" s="146" t="s">
        <v>6420</v>
      </c>
      <c r="H5" s="147" t="s">
        <v>6414</v>
      </c>
      <c r="I5" s="140" t="s">
        <v>6421</v>
      </c>
      <c r="J5" s="140" t="s">
        <v>6422</v>
      </c>
      <c r="K5" s="140" t="s">
        <v>6423</v>
      </c>
      <c r="M5" s="140" t="s">
        <v>6424</v>
      </c>
    </row>
    <row r="6" spans="1:13" s="140" customFormat="1" ht="80.25" customHeight="1" x14ac:dyDescent="0.25">
      <c r="A6" s="140" t="s">
        <v>6425</v>
      </c>
      <c r="B6" s="142" t="s">
        <v>6396</v>
      </c>
      <c r="C6" s="142" t="s">
        <v>6397</v>
      </c>
      <c r="D6" s="143" t="s">
        <v>6398</v>
      </c>
      <c r="E6" s="144" t="s">
        <v>6399</v>
      </c>
      <c r="F6" s="145" t="s">
        <v>5983</v>
      </c>
      <c r="G6" s="146" t="s">
        <v>6426</v>
      </c>
      <c r="H6" s="147" t="s">
        <v>6427</v>
      </c>
      <c r="I6" s="140" t="s">
        <v>6428</v>
      </c>
      <c r="J6" s="140" t="s">
        <v>6429</v>
      </c>
      <c r="K6" s="140" t="s">
        <v>6430</v>
      </c>
      <c r="M6" s="140" t="s">
        <v>6431</v>
      </c>
    </row>
    <row r="7" spans="1:13" s="140" customFormat="1" ht="80.25" customHeight="1" x14ac:dyDescent="0.25">
      <c r="A7" s="140" t="s">
        <v>6432</v>
      </c>
      <c r="B7" s="142" t="s">
        <v>6396</v>
      </c>
      <c r="C7" s="142" t="s">
        <v>6397</v>
      </c>
      <c r="D7" s="143" t="s">
        <v>6398</v>
      </c>
      <c r="E7" s="144" t="s">
        <v>6399</v>
      </c>
      <c r="F7" s="145" t="s">
        <v>5765</v>
      </c>
      <c r="G7" s="146" t="s">
        <v>6433</v>
      </c>
      <c r="H7" s="147" t="s">
        <v>6434</v>
      </c>
      <c r="I7" s="140" t="s">
        <v>6435</v>
      </c>
      <c r="J7" s="140" t="s">
        <v>6436</v>
      </c>
      <c r="K7" s="140" t="s">
        <v>6437</v>
      </c>
      <c r="M7" s="140" t="s">
        <v>6438</v>
      </c>
    </row>
    <row r="8" spans="1:13" s="140" customFormat="1" ht="80.25" customHeight="1" x14ac:dyDescent="0.25">
      <c r="A8" s="140" t="s">
        <v>6439</v>
      </c>
      <c r="B8" s="142" t="s">
        <v>6396</v>
      </c>
      <c r="C8" s="142" t="s">
        <v>6397</v>
      </c>
      <c r="D8" s="143" t="s">
        <v>6440</v>
      </c>
      <c r="E8" s="144" t="s">
        <v>6441</v>
      </c>
      <c r="F8" s="145" t="s">
        <v>5943</v>
      </c>
      <c r="G8" s="146" t="s">
        <v>6442</v>
      </c>
      <c r="I8" s="140" t="s">
        <v>6443</v>
      </c>
      <c r="J8" s="140" t="s">
        <v>6444</v>
      </c>
      <c r="K8" s="140" t="s">
        <v>6445</v>
      </c>
      <c r="M8" s="140" t="s">
        <v>6446</v>
      </c>
    </row>
    <row r="9" spans="1:13" s="140" customFormat="1" ht="80.25" customHeight="1" x14ac:dyDescent="0.25">
      <c r="A9" s="140" t="s">
        <v>6447</v>
      </c>
      <c r="B9" s="142" t="s">
        <v>6396</v>
      </c>
      <c r="C9" s="142" t="s">
        <v>6397</v>
      </c>
      <c r="D9" s="143" t="s">
        <v>6440</v>
      </c>
      <c r="E9" s="144" t="s">
        <v>6441</v>
      </c>
      <c r="F9" s="145" t="s">
        <v>5944</v>
      </c>
      <c r="G9" s="146" t="s">
        <v>6448</v>
      </c>
      <c r="J9" s="140" t="s">
        <v>6449</v>
      </c>
      <c r="K9" s="140" t="s">
        <v>6445</v>
      </c>
      <c r="M9" s="140" t="s">
        <v>6450</v>
      </c>
    </row>
    <row r="10" spans="1:13" s="140" customFormat="1" ht="80.25" customHeight="1" x14ac:dyDescent="0.25">
      <c r="A10" s="140" t="s">
        <v>6451</v>
      </c>
      <c r="B10" s="142" t="s">
        <v>6396</v>
      </c>
      <c r="C10" s="142" t="s">
        <v>6397</v>
      </c>
      <c r="D10" s="143" t="s">
        <v>6440</v>
      </c>
      <c r="E10" s="144" t="s">
        <v>6441</v>
      </c>
      <c r="F10" s="145" t="s">
        <v>5945</v>
      </c>
      <c r="G10" s="146" t="s">
        <v>6452</v>
      </c>
      <c r="J10" s="140" t="s">
        <v>6453</v>
      </c>
      <c r="K10" s="140" t="s">
        <v>6454</v>
      </c>
      <c r="M10" s="140" t="s">
        <v>6455</v>
      </c>
    </row>
    <row r="11" spans="1:13" s="140" customFormat="1" ht="80.25" customHeight="1" x14ac:dyDescent="0.25">
      <c r="A11" s="140" t="s">
        <v>6456</v>
      </c>
      <c r="B11" s="142" t="s">
        <v>6396</v>
      </c>
      <c r="C11" s="142" t="s">
        <v>6397</v>
      </c>
      <c r="D11" s="143" t="s">
        <v>6440</v>
      </c>
      <c r="E11" s="144" t="s">
        <v>6441</v>
      </c>
      <c r="F11" s="145" t="s">
        <v>5946</v>
      </c>
      <c r="G11" s="146" t="s">
        <v>6457</v>
      </c>
      <c r="I11" s="140" t="s">
        <v>6458</v>
      </c>
      <c r="J11" s="140" t="s">
        <v>6459</v>
      </c>
      <c r="K11" s="140" t="s">
        <v>6460</v>
      </c>
    </row>
    <row r="12" spans="1:13" s="140" customFormat="1" ht="80.25" customHeight="1" x14ac:dyDescent="0.25">
      <c r="A12" s="140" t="s">
        <v>6461</v>
      </c>
      <c r="B12" s="142" t="s">
        <v>6396</v>
      </c>
      <c r="C12" s="142" t="s">
        <v>6397</v>
      </c>
      <c r="D12" s="143" t="s">
        <v>6440</v>
      </c>
      <c r="E12" s="144" t="s">
        <v>6441</v>
      </c>
      <c r="F12" s="145" t="s">
        <v>5947</v>
      </c>
      <c r="G12" s="146" t="s">
        <v>6462</v>
      </c>
      <c r="I12" s="140" t="s">
        <v>6463</v>
      </c>
      <c r="J12" s="140" t="s">
        <v>6464</v>
      </c>
      <c r="K12" s="140" t="s">
        <v>6465</v>
      </c>
      <c r="M12" s="140" t="s">
        <v>6466</v>
      </c>
    </row>
    <row r="13" spans="1:13" s="140" customFormat="1" ht="80.25" customHeight="1" x14ac:dyDescent="0.25">
      <c r="A13" s="140" t="s">
        <v>6467</v>
      </c>
      <c r="B13" s="142" t="s">
        <v>6396</v>
      </c>
      <c r="C13" s="142" t="s">
        <v>6397</v>
      </c>
      <c r="D13" s="143" t="s">
        <v>6468</v>
      </c>
      <c r="E13" s="144" t="s">
        <v>6469</v>
      </c>
      <c r="F13" s="145" t="s">
        <v>6029</v>
      </c>
      <c r="G13" s="146" t="s">
        <v>6470</v>
      </c>
      <c r="H13" s="147" t="s">
        <v>6471</v>
      </c>
      <c r="I13" s="140" t="s">
        <v>6472</v>
      </c>
      <c r="J13" s="140" t="s">
        <v>6473</v>
      </c>
      <c r="K13" s="140" t="s">
        <v>6474</v>
      </c>
      <c r="M13" s="140" t="s">
        <v>6475</v>
      </c>
    </row>
    <row r="14" spans="1:13" s="140" customFormat="1" ht="80.25" customHeight="1" x14ac:dyDescent="0.25">
      <c r="A14" s="140" t="s">
        <v>6476</v>
      </c>
      <c r="B14" s="142" t="s">
        <v>6396</v>
      </c>
      <c r="C14" s="142" t="s">
        <v>6397</v>
      </c>
      <c r="D14" s="143" t="s">
        <v>6468</v>
      </c>
      <c r="E14" s="144" t="s">
        <v>6469</v>
      </c>
      <c r="F14" s="145" t="s">
        <v>5873</v>
      </c>
      <c r="G14" s="146" t="s">
        <v>6477</v>
      </c>
      <c r="H14" s="147" t="s">
        <v>6471</v>
      </c>
      <c r="I14" s="140" t="s">
        <v>6478</v>
      </c>
      <c r="J14" s="140" t="s">
        <v>6479</v>
      </c>
      <c r="K14" s="140" t="s">
        <v>6480</v>
      </c>
      <c r="M14" s="140" t="s">
        <v>6481</v>
      </c>
    </row>
    <row r="15" spans="1:13" s="140" customFormat="1" ht="80.25" customHeight="1" x14ac:dyDescent="0.25">
      <c r="A15" s="140" t="s">
        <v>6482</v>
      </c>
      <c r="B15" s="142" t="s">
        <v>6396</v>
      </c>
      <c r="C15" s="142" t="s">
        <v>6397</v>
      </c>
      <c r="D15" s="143" t="s">
        <v>6468</v>
      </c>
      <c r="E15" s="144" t="s">
        <v>6469</v>
      </c>
      <c r="F15" s="145" t="s">
        <v>5964</v>
      </c>
      <c r="G15" s="146" t="s">
        <v>6483</v>
      </c>
      <c r="H15" s="147" t="s">
        <v>6471</v>
      </c>
      <c r="I15" s="140" t="s">
        <v>6484</v>
      </c>
      <c r="J15" s="140" t="s">
        <v>6485</v>
      </c>
      <c r="K15" s="140" t="s">
        <v>6486</v>
      </c>
      <c r="M15" s="140" t="s">
        <v>6487</v>
      </c>
    </row>
    <row r="16" spans="1:13" s="140" customFormat="1" ht="80.25" customHeight="1" x14ac:dyDescent="0.25">
      <c r="A16" s="140" t="s">
        <v>6488</v>
      </c>
      <c r="B16" s="142" t="s">
        <v>6396</v>
      </c>
      <c r="C16" s="142" t="s">
        <v>6397</v>
      </c>
      <c r="D16" s="143" t="s">
        <v>6468</v>
      </c>
      <c r="E16" s="144" t="s">
        <v>6469</v>
      </c>
      <c r="F16" s="145" t="s">
        <v>5952</v>
      </c>
      <c r="G16" s="146" t="s">
        <v>6489</v>
      </c>
      <c r="J16" s="140" t="s">
        <v>6490</v>
      </c>
      <c r="K16" s="140" t="s">
        <v>6491</v>
      </c>
      <c r="M16" s="140" t="s">
        <v>6466</v>
      </c>
    </row>
    <row r="17" spans="1:13" s="140" customFormat="1" ht="80.25" customHeight="1" x14ac:dyDescent="0.25">
      <c r="A17" s="140" t="s">
        <v>6492</v>
      </c>
      <c r="B17" s="142" t="s">
        <v>6396</v>
      </c>
      <c r="C17" s="142" t="s">
        <v>6397</v>
      </c>
      <c r="D17" s="143" t="s">
        <v>6493</v>
      </c>
      <c r="E17" s="144" t="s">
        <v>6494</v>
      </c>
      <c r="F17" s="145" t="s">
        <v>5968</v>
      </c>
      <c r="G17" s="146" t="s">
        <v>6495</v>
      </c>
      <c r="H17" s="147" t="s">
        <v>6496</v>
      </c>
      <c r="I17" s="140" t="s">
        <v>6497</v>
      </c>
      <c r="J17" s="140" t="s">
        <v>6498</v>
      </c>
      <c r="K17" s="140" t="s">
        <v>6499</v>
      </c>
      <c r="M17" s="140" t="s">
        <v>6500</v>
      </c>
    </row>
    <row r="18" spans="1:13" s="140" customFormat="1" ht="80.25" customHeight="1" x14ac:dyDescent="0.25">
      <c r="A18" s="140" t="s">
        <v>6501</v>
      </c>
      <c r="B18" s="142" t="s">
        <v>6396</v>
      </c>
      <c r="C18" s="142" t="s">
        <v>6397</v>
      </c>
      <c r="D18" s="143" t="s">
        <v>6493</v>
      </c>
      <c r="E18" s="144" t="s">
        <v>6494</v>
      </c>
      <c r="F18" s="145" t="s">
        <v>5969</v>
      </c>
      <c r="G18" s="146" t="s">
        <v>6502</v>
      </c>
      <c r="H18" s="147" t="s">
        <v>6496</v>
      </c>
      <c r="I18" s="140" t="s">
        <v>6503</v>
      </c>
      <c r="J18" s="140" t="s">
        <v>6504</v>
      </c>
    </row>
    <row r="19" spans="1:13" s="140" customFormat="1" ht="80.25" customHeight="1" x14ac:dyDescent="0.25">
      <c r="A19" s="140" t="s">
        <v>6505</v>
      </c>
      <c r="B19" s="142" t="s">
        <v>6396</v>
      </c>
      <c r="C19" s="142" t="s">
        <v>6397</v>
      </c>
      <c r="D19" s="143" t="s">
        <v>6493</v>
      </c>
      <c r="E19" s="144" t="s">
        <v>6494</v>
      </c>
      <c r="F19" s="145" t="s">
        <v>5971</v>
      </c>
      <c r="G19" s="146" t="s">
        <v>6506</v>
      </c>
      <c r="H19" s="147" t="s">
        <v>6496</v>
      </c>
      <c r="J19" s="140" t="s">
        <v>6507</v>
      </c>
      <c r="K19" s="140" t="s">
        <v>6508</v>
      </c>
      <c r="M19" s="140" t="s">
        <v>6500</v>
      </c>
    </row>
    <row r="20" spans="1:13" s="140" customFormat="1" ht="80.25" customHeight="1" x14ac:dyDescent="0.25">
      <c r="A20" s="140" t="s">
        <v>6509</v>
      </c>
      <c r="B20" s="142" t="s">
        <v>6396</v>
      </c>
      <c r="C20" s="142" t="s">
        <v>6397</v>
      </c>
      <c r="D20" s="143" t="s">
        <v>6493</v>
      </c>
      <c r="E20" s="144" t="s">
        <v>6494</v>
      </c>
      <c r="F20" s="145" t="s">
        <v>5975</v>
      </c>
      <c r="G20" s="146" t="s">
        <v>6510</v>
      </c>
      <c r="H20" s="147" t="s">
        <v>6496</v>
      </c>
      <c r="J20" s="140" t="s">
        <v>6511</v>
      </c>
      <c r="K20" s="140" t="s">
        <v>6512</v>
      </c>
      <c r="M20" s="140" t="s">
        <v>6466</v>
      </c>
    </row>
    <row r="21" spans="1:13" s="140" customFormat="1" ht="80.25" customHeight="1" x14ac:dyDescent="0.25">
      <c r="A21" s="140" t="s">
        <v>6513</v>
      </c>
      <c r="B21" s="142" t="s">
        <v>6396</v>
      </c>
      <c r="C21" s="142" t="s">
        <v>6397</v>
      </c>
      <c r="D21" s="143" t="s">
        <v>6493</v>
      </c>
      <c r="E21" s="144" t="s">
        <v>6494</v>
      </c>
      <c r="F21" s="145" t="s">
        <v>5972</v>
      </c>
      <c r="G21" s="146" t="s">
        <v>6514</v>
      </c>
      <c r="H21" s="147" t="s">
        <v>6496</v>
      </c>
      <c r="I21" s="140" t="s">
        <v>6515</v>
      </c>
      <c r="J21" s="140" t="s">
        <v>6516</v>
      </c>
      <c r="K21" s="140" t="s">
        <v>6517</v>
      </c>
      <c r="M21" s="140" t="s">
        <v>6518</v>
      </c>
    </row>
    <row r="22" spans="1:13" s="140" customFormat="1" ht="80.25" customHeight="1" x14ac:dyDescent="0.25">
      <c r="A22" s="140" t="s">
        <v>6519</v>
      </c>
      <c r="B22" s="142" t="s">
        <v>6396</v>
      </c>
      <c r="C22" s="142" t="s">
        <v>6397</v>
      </c>
      <c r="D22" s="143" t="s">
        <v>6493</v>
      </c>
      <c r="E22" s="144" t="s">
        <v>6494</v>
      </c>
      <c r="F22" s="145" t="s">
        <v>5977</v>
      </c>
      <c r="G22" s="146" t="s">
        <v>6520</v>
      </c>
      <c r="H22" s="147" t="s">
        <v>6496</v>
      </c>
      <c r="J22" s="140" t="s">
        <v>6521</v>
      </c>
      <c r="K22" s="140" t="s">
        <v>6522</v>
      </c>
      <c r="M22" s="140" t="s">
        <v>6523</v>
      </c>
    </row>
    <row r="23" spans="1:13" s="140" customFormat="1" ht="80.25" customHeight="1" x14ac:dyDescent="0.25">
      <c r="A23" s="140" t="s">
        <v>6524</v>
      </c>
      <c r="B23" s="142" t="s">
        <v>6396</v>
      </c>
      <c r="C23" s="142" t="s">
        <v>6397</v>
      </c>
      <c r="D23" s="143" t="s">
        <v>6525</v>
      </c>
      <c r="E23" s="144" t="s">
        <v>6526</v>
      </c>
      <c r="F23" s="145" t="s">
        <v>6016</v>
      </c>
      <c r="G23" s="146" t="s">
        <v>6527</v>
      </c>
      <c r="H23" s="147" t="s">
        <v>6496</v>
      </c>
      <c r="J23" s="140" t="s">
        <v>6528</v>
      </c>
      <c r="K23" s="140" t="s">
        <v>6529</v>
      </c>
      <c r="M23" s="140" t="s">
        <v>6530</v>
      </c>
    </row>
    <row r="24" spans="1:13" s="140" customFormat="1" ht="80.25" customHeight="1" x14ac:dyDescent="0.25">
      <c r="A24" s="140" t="s">
        <v>6531</v>
      </c>
      <c r="B24" s="142" t="s">
        <v>6396</v>
      </c>
      <c r="C24" s="142" t="s">
        <v>6397</v>
      </c>
      <c r="D24" s="143" t="s">
        <v>6525</v>
      </c>
      <c r="E24" s="144" t="s">
        <v>6526</v>
      </c>
      <c r="F24" s="145" t="s">
        <v>5949</v>
      </c>
      <c r="G24" s="146" t="s">
        <v>6532</v>
      </c>
      <c r="H24" s="148"/>
      <c r="J24" s="140" t="s">
        <v>6528</v>
      </c>
      <c r="K24" s="140" t="s">
        <v>6529</v>
      </c>
      <c r="M24" s="140" t="s">
        <v>6533</v>
      </c>
    </row>
    <row r="25" spans="1:13" s="140" customFormat="1" ht="80.25" customHeight="1" x14ac:dyDescent="0.25">
      <c r="A25" s="140" t="s">
        <v>6534</v>
      </c>
      <c r="B25" s="142" t="s">
        <v>6396</v>
      </c>
      <c r="C25" s="142" t="s">
        <v>6397</v>
      </c>
      <c r="D25" s="143" t="s">
        <v>6525</v>
      </c>
      <c r="E25" s="144" t="s">
        <v>6526</v>
      </c>
      <c r="F25" s="145" t="s">
        <v>5950</v>
      </c>
      <c r="G25" s="146" t="s">
        <v>6535</v>
      </c>
      <c r="H25" s="148"/>
      <c r="J25" s="140" t="s">
        <v>6536</v>
      </c>
      <c r="K25" s="140" t="s">
        <v>6537</v>
      </c>
    </row>
    <row r="26" spans="1:13" s="140" customFormat="1" ht="80.25" customHeight="1" x14ac:dyDescent="0.25">
      <c r="A26" s="140" t="s">
        <v>6538</v>
      </c>
      <c r="B26" s="142" t="s">
        <v>6396</v>
      </c>
      <c r="C26" s="142" t="s">
        <v>6397</v>
      </c>
      <c r="D26" s="143" t="s">
        <v>6539</v>
      </c>
      <c r="E26" s="144" t="s">
        <v>6540</v>
      </c>
      <c r="F26" s="145" t="s">
        <v>6201</v>
      </c>
      <c r="G26" s="146" t="s">
        <v>6202</v>
      </c>
      <c r="H26" s="147" t="s">
        <v>6496</v>
      </c>
      <c r="I26" s="140" t="s">
        <v>6541</v>
      </c>
      <c r="J26" s="140" t="s">
        <v>6542</v>
      </c>
      <c r="M26" s="140" t="s">
        <v>6543</v>
      </c>
    </row>
    <row r="27" spans="1:13" s="140" customFormat="1" ht="80.25" customHeight="1" x14ac:dyDescent="0.25">
      <c r="A27" s="140" t="s">
        <v>6544</v>
      </c>
      <c r="B27" s="142" t="s">
        <v>6396</v>
      </c>
      <c r="C27" s="142" t="s">
        <v>6397</v>
      </c>
      <c r="D27" s="143" t="s">
        <v>6539</v>
      </c>
      <c r="E27" s="144" t="s">
        <v>6540</v>
      </c>
      <c r="F27" s="145" t="s">
        <v>6205</v>
      </c>
      <c r="G27" s="146" t="s">
        <v>6545</v>
      </c>
      <c r="H27" s="147"/>
      <c r="I27" s="140" t="s">
        <v>6546</v>
      </c>
      <c r="J27" s="140" t="s">
        <v>6547</v>
      </c>
      <c r="M27" s="140" t="s">
        <v>6548</v>
      </c>
    </row>
    <row r="28" spans="1:13" s="140" customFormat="1" ht="80.25" customHeight="1" x14ac:dyDescent="0.25">
      <c r="A28" s="140" t="s">
        <v>6549</v>
      </c>
      <c r="B28" s="142" t="s">
        <v>6396</v>
      </c>
      <c r="C28" s="142" t="s">
        <v>6397</v>
      </c>
      <c r="D28" s="143" t="s">
        <v>6539</v>
      </c>
      <c r="E28" s="144" t="s">
        <v>6540</v>
      </c>
      <c r="F28" s="145" t="s">
        <v>6203</v>
      </c>
      <c r="G28" s="146" t="s">
        <v>6550</v>
      </c>
      <c r="H28" s="147"/>
      <c r="I28" s="140" t="s">
        <v>6551</v>
      </c>
      <c r="J28" s="140" t="s">
        <v>6552</v>
      </c>
      <c r="M28" s="140" t="s">
        <v>6553</v>
      </c>
    </row>
    <row r="29" spans="1:13" s="140" customFormat="1" ht="80.25" customHeight="1" x14ac:dyDescent="0.25">
      <c r="A29" s="140" t="s">
        <v>6554</v>
      </c>
      <c r="B29" s="142" t="s">
        <v>6396</v>
      </c>
      <c r="C29" s="142" t="s">
        <v>6397</v>
      </c>
      <c r="D29" s="143" t="s">
        <v>6539</v>
      </c>
      <c r="E29" s="144" t="s">
        <v>6540</v>
      </c>
      <c r="F29" s="145" t="s">
        <v>6210</v>
      </c>
      <c r="G29" s="146" t="s">
        <v>6555</v>
      </c>
      <c r="H29" s="147"/>
      <c r="I29" s="140" t="s">
        <v>6556</v>
      </c>
      <c r="J29" s="140" t="s">
        <v>6557</v>
      </c>
    </row>
    <row r="30" spans="1:13" s="140" customFormat="1" ht="80.25" customHeight="1" x14ac:dyDescent="0.25">
      <c r="A30" s="140" t="s">
        <v>6558</v>
      </c>
      <c r="B30" s="142" t="s">
        <v>6396</v>
      </c>
      <c r="C30" s="142" t="s">
        <v>6397</v>
      </c>
      <c r="D30" s="143" t="s">
        <v>6539</v>
      </c>
      <c r="E30" s="144" t="s">
        <v>6540</v>
      </c>
      <c r="F30" s="145" t="s">
        <v>6197</v>
      </c>
      <c r="G30" s="146" t="s">
        <v>6559</v>
      </c>
      <c r="H30" s="147" t="s">
        <v>6560</v>
      </c>
      <c r="I30" s="140" t="s">
        <v>6561</v>
      </c>
      <c r="J30" s="140" t="s">
        <v>6562</v>
      </c>
    </row>
    <row r="31" spans="1:13" s="140" customFormat="1" ht="80.25" customHeight="1" x14ac:dyDescent="0.25">
      <c r="A31" s="140" t="s">
        <v>6563</v>
      </c>
      <c r="B31" s="149" t="s">
        <v>6564</v>
      </c>
      <c r="C31" s="149" t="s">
        <v>6565</v>
      </c>
      <c r="D31" s="150" t="s">
        <v>6566</v>
      </c>
      <c r="E31" s="151" t="s">
        <v>6567</v>
      </c>
      <c r="F31" s="152" t="s">
        <v>6052</v>
      </c>
      <c r="G31" s="153" t="s">
        <v>6568</v>
      </c>
      <c r="H31" s="147" t="s">
        <v>6569</v>
      </c>
      <c r="I31" s="140" t="s">
        <v>6570</v>
      </c>
      <c r="J31" s="140" t="s">
        <v>6571</v>
      </c>
      <c r="K31" s="140" t="s">
        <v>6572</v>
      </c>
      <c r="M31" s="140" t="s">
        <v>6573</v>
      </c>
    </row>
    <row r="32" spans="1:13" s="140" customFormat="1" ht="80.25" customHeight="1" x14ac:dyDescent="0.25">
      <c r="A32" s="140" t="s">
        <v>6574</v>
      </c>
      <c r="B32" s="149" t="s">
        <v>6564</v>
      </c>
      <c r="C32" s="149" t="s">
        <v>6565</v>
      </c>
      <c r="D32" s="150" t="s">
        <v>6566</v>
      </c>
      <c r="E32" s="151" t="s">
        <v>6567</v>
      </c>
      <c r="F32" s="152" t="s">
        <v>6066</v>
      </c>
      <c r="G32" s="153" t="s">
        <v>6575</v>
      </c>
      <c r="H32" s="148"/>
      <c r="I32" s="140" t="s">
        <v>6576</v>
      </c>
      <c r="J32" s="140" t="s">
        <v>6577</v>
      </c>
      <c r="K32" s="140" t="s">
        <v>6578</v>
      </c>
      <c r="M32" s="140" t="s">
        <v>6579</v>
      </c>
    </row>
    <row r="33" spans="1:13" s="140" customFormat="1" ht="80.25" customHeight="1" x14ac:dyDescent="0.25">
      <c r="A33" s="140" t="s">
        <v>6580</v>
      </c>
      <c r="B33" s="149" t="s">
        <v>6564</v>
      </c>
      <c r="C33" s="149" t="s">
        <v>6565</v>
      </c>
      <c r="D33" s="150" t="s">
        <v>6566</v>
      </c>
      <c r="E33" s="151" t="s">
        <v>6567</v>
      </c>
      <c r="F33" s="152" t="s">
        <v>6075</v>
      </c>
      <c r="G33" s="153" t="s">
        <v>6581</v>
      </c>
      <c r="H33" s="147" t="s">
        <v>6414</v>
      </c>
      <c r="I33" s="140" t="s">
        <v>6576</v>
      </c>
      <c r="J33" s="140" t="s">
        <v>6582</v>
      </c>
      <c r="K33" s="140" t="s">
        <v>6583</v>
      </c>
      <c r="M33" s="140" t="s">
        <v>6584</v>
      </c>
    </row>
    <row r="34" spans="1:13" s="140" customFormat="1" ht="80.25" customHeight="1" x14ac:dyDescent="0.25">
      <c r="A34" s="140" t="s">
        <v>6585</v>
      </c>
      <c r="B34" s="149" t="s">
        <v>6564</v>
      </c>
      <c r="C34" s="149" t="s">
        <v>6565</v>
      </c>
      <c r="D34" s="150" t="s">
        <v>6566</v>
      </c>
      <c r="E34" s="151" t="s">
        <v>6567</v>
      </c>
      <c r="F34" s="152" t="s">
        <v>6061</v>
      </c>
      <c r="G34" s="153" t="s">
        <v>6586</v>
      </c>
      <c r="H34" s="147" t="s">
        <v>6587</v>
      </c>
      <c r="I34" s="140" t="s">
        <v>6588</v>
      </c>
      <c r="J34" s="140" t="s">
        <v>6589</v>
      </c>
      <c r="K34" s="140" t="s">
        <v>6590</v>
      </c>
      <c r="M34" s="140" t="s">
        <v>6591</v>
      </c>
    </row>
    <row r="35" spans="1:13" s="140" customFormat="1" ht="80.25" customHeight="1" x14ac:dyDescent="0.25">
      <c r="A35" s="140" t="s">
        <v>6592</v>
      </c>
      <c r="B35" s="149" t="s">
        <v>6564</v>
      </c>
      <c r="C35" s="149" t="s">
        <v>6565</v>
      </c>
      <c r="D35" s="150" t="s">
        <v>6566</v>
      </c>
      <c r="E35" s="151" t="s">
        <v>6567</v>
      </c>
      <c r="F35" s="152" t="s">
        <v>6041</v>
      </c>
      <c r="G35" s="153" t="s">
        <v>6593</v>
      </c>
      <c r="H35" s="147" t="s">
        <v>6594</v>
      </c>
      <c r="I35" s="140" t="s">
        <v>6588</v>
      </c>
      <c r="J35" s="140" t="s">
        <v>6595</v>
      </c>
      <c r="K35" s="140" t="s">
        <v>6596</v>
      </c>
      <c r="M35" s="140" t="s">
        <v>6591</v>
      </c>
    </row>
    <row r="36" spans="1:13" s="140" customFormat="1" ht="80.25" customHeight="1" x14ac:dyDescent="0.25">
      <c r="A36" s="140" t="s">
        <v>6597</v>
      </c>
      <c r="B36" s="149" t="s">
        <v>6564</v>
      </c>
      <c r="C36" s="149" t="s">
        <v>6565</v>
      </c>
      <c r="D36" s="150" t="s">
        <v>6566</v>
      </c>
      <c r="E36" s="151" t="s">
        <v>6567</v>
      </c>
      <c r="F36" s="152" t="s">
        <v>6046</v>
      </c>
      <c r="G36" s="153" t="s">
        <v>6598</v>
      </c>
      <c r="H36" s="147" t="s">
        <v>6599</v>
      </c>
      <c r="I36" s="140" t="s">
        <v>6600</v>
      </c>
      <c r="J36" s="140" t="s">
        <v>6601</v>
      </c>
      <c r="M36" s="140" t="s">
        <v>6602</v>
      </c>
    </row>
    <row r="37" spans="1:13" s="140" customFormat="1" ht="80.25" customHeight="1" x14ac:dyDescent="0.25">
      <c r="A37" s="140" t="s">
        <v>6603</v>
      </c>
      <c r="B37" s="149" t="s">
        <v>6564</v>
      </c>
      <c r="C37" s="149" t="s">
        <v>6565</v>
      </c>
      <c r="D37" s="150" t="s">
        <v>6566</v>
      </c>
      <c r="E37" s="151" t="s">
        <v>6567</v>
      </c>
      <c r="F37" s="152" t="s">
        <v>6604</v>
      </c>
      <c r="G37" s="153" t="s">
        <v>6605</v>
      </c>
      <c r="H37" s="147" t="s">
        <v>6606</v>
      </c>
      <c r="I37" s="140" t="s">
        <v>6607</v>
      </c>
      <c r="J37" s="140" t="s">
        <v>6608</v>
      </c>
      <c r="M37" s="140" t="s">
        <v>6609</v>
      </c>
    </row>
    <row r="38" spans="1:13" s="140" customFormat="1" ht="80.25" customHeight="1" x14ac:dyDescent="0.25">
      <c r="A38" s="140" t="s">
        <v>6610</v>
      </c>
      <c r="B38" s="149" t="s">
        <v>6564</v>
      </c>
      <c r="C38" s="149" t="s">
        <v>6565</v>
      </c>
      <c r="D38" s="150" t="s">
        <v>6611</v>
      </c>
      <c r="E38" s="151" t="s">
        <v>6612</v>
      </c>
      <c r="F38" s="152" t="s">
        <v>5767</v>
      </c>
      <c r="G38" s="153" t="s">
        <v>6613</v>
      </c>
      <c r="H38" s="147" t="s">
        <v>6614</v>
      </c>
      <c r="I38" s="140" t="s">
        <v>6615</v>
      </c>
      <c r="J38" s="140" t="s">
        <v>6616</v>
      </c>
      <c r="K38" s="140" t="s">
        <v>6617</v>
      </c>
      <c r="M38" s="140" t="s">
        <v>6618</v>
      </c>
    </row>
    <row r="39" spans="1:13" s="140" customFormat="1" ht="80.25" customHeight="1" x14ac:dyDescent="0.25">
      <c r="A39" s="140" t="s">
        <v>6619</v>
      </c>
      <c r="B39" s="149" t="s">
        <v>6564</v>
      </c>
      <c r="C39" s="149" t="s">
        <v>6565</v>
      </c>
      <c r="D39" s="150" t="s">
        <v>6611</v>
      </c>
      <c r="E39" s="151" t="s">
        <v>6612</v>
      </c>
      <c r="F39" s="152" t="s">
        <v>5916</v>
      </c>
      <c r="G39" s="153" t="s">
        <v>6620</v>
      </c>
      <c r="H39" s="147" t="s">
        <v>6621</v>
      </c>
      <c r="I39" s="140" t="s">
        <v>6622</v>
      </c>
      <c r="J39" s="140" t="s">
        <v>6623</v>
      </c>
      <c r="K39" s="140" t="s">
        <v>6624</v>
      </c>
      <c r="M39" s="140" t="s">
        <v>6625</v>
      </c>
    </row>
    <row r="40" spans="1:13" s="140" customFormat="1" ht="80.25" customHeight="1" x14ac:dyDescent="0.25">
      <c r="A40" s="140" t="s">
        <v>6626</v>
      </c>
      <c r="B40" s="149" t="s">
        <v>6564</v>
      </c>
      <c r="C40" s="149" t="s">
        <v>6565</v>
      </c>
      <c r="D40" s="150" t="s">
        <v>6611</v>
      </c>
      <c r="E40" s="151" t="s">
        <v>6612</v>
      </c>
      <c r="F40" s="152" t="s">
        <v>5769</v>
      </c>
      <c r="G40" s="153" t="s">
        <v>6627</v>
      </c>
      <c r="H40" s="147" t="s">
        <v>6628</v>
      </c>
      <c r="I40" s="140" t="s">
        <v>6629</v>
      </c>
      <c r="J40" s="140" t="s">
        <v>6630</v>
      </c>
      <c r="K40" s="140" t="s">
        <v>6631</v>
      </c>
      <c r="M40" s="140" t="s">
        <v>6632</v>
      </c>
    </row>
    <row r="41" spans="1:13" s="140" customFormat="1" ht="80.25" customHeight="1" x14ac:dyDescent="0.25">
      <c r="A41" s="140" t="s">
        <v>6633</v>
      </c>
      <c r="B41" s="149" t="s">
        <v>6564</v>
      </c>
      <c r="C41" s="149" t="s">
        <v>6565</v>
      </c>
      <c r="D41" s="150" t="s">
        <v>6611</v>
      </c>
      <c r="E41" s="151" t="s">
        <v>6612</v>
      </c>
      <c r="F41" s="152" t="s">
        <v>5764</v>
      </c>
      <c r="G41" s="153" t="s">
        <v>6634</v>
      </c>
      <c r="H41" s="147" t="s">
        <v>6434</v>
      </c>
      <c r="I41" s="140" t="s">
        <v>6635</v>
      </c>
      <c r="J41" s="140" t="s">
        <v>6623</v>
      </c>
      <c r="K41" s="140" t="s">
        <v>6636</v>
      </c>
    </row>
    <row r="42" spans="1:13" s="140" customFormat="1" ht="80.25" customHeight="1" x14ac:dyDescent="0.25">
      <c r="A42" s="140" t="s">
        <v>6637</v>
      </c>
      <c r="B42" s="149" t="s">
        <v>6564</v>
      </c>
      <c r="C42" s="149" t="s">
        <v>6565</v>
      </c>
      <c r="D42" s="150" t="s">
        <v>6611</v>
      </c>
      <c r="E42" s="151" t="s">
        <v>6612</v>
      </c>
      <c r="F42" s="152" t="s">
        <v>5917</v>
      </c>
      <c r="G42" s="153" t="s">
        <v>6638</v>
      </c>
      <c r="H42" s="147" t="s">
        <v>6628</v>
      </c>
      <c r="I42" s="140" t="s">
        <v>6639</v>
      </c>
      <c r="J42" s="140" t="s">
        <v>6640</v>
      </c>
      <c r="K42" s="140" t="s">
        <v>6641</v>
      </c>
      <c r="M42" s="140" t="s">
        <v>6642</v>
      </c>
    </row>
    <row r="43" spans="1:13" s="140" customFormat="1" ht="80.25" customHeight="1" x14ac:dyDescent="0.25">
      <c r="A43" s="140" t="s">
        <v>6643</v>
      </c>
      <c r="B43" s="149" t="s">
        <v>6564</v>
      </c>
      <c r="C43" s="149" t="s">
        <v>6565</v>
      </c>
      <c r="D43" s="150" t="s">
        <v>6644</v>
      </c>
      <c r="E43" s="151" t="s">
        <v>6645</v>
      </c>
      <c r="F43" s="152" t="s">
        <v>6043</v>
      </c>
      <c r="G43" s="153" t="s">
        <v>6646</v>
      </c>
      <c r="H43" s="147" t="s">
        <v>6427</v>
      </c>
      <c r="I43" s="140" t="s">
        <v>6647</v>
      </c>
      <c r="J43" s="140" t="s">
        <v>6648</v>
      </c>
      <c r="K43" s="140" t="s">
        <v>6649</v>
      </c>
      <c r="M43" s="140" t="s">
        <v>6650</v>
      </c>
    </row>
    <row r="44" spans="1:13" s="140" customFormat="1" ht="80.25" customHeight="1" x14ac:dyDescent="0.25">
      <c r="A44" s="140" t="s">
        <v>6651</v>
      </c>
      <c r="B44" s="149" t="s">
        <v>6564</v>
      </c>
      <c r="C44" s="149" t="s">
        <v>6565</v>
      </c>
      <c r="D44" s="150" t="s">
        <v>6644</v>
      </c>
      <c r="E44" s="151" t="s">
        <v>6645</v>
      </c>
      <c r="F44" s="152" t="s">
        <v>6044</v>
      </c>
      <c r="G44" s="153" t="s">
        <v>6652</v>
      </c>
      <c r="H44" s="147" t="s">
        <v>6427</v>
      </c>
      <c r="I44" s="140" t="s">
        <v>6653</v>
      </c>
      <c r="J44" s="140" t="s">
        <v>6654</v>
      </c>
      <c r="K44" s="140" t="s">
        <v>6655</v>
      </c>
      <c r="M44" s="140" t="s">
        <v>6625</v>
      </c>
    </row>
    <row r="45" spans="1:13" s="140" customFormat="1" ht="80.25" customHeight="1" x14ac:dyDescent="0.25">
      <c r="A45" s="140" t="s">
        <v>6656</v>
      </c>
      <c r="B45" s="149" t="s">
        <v>6564</v>
      </c>
      <c r="C45" s="149" t="s">
        <v>6565</v>
      </c>
      <c r="D45" s="150" t="s">
        <v>6644</v>
      </c>
      <c r="E45" s="151" t="s">
        <v>6645</v>
      </c>
      <c r="F45" s="152" t="s">
        <v>6039</v>
      </c>
      <c r="G45" s="153" t="s">
        <v>6657</v>
      </c>
      <c r="H45" s="148" t="s">
        <v>6401</v>
      </c>
      <c r="I45" s="140" t="s">
        <v>6647</v>
      </c>
      <c r="J45" s="140" t="s">
        <v>6658</v>
      </c>
      <c r="K45" s="140" t="s">
        <v>6659</v>
      </c>
      <c r="M45" s="140" t="s">
        <v>6660</v>
      </c>
    </row>
    <row r="46" spans="1:13" s="140" customFormat="1" ht="80.25" customHeight="1" x14ac:dyDescent="0.25">
      <c r="A46" s="140" t="s">
        <v>6661</v>
      </c>
      <c r="B46" s="149" t="s">
        <v>6564</v>
      </c>
      <c r="C46" s="149" t="s">
        <v>6565</v>
      </c>
      <c r="D46" s="150" t="s">
        <v>6644</v>
      </c>
      <c r="E46" s="151" t="s">
        <v>6645</v>
      </c>
      <c r="F46" s="152" t="s">
        <v>6219</v>
      </c>
      <c r="G46" s="153" t="s">
        <v>6662</v>
      </c>
      <c r="H46" s="148" t="s">
        <v>6663</v>
      </c>
      <c r="I46" s="140" t="s">
        <v>6664</v>
      </c>
      <c r="J46" s="140" t="s">
        <v>6665</v>
      </c>
      <c r="K46" s="140" t="s">
        <v>6666</v>
      </c>
      <c r="M46" s="140" t="s">
        <v>6625</v>
      </c>
    </row>
    <row r="47" spans="1:13" s="140" customFormat="1" ht="80.25" customHeight="1" x14ac:dyDescent="0.25">
      <c r="A47" s="140" t="s">
        <v>6667</v>
      </c>
      <c r="B47" s="149" t="s">
        <v>6564</v>
      </c>
      <c r="C47" s="149" t="s">
        <v>6565</v>
      </c>
      <c r="D47" s="150" t="s">
        <v>6644</v>
      </c>
      <c r="E47" s="151" t="s">
        <v>6645</v>
      </c>
      <c r="F47" s="152" t="s">
        <v>6079</v>
      </c>
      <c r="G47" s="153" t="s">
        <v>6668</v>
      </c>
      <c r="H47" s="147" t="s">
        <v>6669</v>
      </c>
      <c r="I47" s="140" t="s">
        <v>6670</v>
      </c>
      <c r="J47" s="140" t="s">
        <v>6671</v>
      </c>
      <c r="K47" s="140" t="s">
        <v>6672</v>
      </c>
      <c r="M47" s="140" t="s">
        <v>6548</v>
      </c>
    </row>
    <row r="48" spans="1:13" s="140" customFormat="1" ht="80.25" customHeight="1" x14ac:dyDescent="0.25">
      <c r="A48" s="140" t="s">
        <v>6673</v>
      </c>
      <c r="B48" s="149" t="s">
        <v>6564</v>
      </c>
      <c r="C48" s="149" t="s">
        <v>6565</v>
      </c>
      <c r="D48" s="150" t="s">
        <v>6644</v>
      </c>
      <c r="E48" s="151" t="s">
        <v>6645</v>
      </c>
      <c r="F48" s="152" t="s">
        <v>6101</v>
      </c>
      <c r="G48" s="153" t="s">
        <v>6674</v>
      </c>
      <c r="H48" s="148" t="s">
        <v>6675</v>
      </c>
      <c r="I48" s="140" t="s">
        <v>6676</v>
      </c>
      <c r="J48" s="140" t="s">
        <v>6677</v>
      </c>
      <c r="K48" s="140" t="s">
        <v>6678</v>
      </c>
      <c r="M48" s="140" t="s">
        <v>6618</v>
      </c>
    </row>
    <row r="49" spans="1:13" s="140" customFormat="1" ht="80.25" customHeight="1" x14ac:dyDescent="0.25">
      <c r="A49" s="140" t="s">
        <v>6679</v>
      </c>
      <c r="B49" s="149" t="s">
        <v>6564</v>
      </c>
      <c r="C49" s="149" t="s">
        <v>6565</v>
      </c>
      <c r="D49" s="150" t="s">
        <v>6644</v>
      </c>
      <c r="E49" s="151" t="s">
        <v>6645</v>
      </c>
      <c r="F49" s="152" t="s">
        <v>6187</v>
      </c>
      <c r="G49" s="153" t="s">
        <v>6680</v>
      </c>
      <c r="H49" s="148" t="s">
        <v>6681</v>
      </c>
      <c r="J49" s="140" t="s">
        <v>6682</v>
      </c>
      <c r="K49" s="140" t="s">
        <v>6683</v>
      </c>
      <c r="M49" s="140" t="s">
        <v>6684</v>
      </c>
    </row>
    <row r="50" spans="1:13" s="140" customFormat="1" ht="80.25" customHeight="1" x14ac:dyDescent="0.25">
      <c r="A50" s="140" t="s">
        <v>6685</v>
      </c>
      <c r="B50" s="149" t="s">
        <v>6564</v>
      </c>
      <c r="C50" s="149" t="s">
        <v>6565</v>
      </c>
      <c r="D50" s="150" t="s">
        <v>6644</v>
      </c>
      <c r="E50" s="151" t="s">
        <v>6645</v>
      </c>
      <c r="F50" s="152" t="s">
        <v>6100</v>
      </c>
      <c r="G50" s="153" t="s">
        <v>6686</v>
      </c>
      <c r="H50" s="148"/>
      <c r="I50" s="140" t="s">
        <v>6687</v>
      </c>
      <c r="J50" s="140" t="s">
        <v>6688</v>
      </c>
    </row>
    <row r="51" spans="1:13" s="140" customFormat="1" ht="80.25" customHeight="1" x14ac:dyDescent="0.25">
      <c r="A51" s="140" t="s">
        <v>6689</v>
      </c>
      <c r="B51" s="149" t="s">
        <v>6564</v>
      </c>
      <c r="C51" s="149" t="s">
        <v>6565</v>
      </c>
      <c r="D51" s="150" t="s">
        <v>6690</v>
      </c>
      <c r="E51" s="151" t="s">
        <v>6691</v>
      </c>
      <c r="F51" s="152" t="s">
        <v>6097</v>
      </c>
      <c r="G51" s="153" t="s">
        <v>6692</v>
      </c>
      <c r="H51" s="147" t="s">
        <v>6693</v>
      </c>
      <c r="I51" s="140" t="s">
        <v>6694</v>
      </c>
      <c r="J51" s="140" t="s">
        <v>6695</v>
      </c>
      <c r="K51" s="140" t="s">
        <v>6696</v>
      </c>
      <c r="M51" s="140" t="s">
        <v>6697</v>
      </c>
    </row>
    <row r="52" spans="1:13" s="140" customFormat="1" ht="80.25" customHeight="1" x14ac:dyDescent="0.25">
      <c r="A52" s="140" t="s">
        <v>6698</v>
      </c>
      <c r="B52" s="149" t="s">
        <v>6564</v>
      </c>
      <c r="C52" s="149" t="s">
        <v>6565</v>
      </c>
      <c r="D52" s="150" t="s">
        <v>6690</v>
      </c>
      <c r="E52" s="151" t="s">
        <v>6691</v>
      </c>
      <c r="F52" s="152" t="s">
        <v>6176</v>
      </c>
      <c r="G52" s="153" t="s">
        <v>6699</v>
      </c>
      <c r="H52" s="147" t="s">
        <v>6700</v>
      </c>
      <c r="I52" s="140" t="s">
        <v>6701</v>
      </c>
      <c r="J52" s="140" t="s">
        <v>6702</v>
      </c>
      <c r="K52" s="140" t="s">
        <v>6703</v>
      </c>
    </row>
    <row r="53" spans="1:13" s="140" customFormat="1" ht="80.25" customHeight="1" x14ac:dyDescent="0.25">
      <c r="A53" s="140" t="s">
        <v>6704</v>
      </c>
      <c r="B53" s="149" t="s">
        <v>6564</v>
      </c>
      <c r="C53" s="149" t="s">
        <v>6565</v>
      </c>
      <c r="D53" s="150" t="s">
        <v>6690</v>
      </c>
      <c r="E53" s="151" t="s">
        <v>6691</v>
      </c>
      <c r="F53" s="152" t="s">
        <v>6177</v>
      </c>
      <c r="G53" s="153" t="s">
        <v>6705</v>
      </c>
      <c r="H53" s="147" t="s">
        <v>6706</v>
      </c>
      <c r="I53" s="140" t="s">
        <v>6707</v>
      </c>
      <c r="J53" s="140" t="s">
        <v>6708</v>
      </c>
      <c r="K53" s="140" t="s">
        <v>6709</v>
      </c>
      <c r="M53" s="140" t="s">
        <v>6710</v>
      </c>
    </row>
    <row r="54" spans="1:13" s="140" customFormat="1" ht="80.25" customHeight="1" x14ac:dyDescent="0.25">
      <c r="A54" s="140" t="s">
        <v>6711</v>
      </c>
      <c r="B54" s="149" t="s">
        <v>6564</v>
      </c>
      <c r="C54" s="149" t="s">
        <v>6565</v>
      </c>
      <c r="D54" s="150" t="s">
        <v>6690</v>
      </c>
      <c r="E54" s="151" t="s">
        <v>6691</v>
      </c>
      <c r="F54" s="152" t="s">
        <v>6232</v>
      </c>
      <c r="G54" s="153" t="s">
        <v>6712</v>
      </c>
      <c r="H54" s="147" t="s">
        <v>6713</v>
      </c>
      <c r="I54" s="140" t="s">
        <v>6714</v>
      </c>
      <c r="J54" s="140" t="s">
        <v>6715</v>
      </c>
      <c r="K54" s="140" t="s">
        <v>6716</v>
      </c>
    </row>
    <row r="55" spans="1:13" s="140" customFormat="1" ht="80.25" customHeight="1" x14ac:dyDescent="0.25">
      <c r="A55" s="140" t="s">
        <v>6717</v>
      </c>
      <c r="B55" s="149" t="s">
        <v>6564</v>
      </c>
      <c r="C55" s="149" t="s">
        <v>6565</v>
      </c>
      <c r="D55" s="150" t="s">
        <v>6690</v>
      </c>
      <c r="E55" s="151" t="s">
        <v>6691</v>
      </c>
      <c r="F55" s="152" t="s">
        <v>6224</v>
      </c>
      <c r="G55" s="153" t="s">
        <v>6718</v>
      </c>
      <c r="H55" s="147"/>
      <c r="I55" s="140" t="s">
        <v>6719</v>
      </c>
      <c r="J55" s="140" t="s">
        <v>6720</v>
      </c>
      <c r="K55" s="140" t="s">
        <v>6721</v>
      </c>
      <c r="M55" s="140" t="s">
        <v>6618</v>
      </c>
    </row>
    <row r="56" spans="1:13" s="140" customFormat="1" ht="80.25" customHeight="1" x14ac:dyDescent="0.25">
      <c r="A56" s="140" t="s">
        <v>6722</v>
      </c>
      <c r="B56" s="149" t="s">
        <v>6564</v>
      </c>
      <c r="C56" s="149" t="s">
        <v>6565</v>
      </c>
      <c r="D56" s="150" t="s">
        <v>6690</v>
      </c>
      <c r="E56" s="151" t="s">
        <v>6691</v>
      </c>
      <c r="F56" s="152" t="s">
        <v>6244</v>
      </c>
      <c r="G56" s="153" t="s">
        <v>6723</v>
      </c>
      <c r="H56" s="147"/>
      <c r="I56" s="140" t="s">
        <v>6724</v>
      </c>
      <c r="J56" s="140" t="s">
        <v>6725</v>
      </c>
      <c r="K56" s="140" t="s">
        <v>6726</v>
      </c>
      <c r="M56" s="140" t="s">
        <v>6727</v>
      </c>
    </row>
    <row r="57" spans="1:13" s="140" customFormat="1" ht="80.25" customHeight="1" x14ac:dyDescent="0.25">
      <c r="A57" s="140" t="s">
        <v>6728</v>
      </c>
      <c r="B57" s="149" t="s">
        <v>6564</v>
      </c>
      <c r="C57" s="149" t="s">
        <v>6565</v>
      </c>
      <c r="D57" s="150" t="s">
        <v>6690</v>
      </c>
      <c r="E57" s="151" t="s">
        <v>6691</v>
      </c>
      <c r="F57" s="152" t="s">
        <v>6011</v>
      </c>
      <c r="G57" s="153" t="s">
        <v>6729</v>
      </c>
      <c r="H57" s="147"/>
      <c r="I57" s="140" t="s">
        <v>6730</v>
      </c>
      <c r="J57" s="140" t="s">
        <v>6731</v>
      </c>
      <c r="K57" s="140" t="s">
        <v>6732</v>
      </c>
      <c r="M57" s="140" t="s">
        <v>6733</v>
      </c>
    </row>
    <row r="58" spans="1:13" s="140" customFormat="1" ht="80.25" customHeight="1" x14ac:dyDescent="0.25">
      <c r="A58" s="140" t="s">
        <v>6734</v>
      </c>
      <c r="B58" s="149" t="s">
        <v>6564</v>
      </c>
      <c r="C58" s="149" t="s">
        <v>6565</v>
      </c>
      <c r="D58" s="150" t="s">
        <v>6690</v>
      </c>
      <c r="E58" s="151" t="s">
        <v>6691</v>
      </c>
      <c r="F58" s="152" t="s">
        <v>5768</v>
      </c>
      <c r="G58" s="153" t="s">
        <v>6735</v>
      </c>
      <c r="H58" s="147"/>
      <c r="I58" s="140" t="s">
        <v>6736</v>
      </c>
      <c r="J58" s="140" t="s">
        <v>6737</v>
      </c>
      <c r="K58" s="140" t="s">
        <v>6738</v>
      </c>
      <c r="M58" s="140" t="s">
        <v>6739</v>
      </c>
    </row>
    <row r="59" spans="1:13" s="140" customFormat="1" ht="80.25" customHeight="1" x14ac:dyDescent="0.25">
      <c r="A59" s="140" t="s">
        <v>6740</v>
      </c>
      <c r="B59" s="149" t="s">
        <v>6564</v>
      </c>
      <c r="C59" s="149" t="s">
        <v>6565</v>
      </c>
      <c r="D59" s="150" t="s">
        <v>6690</v>
      </c>
      <c r="E59" s="151" t="s">
        <v>6691</v>
      </c>
      <c r="F59" s="152" t="s">
        <v>6127</v>
      </c>
      <c r="G59" s="153" t="s">
        <v>6741</v>
      </c>
      <c r="H59" s="147" t="s">
        <v>6471</v>
      </c>
      <c r="I59" s="140" t="s">
        <v>6742</v>
      </c>
      <c r="J59" s="140" t="s">
        <v>6743</v>
      </c>
      <c r="K59" s="140" t="s">
        <v>6744</v>
      </c>
      <c r="M59" s="140" t="s">
        <v>6418</v>
      </c>
    </row>
    <row r="60" spans="1:13" s="140" customFormat="1" ht="80.25" customHeight="1" x14ac:dyDescent="0.25">
      <c r="A60" s="140" t="s">
        <v>6745</v>
      </c>
      <c r="B60" s="149" t="s">
        <v>6564</v>
      </c>
      <c r="C60" s="149" t="s">
        <v>6565</v>
      </c>
      <c r="D60" s="150" t="s">
        <v>6690</v>
      </c>
      <c r="E60" s="151" t="s">
        <v>6691</v>
      </c>
      <c r="F60" s="152" t="s">
        <v>6129</v>
      </c>
      <c r="G60" s="153" t="s">
        <v>6746</v>
      </c>
      <c r="H60" s="147" t="s">
        <v>6560</v>
      </c>
      <c r="I60" s="140" t="s">
        <v>6747</v>
      </c>
      <c r="J60" s="140" t="s">
        <v>6748</v>
      </c>
      <c r="K60" s="140" t="s">
        <v>6749</v>
      </c>
      <c r="M60" s="140" t="s">
        <v>6739</v>
      </c>
    </row>
    <row r="61" spans="1:13" s="140" customFormat="1" ht="80.25" customHeight="1" x14ac:dyDescent="0.25">
      <c r="A61" s="140" t="s">
        <v>6750</v>
      </c>
      <c r="B61" s="149" t="s">
        <v>6564</v>
      </c>
      <c r="C61" s="149" t="s">
        <v>6565</v>
      </c>
      <c r="D61" s="150" t="s">
        <v>6690</v>
      </c>
      <c r="E61" s="151" t="s">
        <v>6691</v>
      </c>
      <c r="F61" s="152" t="s">
        <v>5766</v>
      </c>
      <c r="G61" s="153" t="s">
        <v>6751</v>
      </c>
      <c r="H61" s="147" t="s">
        <v>6752</v>
      </c>
      <c r="J61" s="140" t="s">
        <v>6753</v>
      </c>
      <c r="K61" s="140" t="s">
        <v>6754</v>
      </c>
      <c r="M61" s="140" t="s">
        <v>6755</v>
      </c>
    </row>
    <row r="62" spans="1:13" s="140" customFormat="1" ht="80.25" customHeight="1" x14ac:dyDescent="0.25">
      <c r="A62" s="140" t="s">
        <v>6756</v>
      </c>
      <c r="B62" s="149" t="s">
        <v>6564</v>
      </c>
      <c r="C62" s="149" t="s">
        <v>6565</v>
      </c>
      <c r="D62" s="150" t="s">
        <v>6690</v>
      </c>
      <c r="E62" s="151" t="s">
        <v>6691</v>
      </c>
      <c r="F62" s="152" t="s">
        <v>6035</v>
      </c>
      <c r="G62" s="153" t="s">
        <v>6757</v>
      </c>
      <c r="H62" s="147" t="s">
        <v>6758</v>
      </c>
      <c r="I62" s="140" t="s">
        <v>6759</v>
      </c>
      <c r="J62" s="140" t="s">
        <v>6760</v>
      </c>
      <c r="K62" s="140" t="s">
        <v>6761</v>
      </c>
    </row>
    <row r="63" spans="1:13" s="140" customFormat="1" ht="80.25" customHeight="1" x14ac:dyDescent="0.25">
      <c r="A63" s="140" t="s">
        <v>6762</v>
      </c>
      <c r="B63" s="149" t="s">
        <v>6564</v>
      </c>
      <c r="C63" s="149" t="s">
        <v>6565</v>
      </c>
      <c r="D63" s="150" t="s">
        <v>6763</v>
      </c>
      <c r="E63" s="151" t="s">
        <v>6764</v>
      </c>
      <c r="F63" s="152" t="s">
        <v>6182</v>
      </c>
      <c r="G63" s="153" t="s">
        <v>6765</v>
      </c>
      <c r="H63" s="147"/>
      <c r="J63" s="140" t="s">
        <v>6766</v>
      </c>
      <c r="K63" s="140" t="s">
        <v>6767</v>
      </c>
    </row>
    <row r="64" spans="1:13" s="140" customFormat="1" ht="80.25" customHeight="1" x14ac:dyDescent="0.25">
      <c r="A64" s="140" t="s">
        <v>6768</v>
      </c>
      <c r="B64" s="149" t="s">
        <v>6564</v>
      </c>
      <c r="C64" s="149" t="s">
        <v>6565</v>
      </c>
      <c r="D64" s="150" t="s">
        <v>6763</v>
      </c>
      <c r="E64" s="151" t="s">
        <v>6764</v>
      </c>
      <c r="F64" s="152" t="s">
        <v>6183</v>
      </c>
      <c r="G64" s="153" t="s">
        <v>6769</v>
      </c>
      <c r="H64" s="147" t="s">
        <v>6770</v>
      </c>
      <c r="J64" s="140" t="s">
        <v>6771</v>
      </c>
      <c r="K64" s="140" t="s">
        <v>6772</v>
      </c>
      <c r="M64" s="140" t="s">
        <v>6533</v>
      </c>
    </row>
    <row r="65" spans="1:13" s="140" customFormat="1" ht="80.25" customHeight="1" x14ac:dyDescent="0.25">
      <c r="A65" s="140" t="s">
        <v>6773</v>
      </c>
      <c r="B65" s="149" t="s">
        <v>6564</v>
      </c>
      <c r="C65" s="149" t="s">
        <v>6565</v>
      </c>
      <c r="D65" s="150" t="s">
        <v>6774</v>
      </c>
      <c r="E65" s="151" t="s">
        <v>6775</v>
      </c>
      <c r="F65" s="152" t="s">
        <v>6107</v>
      </c>
      <c r="G65" s="153" t="s">
        <v>6776</v>
      </c>
      <c r="H65" s="147" t="s">
        <v>6777</v>
      </c>
      <c r="J65" s="140" t="s">
        <v>6778</v>
      </c>
      <c r="K65" s="140" t="s">
        <v>6779</v>
      </c>
      <c r="M65" s="140" t="s">
        <v>6533</v>
      </c>
    </row>
    <row r="66" spans="1:13" s="140" customFormat="1" ht="80.25" customHeight="1" x14ac:dyDescent="0.25">
      <c r="A66" s="140" t="s">
        <v>6780</v>
      </c>
      <c r="B66" s="149" t="s">
        <v>6564</v>
      </c>
      <c r="C66" s="149" t="s">
        <v>6565</v>
      </c>
      <c r="D66" s="150" t="s">
        <v>6774</v>
      </c>
      <c r="E66" s="151" t="s">
        <v>6775</v>
      </c>
      <c r="F66" s="152" t="s">
        <v>6085</v>
      </c>
      <c r="G66" s="153" t="s">
        <v>6781</v>
      </c>
      <c r="H66" s="147" t="s">
        <v>6782</v>
      </c>
      <c r="J66" s="140" t="s">
        <v>6783</v>
      </c>
      <c r="K66" s="140" t="s">
        <v>6784</v>
      </c>
      <c r="M66" s="140" t="s">
        <v>6785</v>
      </c>
    </row>
    <row r="67" spans="1:13" s="140" customFormat="1" ht="80.25" customHeight="1" x14ac:dyDescent="0.25">
      <c r="A67" s="140" t="s">
        <v>6786</v>
      </c>
      <c r="B67" s="149" t="s">
        <v>6564</v>
      </c>
      <c r="C67" s="149" t="s">
        <v>6565</v>
      </c>
      <c r="D67" s="150" t="s">
        <v>6774</v>
      </c>
      <c r="E67" s="151" t="s">
        <v>6775</v>
      </c>
      <c r="F67" s="152" t="s">
        <v>6042</v>
      </c>
      <c r="G67" s="153" t="s">
        <v>6787</v>
      </c>
      <c r="H67" s="147" t="s">
        <v>6788</v>
      </c>
      <c r="J67" s="140" t="s">
        <v>6789</v>
      </c>
      <c r="K67" s="140" t="s">
        <v>6790</v>
      </c>
    </row>
    <row r="68" spans="1:13" s="140" customFormat="1" ht="80.25" customHeight="1" x14ac:dyDescent="0.25">
      <c r="A68" s="140" t="s">
        <v>6791</v>
      </c>
      <c r="B68" s="149" t="s">
        <v>6564</v>
      </c>
      <c r="C68" s="149" t="s">
        <v>6565</v>
      </c>
      <c r="D68" s="150" t="s">
        <v>6774</v>
      </c>
      <c r="E68" s="151" t="s">
        <v>6775</v>
      </c>
      <c r="F68" s="152" t="s">
        <v>6083</v>
      </c>
      <c r="G68" s="153" t="s">
        <v>6792</v>
      </c>
      <c r="H68" s="147" t="s">
        <v>6793</v>
      </c>
      <c r="I68" s="140" t="s">
        <v>6794</v>
      </c>
      <c r="J68" s="140" t="s">
        <v>6795</v>
      </c>
      <c r="K68" s="140" t="s">
        <v>6796</v>
      </c>
    </row>
    <row r="69" spans="1:13" s="140" customFormat="1" ht="80.25" customHeight="1" x14ac:dyDescent="0.25">
      <c r="A69" s="140" t="s">
        <v>6797</v>
      </c>
      <c r="B69" s="149" t="s">
        <v>6564</v>
      </c>
      <c r="C69" s="149" t="s">
        <v>6565</v>
      </c>
      <c r="D69" s="150" t="s">
        <v>6774</v>
      </c>
      <c r="E69" s="151" t="s">
        <v>6775</v>
      </c>
      <c r="F69" s="152" t="s">
        <v>6229</v>
      </c>
      <c r="G69" s="153" t="s">
        <v>6798</v>
      </c>
      <c r="H69" s="147"/>
      <c r="I69" s="140" t="s">
        <v>6799</v>
      </c>
      <c r="J69" s="140" t="s">
        <v>6800</v>
      </c>
      <c r="M69" s="140" t="s">
        <v>6801</v>
      </c>
    </row>
    <row r="70" spans="1:13" s="140" customFormat="1" ht="80.25" customHeight="1" x14ac:dyDescent="0.25">
      <c r="A70" s="140" t="s">
        <v>6802</v>
      </c>
      <c r="B70" s="154" t="s">
        <v>6803</v>
      </c>
      <c r="C70" s="154" t="s">
        <v>6804</v>
      </c>
      <c r="D70" s="155" t="s">
        <v>6805</v>
      </c>
      <c r="E70" s="156" t="s">
        <v>6806</v>
      </c>
      <c r="F70" s="157" t="s">
        <v>6113</v>
      </c>
      <c r="G70" s="158" t="s">
        <v>6807</v>
      </c>
      <c r="H70" s="147" t="s">
        <v>6808</v>
      </c>
      <c r="I70" s="140" t="s">
        <v>6809</v>
      </c>
      <c r="J70" s="140" t="s">
        <v>6810</v>
      </c>
      <c r="K70" s="140" t="s">
        <v>6811</v>
      </c>
    </row>
    <row r="71" spans="1:13" s="140" customFormat="1" ht="80.25" customHeight="1" x14ac:dyDescent="0.25">
      <c r="A71" s="140" t="s">
        <v>6812</v>
      </c>
      <c r="B71" s="154" t="s">
        <v>6803</v>
      </c>
      <c r="C71" s="154" t="s">
        <v>6804</v>
      </c>
      <c r="D71" s="155" t="s">
        <v>6805</v>
      </c>
      <c r="E71" s="156" t="s">
        <v>6806</v>
      </c>
      <c r="F71" s="157" t="s">
        <v>6119</v>
      </c>
      <c r="G71" s="158" t="s">
        <v>6813</v>
      </c>
      <c r="H71" s="147" t="s">
        <v>6814</v>
      </c>
      <c r="I71" s="140" t="s">
        <v>6815</v>
      </c>
      <c r="J71" s="140" t="s">
        <v>6816</v>
      </c>
      <c r="K71" s="140" t="s">
        <v>6817</v>
      </c>
      <c r="M71" s="140" t="s">
        <v>6818</v>
      </c>
    </row>
    <row r="72" spans="1:13" s="140" customFormat="1" ht="80.25" customHeight="1" x14ac:dyDescent="0.25">
      <c r="A72" s="140" t="s">
        <v>6819</v>
      </c>
      <c r="B72" s="154" t="s">
        <v>6803</v>
      </c>
      <c r="C72" s="154" t="s">
        <v>6804</v>
      </c>
      <c r="D72" s="155" t="s">
        <v>6805</v>
      </c>
      <c r="E72" s="156" t="s">
        <v>6806</v>
      </c>
      <c r="F72" s="157" t="s">
        <v>6120</v>
      </c>
      <c r="G72" s="158" t="s">
        <v>6820</v>
      </c>
      <c r="H72" s="147" t="s">
        <v>6821</v>
      </c>
      <c r="J72" s="140" t="s">
        <v>6822</v>
      </c>
      <c r="K72" s="140" t="s">
        <v>6823</v>
      </c>
    </row>
    <row r="73" spans="1:13" s="140" customFormat="1" ht="80.25" customHeight="1" x14ac:dyDescent="0.25">
      <c r="A73" s="140" t="s">
        <v>6824</v>
      </c>
      <c r="B73" s="154" t="s">
        <v>6803</v>
      </c>
      <c r="C73" s="154" t="s">
        <v>6804</v>
      </c>
      <c r="D73" s="155" t="s">
        <v>6805</v>
      </c>
      <c r="E73" s="156" t="s">
        <v>6806</v>
      </c>
      <c r="F73" s="157" t="s">
        <v>6128</v>
      </c>
      <c r="G73" s="158" t="s">
        <v>6825</v>
      </c>
      <c r="H73" s="147" t="s">
        <v>6826</v>
      </c>
      <c r="I73" s="140" t="s">
        <v>6515</v>
      </c>
      <c r="J73" s="140" t="s">
        <v>6827</v>
      </c>
      <c r="K73" s="140" t="s">
        <v>6738</v>
      </c>
      <c r="M73" s="140" t="s">
        <v>6828</v>
      </c>
    </row>
    <row r="74" spans="1:13" s="140" customFormat="1" ht="80.25" customHeight="1" x14ac:dyDescent="0.25">
      <c r="A74" s="140" t="s">
        <v>6829</v>
      </c>
      <c r="B74" s="154" t="s">
        <v>6803</v>
      </c>
      <c r="C74" s="154" t="s">
        <v>6804</v>
      </c>
      <c r="D74" s="155" t="s">
        <v>6805</v>
      </c>
      <c r="E74" s="156" t="s">
        <v>6806</v>
      </c>
      <c r="F74" s="157" t="s">
        <v>6121</v>
      </c>
      <c r="G74" s="158" t="s">
        <v>6830</v>
      </c>
      <c r="H74" s="147" t="s">
        <v>6831</v>
      </c>
      <c r="I74" s="140" t="s">
        <v>6435</v>
      </c>
      <c r="J74" s="140" t="s">
        <v>6832</v>
      </c>
      <c r="K74" s="140" t="s">
        <v>6833</v>
      </c>
      <c r="M74" s="140" t="s">
        <v>6801</v>
      </c>
    </row>
    <row r="75" spans="1:13" s="140" customFormat="1" ht="80.25" customHeight="1" x14ac:dyDescent="0.25">
      <c r="A75" s="140" t="s">
        <v>6834</v>
      </c>
      <c r="B75" s="154" t="s">
        <v>6803</v>
      </c>
      <c r="C75" s="154" t="s">
        <v>6804</v>
      </c>
      <c r="D75" s="155" t="s">
        <v>6835</v>
      </c>
      <c r="E75" s="156" t="s">
        <v>6836</v>
      </c>
      <c r="F75" s="157" t="s">
        <v>6108</v>
      </c>
      <c r="G75" s="158" t="s">
        <v>6837</v>
      </c>
      <c r="H75" s="147" t="s">
        <v>6838</v>
      </c>
      <c r="I75" s="140" t="s">
        <v>6839</v>
      </c>
      <c r="J75" s="140" t="s">
        <v>6840</v>
      </c>
      <c r="K75" s="140" t="s">
        <v>6841</v>
      </c>
    </row>
    <row r="76" spans="1:13" s="140" customFormat="1" ht="80.25" customHeight="1" x14ac:dyDescent="0.25">
      <c r="A76" s="140" t="s">
        <v>6842</v>
      </c>
      <c r="B76" s="154" t="s">
        <v>6803</v>
      </c>
      <c r="C76" s="154" t="s">
        <v>6804</v>
      </c>
      <c r="D76" s="155" t="s">
        <v>6835</v>
      </c>
      <c r="E76" s="156" t="s">
        <v>6836</v>
      </c>
      <c r="F76" s="157" t="s">
        <v>6114</v>
      </c>
      <c r="G76" s="158" t="s">
        <v>6843</v>
      </c>
      <c r="H76" s="147"/>
      <c r="I76" s="140" t="s">
        <v>6844</v>
      </c>
      <c r="J76" s="140" t="s">
        <v>6845</v>
      </c>
      <c r="K76" s="140" t="s">
        <v>6846</v>
      </c>
      <c r="M76" s="140" t="s">
        <v>6847</v>
      </c>
    </row>
    <row r="77" spans="1:13" s="140" customFormat="1" ht="80.25" customHeight="1" x14ac:dyDescent="0.25">
      <c r="A77" s="140" t="s">
        <v>6848</v>
      </c>
      <c r="B77" s="154" t="s">
        <v>6803</v>
      </c>
      <c r="C77" s="154" t="s">
        <v>6804</v>
      </c>
      <c r="D77" s="155" t="s">
        <v>6835</v>
      </c>
      <c r="E77" s="156" t="s">
        <v>6836</v>
      </c>
      <c r="F77" s="157" t="s">
        <v>6115</v>
      </c>
      <c r="G77" s="158" t="s">
        <v>6849</v>
      </c>
      <c r="H77" s="147" t="s">
        <v>6850</v>
      </c>
      <c r="I77" s="140" t="s">
        <v>6851</v>
      </c>
      <c r="J77" s="140" t="s">
        <v>6852</v>
      </c>
      <c r="K77" s="140" t="s">
        <v>6853</v>
      </c>
      <c r="M77" s="140" t="s">
        <v>6533</v>
      </c>
    </row>
    <row r="78" spans="1:13" s="140" customFormat="1" ht="80.25" customHeight="1" x14ac:dyDescent="0.25">
      <c r="A78" s="140" t="s">
        <v>6854</v>
      </c>
      <c r="B78" s="154" t="s">
        <v>6803</v>
      </c>
      <c r="C78" s="154" t="s">
        <v>6804</v>
      </c>
      <c r="D78" s="155" t="s">
        <v>6835</v>
      </c>
      <c r="E78" s="156" t="s">
        <v>6836</v>
      </c>
      <c r="F78" s="157" t="s">
        <v>6092</v>
      </c>
      <c r="G78" s="158" t="s">
        <v>6855</v>
      </c>
      <c r="H78" s="147" t="s">
        <v>6856</v>
      </c>
      <c r="I78" s="140" t="s">
        <v>6687</v>
      </c>
      <c r="J78" s="140" t="s">
        <v>6857</v>
      </c>
      <c r="K78" s="140" t="s">
        <v>6858</v>
      </c>
      <c r="M78" s="140" t="s">
        <v>6684</v>
      </c>
    </row>
    <row r="79" spans="1:13" s="140" customFormat="1" ht="80.25" customHeight="1" x14ac:dyDescent="0.25">
      <c r="A79" s="140" t="s">
        <v>6859</v>
      </c>
      <c r="B79" s="154" t="s">
        <v>6803</v>
      </c>
      <c r="C79" s="154" t="s">
        <v>6804</v>
      </c>
      <c r="D79" s="155" t="s">
        <v>6835</v>
      </c>
      <c r="E79" s="156" t="s">
        <v>6836</v>
      </c>
      <c r="F79" s="157" t="s">
        <v>6094</v>
      </c>
      <c r="G79" s="158" t="s">
        <v>6860</v>
      </c>
      <c r="H79" s="147" t="s">
        <v>6861</v>
      </c>
      <c r="I79" s="140" t="s">
        <v>6862</v>
      </c>
      <c r="J79" s="140" t="s">
        <v>6863</v>
      </c>
      <c r="K79" s="140" t="s">
        <v>6858</v>
      </c>
      <c r="M79" s="140" t="s">
        <v>6864</v>
      </c>
    </row>
    <row r="80" spans="1:13" s="140" customFormat="1" ht="80.25" customHeight="1" x14ac:dyDescent="0.25">
      <c r="A80" s="140" t="s">
        <v>6865</v>
      </c>
      <c r="B80" s="154" t="s">
        <v>6803</v>
      </c>
      <c r="C80" s="154" t="s">
        <v>6804</v>
      </c>
      <c r="D80" s="155" t="s">
        <v>6835</v>
      </c>
      <c r="E80" s="156" t="s">
        <v>6836</v>
      </c>
      <c r="F80" s="157" t="s">
        <v>6116</v>
      </c>
      <c r="G80" s="158" t="s">
        <v>6866</v>
      </c>
      <c r="H80" s="147"/>
      <c r="I80" s="140" t="s">
        <v>6867</v>
      </c>
      <c r="J80" s="140" t="s">
        <v>6868</v>
      </c>
      <c r="K80" s="140" t="s">
        <v>6869</v>
      </c>
    </row>
    <row r="81" spans="1:13" s="140" customFormat="1" ht="80.25" customHeight="1" x14ac:dyDescent="0.25">
      <c r="A81" s="140" t="s">
        <v>6870</v>
      </c>
      <c r="B81" s="154" t="s">
        <v>6803</v>
      </c>
      <c r="C81" s="154" t="s">
        <v>6804</v>
      </c>
      <c r="D81" s="155" t="s">
        <v>6835</v>
      </c>
      <c r="E81" s="156" t="s">
        <v>6836</v>
      </c>
      <c r="F81" s="157" t="s">
        <v>6117</v>
      </c>
      <c r="G81" s="158" t="s">
        <v>6871</v>
      </c>
      <c r="H81" s="147" t="s">
        <v>6872</v>
      </c>
      <c r="I81" s="140" t="s">
        <v>6873</v>
      </c>
      <c r="J81" s="140" t="s">
        <v>6874</v>
      </c>
      <c r="K81" s="140" t="s">
        <v>6875</v>
      </c>
    </row>
    <row r="82" spans="1:13" s="140" customFormat="1" ht="80.25" customHeight="1" x14ac:dyDescent="0.25">
      <c r="A82" s="140" t="s">
        <v>6876</v>
      </c>
      <c r="B82" s="154" t="s">
        <v>6803</v>
      </c>
      <c r="C82" s="154" t="s">
        <v>6804</v>
      </c>
      <c r="D82" s="155" t="s">
        <v>6835</v>
      </c>
      <c r="E82" s="156" t="s">
        <v>6836</v>
      </c>
      <c r="F82" s="157" t="s">
        <v>6104</v>
      </c>
      <c r="G82" s="158" t="s">
        <v>6877</v>
      </c>
      <c r="H82" s="147" t="s">
        <v>6878</v>
      </c>
      <c r="I82" s="140" t="s">
        <v>6851</v>
      </c>
      <c r="J82" s="140" t="s">
        <v>6879</v>
      </c>
      <c r="K82" s="140" t="s">
        <v>6880</v>
      </c>
    </row>
    <row r="83" spans="1:13" s="140" customFormat="1" ht="80.25" customHeight="1" x14ac:dyDescent="0.25">
      <c r="A83" s="140" t="s">
        <v>6881</v>
      </c>
      <c r="B83" s="154" t="s">
        <v>6803</v>
      </c>
      <c r="C83" s="154" t="s">
        <v>6804</v>
      </c>
      <c r="D83" s="155" t="s">
        <v>6882</v>
      </c>
      <c r="E83" s="156" t="s">
        <v>6883</v>
      </c>
      <c r="F83" s="157" t="s">
        <v>6109</v>
      </c>
      <c r="G83" s="158" t="s">
        <v>6884</v>
      </c>
      <c r="H83" s="147" t="s">
        <v>6471</v>
      </c>
      <c r="J83" s="140" t="s">
        <v>6885</v>
      </c>
      <c r="K83" s="140" t="s">
        <v>6886</v>
      </c>
    </row>
    <row r="84" spans="1:13" s="140" customFormat="1" ht="80.25" customHeight="1" x14ac:dyDescent="0.25">
      <c r="A84" s="140" t="s">
        <v>6887</v>
      </c>
      <c r="B84" s="154" t="s">
        <v>6803</v>
      </c>
      <c r="C84" s="154" t="s">
        <v>6804</v>
      </c>
      <c r="D84" s="155" t="s">
        <v>6882</v>
      </c>
      <c r="E84" s="156" t="s">
        <v>6883</v>
      </c>
      <c r="F84" s="157" t="s">
        <v>6110</v>
      </c>
      <c r="G84" s="158" t="s">
        <v>6888</v>
      </c>
      <c r="H84" s="147"/>
      <c r="J84" s="140" t="s">
        <v>6889</v>
      </c>
      <c r="K84" s="140" t="s">
        <v>6890</v>
      </c>
    </row>
    <row r="85" spans="1:13" s="140" customFormat="1" ht="80.25" customHeight="1" x14ac:dyDescent="0.25">
      <c r="A85" s="140" t="s">
        <v>6891</v>
      </c>
      <c r="B85" s="154" t="s">
        <v>6803</v>
      </c>
      <c r="C85" s="154" t="s">
        <v>6804</v>
      </c>
      <c r="D85" s="155" t="s">
        <v>6882</v>
      </c>
      <c r="E85" s="156" t="s">
        <v>6883</v>
      </c>
      <c r="F85" s="157" t="s">
        <v>6124</v>
      </c>
      <c r="G85" s="158" t="s">
        <v>6892</v>
      </c>
      <c r="H85" s="148"/>
      <c r="I85" s="140" t="s">
        <v>6893</v>
      </c>
      <c r="J85" s="140" t="s">
        <v>6894</v>
      </c>
      <c r="K85" s="140" t="s">
        <v>6895</v>
      </c>
      <c r="M85" s="140" t="s">
        <v>6896</v>
      </c>
    </row>
    <row r="86" spans="1:13" s="140" customFormat="1" ht="80.25" customHeight="1" x14ac:dyDescent="0.25">
      <c r="A86" s="140" t="s">
        <v>6897</v>
      </c>
      <c r="B86" s="154" t="s">
        <v>6803</v>
      </c>
      <c r="C86" s="154" t="s">
        <v>6804</v>
      </c>
      <c r="D86" s="155" t="s">
        <v>6882</v>
      </c>
      <c r="E86" s="156" t="s">
        <v>6883</v>
      </c>
      <c r="F86" s="157" t="s">
        <v>6111</v>
      </c>
      <c r="G86" s="158" t="s">
        <v>6898</v>
      </c>
      <c r="H86" s="147" t="s">
        <v>6471</v>
      </c>
      <c r="I86" s="140" t="s">
        <v>6687</v>
      </c>
      <c r="J86" s="140" t="s">
        <v>6899</v>
      </c>
      <c r="K86" s="140" t="s">
        <v>6900</v>
      </c>
    </row>
    <row r="87" spans="1:13" s="140" customFormat="1" ht="80.25" customHeight="1" x14ac:dyDescent="0.25">
      <c r="A87" s="140" t="s">
        <v>6901</v>
      </c>
      <c r="B87" s="154" t="s">
        <v>6803</v>
      </c>
      <c r="C87" s="154" t="s">
        <v>6804</v>
      </c>
      <c r="D87" s="155" t="s">
        <v>6882</v>
      </c>
      <c r="E87" s="156" t="s">
        <v>6883</v>
      </c>
      <c r="F87" s="157" t="s">
        <v>6036</v>
      </c>
      <c r="G87" s="158" t="s">
        <v>6902</v>
      </c>
      <c r="H87" s="147"/>
      <c r="I87" s="140" t="s">
        <v>6903</v>
      </c>
      <c r="J87" s="140" t="s">
        <v>6904</v>
      </c>
      <c r="K87" s="140" t="s">
        <v>6905</v>
      </c>
    </row>
    <row r="88" spans="1:13" s="140" customFormat="1" ht="80.25" customHeight="1" x14ac:dyDescent="0.25">
      <c r="A88" s="140" t="s">
        <v>6906</v>
      </c>
      <c r="B88" s="159" t="s">
        <v>6907</v>
      </c>
      <c r="C88" s="159" t="s">
        <v>6908</v>
      </c>
      <c r="D88" s="160" t="s">
        <v>6909</v>
      </c>
      <c r="E88" s="161" t="s">
        <v>6910</v>
      </c>
      <c r="F88" s="162" t="s">
        <v>6142</v>
      </c>
      <c r="G88" s="163" t="s">
        <v>6911</v>
      </c>
      <c r="H88" s="147" t="s">
        <v>6471</v>
      </c>
      <c r="I88" s="140" t="s">
        <v>6912</v>
      </c>
      <c r="J88" s="140" t="s">
        <v>6913</v>
      </c>
      <c r="K88" s="140" t="s">
        <v>6914</v>
      </c>
    </row>
    <row r="89" spans="1:13" s="140" customFormat="1" ht="80.25" customHeight="1" x14ac:dyDescent="0.25">
      <c r="A89" s="140" t="s">
        <v>6915</v>
      </c>
      <c r="B89" s="159" t="s">
        <v>6907</v>
      </c>
      <c r="C89" s="159" t="s">
        <v>6908</v>
      </c>
      <c r="D89" s="160" t="s">
        <v>6916</v>
      </c>
      <c r="E89" s="161" t="s">
        <v>6917</v>
      </c>
      <c r="F89" s="162" t="s">
        <v>6140</v>
      </c>
      <c r="G89" s="163" t="s">
        <v>6918</v>
      </c>
      <c r="H89" s="147" t="s">
        <v>6471</v>
      </c>
      <c r="I89" s="140" t="s">
        <v>6862</v>
      </c>
      <c r="J89" s="140" t="s">
        <v>6919</v>
      </c>
      <c r="K89" s="140" t="s">
        <v>6920</v>
      </c>
    </row>
    <row r="90" spans="1:13" s="140" customFormat="1" ht="80.25" customHeight="1" x14ac:dyDescent="0.25">
      <c r="A90" s="140" t="s">
        <v>6921</v>
      </c>
      <c r="B90" s="159" t="s">
        <v>6907</v>
      </c>
      <c r="C90" s="159" t="s">
        <v>6908</v>
      </c>
      <c r="D90" s="160" t="s">
        <v>6916</v>
      </c>
      <c r="E90" s="161" t="s">
        <v>6917</v>
      </c>
      <c r="F90" s="162" t="s">
        <v>6131</v>
      </c>
      <c r="G90" s="163" t="s">
        <v>6922</v>
      </c>
      <c r="H90" s="147" t="s">
        <v>6471</v>
      </c>
      <c r="I90" s="140" t="s">
        <v>6923</v>
      </c>
      <c r="J90" s="140" t="s">
        <v>6924</v>
      </c>
      <c r="K90" s="140" t="s">
        <v>6925</v>
      </c>
    </row>
    <row r="91" spans="1:13" s="140" customFormat="1" ht="80.25" customHeight="1" x14ac:dyDescent="0.25">
      <c r="A91" s="140" t="s">
        <v>6926</v>
      </c>
      <c r="B91" s="159" t="s">
        <v>6907</v>
      </c>
      <c r="C91" s="159" t="s">
        <v>6908</v>
      </c>
      <c r="D91" s="160" t="s">
        <v>6916</v>
      </c>
      <c r="E91" s="161" t="s">
        <v>6917</v>
      </c>
      <c r="F91" s="162" t="s">
        <v>6132</v>
      </c>
      <c r="G91" s="163" t="s">
        <v>6927</v>
      </c>
      <c r="H91" s="147" t="s">
        <v>6471</v>
      </c>
      <c r="I91" s="140" t="s">
        <v>6515</v>
      </c>
      <c r="J91" s="140" t="s">
        <v>6928</v>
      </c>
      <c r="K91" s="140" t="s">
        <v>6929</v>
      </c>
    </row>
    <row r="92" spans="1:13" s="140" customFormat="1" ht="80.25" customHeight="1" x14ac:dyDescent="0.25">
      <c r="A92" s="140" t="s">
        <v>6930</v>
      </c>
      <c r="B92" s="159" t="s">
        <v>6907</v>
      </c>
      <c r="C92" s="159" t="s">
        <v>6908</v>
      </c>
      <c r="D92" s="160" t="s">
        <v>6916</v>
      </c>
      <c r="E92" s="161" t="s">
        <v>6917</v>
      </c>
      <c r="F92" s="162" t="s">
        <v>6148</v>
      </c>
      <c r="G92" s="163" t="s">
        <v>6931</v>
      </c>
      <c r="H92" s="147" t="s">
        <v>6471</v>
      </c>
      <c r="I92" s="140" t="s">
        <v>6687</v>
      </c>
      <c r="J92" s="140" t="s">
        <v>6932</v>
      </c>
      <c r="K92" s="140" t="s">
        <v>6744</v>
      </c>
      <c r="M92" s="140" t="s">
        <v>6933</v>
      </c>
    </row>
    <row r="93" spans="1:13" s="140" customFormat="1" ht="80.25" customHeight="1" x14ac:dyDescent="0.25">
      <c r="A93" s="140" t="s">
        <v>6934</v>
      </c>
      <c r="B93" s="159" t="s">
        <v>6907</v>
      </c>
      <c r="C93" s="159" t="s">
        <v>6908</v>
      </c>
      <c r="D93" s="160" t="s">
        <v>6916</v>
      </c>
      <c r="E93" s="161" t="s">
        <v>6917</v>
      </c>
      <c r="F93" s="162" t="s">
        <v>6149</v>
      </c>
      <c r="G93" s="163" t="s">
        <v>6935</v>
      </c>
      <c r="H93" s="147" t="s">
        <v>6471</v>
      </c>
      <c r="J93" s="140" t="s">
        <v>6936</v>
      </c>
      <c r="K93" s="140" t="s">
        <v>6937</v>
      </c>
    </row>
    <row r="94" spans="1:13" s="140" customFormat="1" ht="80.25" customHeight="1" x14ac:dyDescent="0.25">
      <c r="A94" s="140" t="s">
        <v>6938</v>
      </c>
      <c r="B94" s="159" t="s">
        <v>6907</v>
      </c>
      <c r="C94" s="159" t="s">
        <v>6908</v>
      </c>
      <c r="D94" s="160" t="s">
        <v>6939</v>
      </c>
      <c r="E94" s="161" t="s">
        <v>6940</v>
      </c>
      <c r="F94" s="162" t="s">
        <v>6134</v>
      </c>
      <c r="G94" s="163" t="s">
        <v>6941</v>
      </c>
      <c r="H94" s="147" t="s">
        <v>6942</v>
      </c>
      <c r="I94" s="140" t="s">
        <v>6862</v>
      </c>
      <c r="J94" s="140" t="s">
        <v>6943</v>
      </c>
      <c r="K94" s="140" t="s">
        <v>6944</v>
      </c>
      <c r="M94" s="140" t="s">
        <v>6945</v>
      </c>
    </row>
    <row r="95" spans="1:13" s="140" customFormat="1" ht="80.25" customHeight="1" x14ac:dyDescent="0.25">
      <c r="A95" s="140" t="s">
        <v>6946</v>
      </c>
      <c r="B95" s="159" t="s">
        <v>6907</v>
      </c>
      <c r="C95" s="159" t="s">
        <v>6908</v>
      </c>
      <c r="D95" s="160" t="s">
        <v>6939</v>
      </c>
      <c r="E95" s="161" t="s">
        <v>6940</v>
      </c>
      <c r="F95" s="162" t="s">
        <v>6135</v>
      </c>
      <c r="G95" s="163" t="s">
        <v>6947</v>
      </c>
      <c r="H95" s="148"/>
      <c r="J95" s="140" t="s">
        <v>6948</v>
      </c>
      <c r="K95" s="140" t="s">
        <v>6949</v>
      </c>
      <c r="M95" s="140" t="s">
        <v>6950</v>
      </c>
    </row>
    <row r="96" spans="1:13" s="140" customFormat="1" ht="80.25" customHeight="1" x14ac:dyDescent="0.25">
      <c r="A96" s="140" t="s">
        <v>6951</v>
      </c>
      <c r="B96" s="159" t="s">
        <v>6907</v>
      </c>
      <c r="C96" s="159" t="s">
        <v>6908</v>
      </c>
      <c r="D96" s="160" t="s">
        <v>6939</v>
      </c>
      <c r="E96" s="161" t="s">
        <v>6940</v>
      </c>
      <c r="F96" s="162" t="s">
        <v>6165</v>
      </c>
      <c r="G96" s="163" t="s">
        <v>6952</v>
      </c>
      <c r="H96" s="148"/>
      <c r="J96" s="140" t="s">
        <v>6953</v>
      </c>
      <c r="K96" s="140" t="s">
        <v>6937</v>
      </c>
      <c r="M96" s="140" t="s">
        <v>6954</v>
      </c>
    </row>
    <row r="97" spans="1:13" s="140" customFormat="1" ht="80.25" customHeight="1" x14ac:dyDescent="0.25">
      <c r="A97" s="140" t="s">
        <v>6955</v>
      </c>
      <c r="B97" s="159" t="s">
        <v>6907</v>
      </c>
      <c r="C97" s="159" t="s">
        <v>6908</v>
      </c>
      <c r="D97" s="160" t="s">
        <v>6939</v>
      </c>
      <c r="E97" s="161" t="s">
        <v>6940</v>
      </c>
      <c r="F97" s="162" t="s">
        <v>6122</v>
      </c>
      <c r="G97" s="163" t="s">
        <v>6956</v>
      </c>
      <c r="H97" s="147" t="s">
        <v>6471</v>
      </c>
      <c r="J97" s="140" t="s">
        <v>6957</v>
      </c>
      <c r="K97" s="140" t="s">
        <v>6738</v>
      </c>
      <c r="M97" s="140" t="s">
        <v>6958</v>
      </c>
    </row>
    <row r="98" spans="1:13" s="140" customFormat="1" ht="80.25" customHeight="1" x14ac:dyDescent="0.25">
      <c r="A98" s="140" t="s">
        <v>6959</v>
      </c>
      <c r="B98" s="159" t="s">
        <v>6907</v>
      </c>
      <c r="C98" s="159" t="s">
        <v>6908</v>
      </c>
      <c r="D98" s="160" t="s">
        <v>6939</v>
      </c>
      <c r="E98" s="161" t="s">
        <v>6940</v>
      </c>
      <c r="F98" s="162" t="s">
        <v>6960</v>
      </c>
      <c r="G98" s="163" t="s">
        <v>6961</v>
      </c>
      <c r="H98" s="147" t="s">
        <v>6962</v>
      </c>
      <c r="J98" s="140" t="s">
        <v>6936</v>
      </c>
      <c r="M98" s="140" t="s">
        <v>6963</v>
      </c>
    </row>
    <row r="99" spans="1:13" s="140" customFormat="1" ht="80.25" customHeight="1" x14ac:dyDescent="0.25">
      <c r="A99" s="140" t="s">
        <v>6964</v>
      </c>
      <c r="B99" s="159" t="s">
        <v>6907</v>
      </c>
      <c r="C99" s="159" t="s">
        <v>6908</v>
      </c>
      <c r="D99" s="160" t="s">
        <v>6965</v>
      </c>
      <c r="E99" s="161" t="s">
        <v>6966</v>
      </c>
      <c r="F99" s="162" t="s">
        <v>6143</v>
      </c>
      <c r="G99" s="163" t="s">
        <v>6967</v>
      </c>
      <c r="H99" s="147" t="s">
        <v>6471</v>
      </c>
      <c r="J99" s="140" t="s">
        <v>6968</v>
      </c>
      <c r="K99" s="140" t="s">
        <v>6738</v>
      </c>
    </row>
    <row r="100" spans="1:13" s="140" customFormat="1" ht="80.25" customHeight="1" x14ac:dyDescent="0.25">
      <c r="A100" s="140" t="s">
        <v>6969</v>
      </c>
      <c r="B100" s="159" t="s">
        <v>6907</v>
      </c>
      <c r="C100" s="159" t="s">
        <v>6908</v>
      </c>
      <c r="D100" s="160" t="s">
        <v>6965</v>
      </c>
      <c r="E100" s="161" t="s">
        <v>6966</v>
      </c>
      <c r="F100" s="162" t="s">
        <v>6145</v>
      </c>
      <c r="G100" s="163" t="s">
        <v>6970</v>
      </c>
      <c r="H100" s="147" t="s">
        <v>6962</v>
      </c>
      <c r="J100" s="140" t="s">
        <v>6968</v>
      </c>
      <c r="K100" s="140" t="s">
        <v>6738</v>
      </c>
    </row>
    <row r="101" spans="1:13" s="140" customFormat="1" ht="80.25" customHeight="1" x14ac:dyDescent="0.25">
      <c r="A101" s="140" t="s">
        <v>6971</v>
      </c>
      <c r="B101" s="159" t="s">
        <v>6907</v>
      </c>
      <c r="C101" s="159" t="s">
        <v>6908</v>
      </c>
      <c r="D101" s="160" t="s">
        <v>6965</v>
      </c>
      <c r="E101" s="161" t="s">
        <v>6966</v>
      </c>
      <c r="F101" s="162" t="s">
        <v>6152</v>
      </c>
      <c r="G101" s="163" t="s">
        <v>6972</v>
      </c>
      <c r="H101" s="147" t="s">
        <v>6496</v>
      </c>
      <c r="J101" s="140" t="s">
        <v>6973</v>
      </c>
      <c r="K101" s="140" t="s">
        <v>6974</v>
      </c>
    </row>
    <row r="102" spans="1:13" s="140" customFormat="1" ht="80.25" customHeight="1" x14ac:dyDescent="0.25">
      <c r="A102" s="140" t="s">
        <v>6975</v>
      </c>
      <c r="B102" s="159" t="s">
        <v>6907</v>
      </c>
      <c r="C102" s="159" t="s">
        <v>6908</v>
      </c>
      <c r="D102" s="160" t="s">
        <v>6976</v>
      </c>
      <c r="E102" s="161" t="s">
        <v>6977</v>
      </c>
      <c r="F102" s="162" t="s">
        <v>6168</v>
      </c>
      <c r="G102" s="163" t="s">
        <v>6978</v>
      </c>
      <c r="H102" s="148"/>
      <c r="J102" s="140" t="s">
        <v>6932</v>
      </c>
      <c r="K102" s="140" t="s">
        <v>6979</v>
      </c>
    </row>
    <row r="103" spans="1:13" s="140" customFormat="1" ht="80.25" customHeight="1" x14ac:dyDescent="0.25">
      <c r="A103" s="140" t="s">
        <v>6980</v>
      </c>
      <c r="B103" s="159" t="s">
        <v>6907</v>
      </c>
      <c r="C103" s="159" t="s">
        <v>6908</v>
      </c>
      <c r="D103" s="160" t="s">
        <v>6976</v>
      </c>
      <c r="E103" s="161" t="s">
        <v>6977</v>
      </c>
      <c r="F103" s="162" t="s">
        <v>6170</v>
      </c>
      <c r="G103" s="163" t="s">
        <v>6981</v>
      </c>
      <c r="J103" s="140" t="s">
        <v>6932</v>
      </c>
      <c r="K103" s="140" t="s">
        <v>6982</v>
      </c>
    </row>
    <row r="104" spans="1:13" s="140" customFormat="1" ht="80.25" customHeight="1" x14ac:dyDescent="0.25">
      <c r="A104" s="140" t="s">
        <v>6983</v>
      </c>
      <c r="B104" s="164" t="s">
        <v>6984</v>
      </c>
      <c r="C104" s="164" t="s">
        <v>6985</v>
      </c>
      <c r="D104" s="165" t="s">
        <v>6909</v>
      </c>
      <c r="E104" s="166" t="s">
        <v>6986</v>
      </c>
      <c r="F104" s="167" t="s">
        <v>6162</v>
      </c>
      <c r="G104" s="168" t="s">
        <v>6987</v>
      </c>
      <c r="H104" s="140" t="s">
        <v>6713</v>
      </c>
      <c r="J104" s="140" t="s">
        <v>6988</v>
      </c>
      <c r="K104" s="140" t="s">
        <v>6989</v>
      </c>
    </row>
    <row r="105" spans="1:13" s="140" customFormat="1" ht="80.25" customHeight="1" x14ac:dyDescent="0.25">
      <c r="A105" s="140" t="s">
        <v>6990</v>
      </c>
      <c r="B105" s="164" t="s">
        <v>6984</v>
      </c>
      <c r="C105" s="164" t="s">
        <v>6985</v>
      </c>
      <c r="D105" s="165" t="s">
        <v>6976</v>
      </c>
      <c r="E105" s="166" t="s">
        <v>6991</v>
      </c>
      <c r="F105" s="167" t="s">
        <v>6171</v>
      </c>
      <c r="G105" s="168" t="s">
        <v>6992</v>
      </c>
      <c r="H105" s="148"/>
      <c r="J105" s="140" t="s">
        <v>6932</v>
      </c>
      <c r="K105" s="140" t="s">
        <v>6989</v>
      </c>
    </row>
    <row r="106" spans="1:13" s="140" customFormat="1" ht="80.25" customHeight="1" x14ac:dyDescent="0.25">
      <c r="A106" s="140" t="s">
        <v>6993</v>
      </c>
      <c r="B106" s="164" t="s">
        <v>6984</v>
      </c>
      <c r="C106" s="164" t="s">
        <v>6985</v>
      </c>
      <c r="D106" s="165" t="s">
        <v>6976</v>
      </c>
      <c r="E106" s="166" t="s">
        <v>6991</v>
      </c>
      <c r="F106" s="167" t="s">
        <v>6172</v>
      </c>
      <c r="G106" s="168" t="s">
        <v>6994</v>
      </c>
      <c r="H106" s="148"/>
      <c r="J106" s="140" t="s">
        <v>6932</v>
      </c>
      <c r="K106" s="140" t="s">
        <v>6995</v>
      </c>
    </row>
    <row r="107" spans="1:13" s="140" customFormat="1" ht="80.25" customHeight="1" x14ac:dyDescent="0.25">
      <c r="A107" s="140" t="s">
        <v>6996</v>
      </c>
      <c r="B107" s="164" t="s">
        <v>6984</v>
      </c>
      <c r="C107" s="164" t="s">
        <v>6985</v>
      </c>
      <c r="D107" s="165" t="s">
        <v>6916</v>
      </c>
      <c r="E107" s="166" t="s">
        <v>6997</v>
      </c>
      <c r="F107" s="167" t="s">
        <v>6154</v>
      </c>
      <c r="G107" s="168" t="s">
        <v>6998</v>
      </c>
      <c r="H107" s="148"/>
      <c r="K107" s="140" t="s">
        <v>6999</v>
      </c>
    </row>
    <row r="108" spans="1:13" s="140" customFormat="1" ht="80.25" customHeight="1" x14ac:dyDescent="0.25">
      <c r="A108" s="140" t="s">
        <v>7000</v>
      </c>
      <c r="B108" s="164" t="s">
        <v>6984</v>
      </c>
      <c r="C108" s="164" t="s">
        <v>6985</v>
      </c>
      <c r="D108" s="165" t="s">
        <v>6916</v>
      </c>
      <c r="E108" s="166" t="s">
        <v>6997</v>
      </c>
      <c r="F108" s="167" t="s">
        <v>7001</v>
      </c>
      <c r="G108" s="168" t="s">
        <v>7002</v>
      </c>
      <c r="H108" s="148"/>
      <c r="K108" s="140" t="s">
        <v>6999</v>
      </c>
    </row>
    <row r="109" spans="1:13" s="140" customFormat="1" ht="80.25" customHeight="1" x14ac:dyDescent="0.25">
      <c r="A109" s="140" t="s">
        <v>7003</v>
      </c>
      <c r="B109" s="164" t="s">
        <v>6984</v>
      </c>
      <c r="C109" s="164" t="s">
        <v>6985</v>
      </c>
      <c r="D109" s="165" t="s">
        <v>6916</v>
      </c>
      <c r="E109" s="166" t="s">
        <v>6997</v>
      </c>
      <c r="F109" s="167" t="s">
        <v>6156</v>
      </c>
      <c r="G109" s="168" t="s">
        <v>7004</v>
      </c>
      <c r="H109" s="148"/>
      <c r="J109" s="140" t="s">
        <v>7005</v>
      </c>
      <c r="K109" s="140" t="s">
        <v>7006</v>
      </c>
    </row>
  </sheetData>
  <pageMargins left="0.25" right="0.25" top="0.75" bottom="0.75" header="0.3" footer="0.3"/>
  <pageSetup scale="1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6B4F4-5253-4AD3-A3BD-109A576124BA}">
  <sheetPr>
    <tabColor rgb="FF7030A0"/>
  </sheetPr>
  <dimension ref="A1:E1190"/>
  <sheetViews>
    <sheetView workbookViewId="0">
      <selection activeCell="B31" sqref="B31"/>
    </sheetView>
  </sheetViews>
  <sheetFormatPr defaultColWidth="9" defaultRowHeight="15" x14ac:dyDescent="0.25"/>
  <cols>
    <col min="1" max="1" width="10.125" style="61" bestFit="1" customWidth="1"/>
    <col min="2" max="2" width="44.375" style="61" customWidth="1"/>
    <col min="3" max="4" width="71" style="61" bestFit="1" customWidth="1"/>
    <col min="5" max="5" width="24.5" style="61" customWidth="1"/>
    <col min="6" max="16384" width="9" style="61"/>
  </cols>
  <sheetData>
    <row r="1" spans="1:5" ht="30" x14ac:dyDescent="0.25">
      <c r="A1" s="61" t="s">
        <v>251</v>
      </c>
      <c r="B1" s="61" t="s">
        <v>252</v>
      </c>
      <c r="C1" s="61" t="s">
        <v>253</v>
      </c>
      <c r="D1" s="61" t="s">
        <v>254</v>
      </c>
      <c r="E1" s="61" t="s">
        <v>255</v>
      </c>
    </row>
    <row r="2" spans="1:5" ht="270" x14ac:dyDescent="0.25">
      <c r="A2" s="62" t="s">
        <v>256</v>
      </c>
      <c r="B2" s="62" t="s">
        <v>257</v>
      </c>
      <c r="C2" s="62" t="s">
        <v>258</v>
      </c>
      <c r="D2" s="62" t="s">
        <v>259</v>
      </c>
      <c r="E2" s="62" t="s">
        <v>260</v>
      </c>
    </row>
    <row r="3" spans="1:5" ht="409.5" x14ac:dyDescent="0.25">
      <c r="A3" s="62" t="s">
        <v>261</v>
      </c>
      <c r="B3" s="62" t="s">
        <v>262</v>
      </c>
      <c r="C3" s="62" t="s">
        <v>263</v>
      </c>
      <c r="D3" s="62" t="s">
        <v>264</v>
      </c>
      <c r="E3" s="62" t="s">
        <v>265</v>
      </c>
    </row>
    <row r="4" spans="1:5" ht="90" x14ac:dyDescent="0.25">
      <c r="A4" s="62" t="s">
        <v>266</v>
      </c>
      <c r="B4" s="62" t="s">
        <v>267</v>
      </c>
      <c r="C4" s="62" t="s">
        <v>268</v>
      </c>
      <c r="D4" s="62" t="s">
        <v>269</v>
      </c>
      <c r="E4" s="62"/>
    </row>
    <row r="5" spans="1:5" ht="60" x14ac:dyDescent="0.25">
      <c r="A5" s="62" t="s">
        <v>270</v>
      </c>
      <c r="B5" s="62" t="s">
        <v>271</v>
      </c>
      <c r="C5" s="62" t="s">
        <v>272</v>
      </c>
      <c r="D5" s="62" t="s">
        <v>273</v>
      </c>
      <c r="E5" s="62"/>
    </row>
    <row r="6" spans="1:5" ht="90" x14ac:dyDescent="0.25">
      <c r="A6" s="62" t="s">
        <v>274</v>
      </c>
      <c r="B6" s="62" t="s">
        <v>275</v>
      </c>
      <c r="C6" s="62" t="s">
        <v>276</v>
      </c>
      <c r="D6" s="62" t="s">
        <v>277</v>
      </c>
      <c r="E6" s="62"/>
    </row>
    <row r="7" spans="1:5" ht="30" x14ac:dyDescent="0.25">
      <c r="A7" s="62" t="s">
        <v>278</v>
      </c>
      <c r="B7" s="62" t="s">
        <v>279</v>
      </c>
      <c r="C7" s="62" t="s">
        <v>280</v>
      </c>
      <c r="D7" s="62" t="s">
        <v>281</v>
      </c>
      <c r="E7" s="62" t="s">
        <v>282</v>
      </c>
    </row>
    <row r="8" spans="1:5" ht="45" x14ac:dyDescent="0.25">
      <c r="A8" s="62" t="s">
        <v>283</v>
      </c>
      <c r="B8" s="62" t="s">
        <v>284</v>
      </c>
      <c r="C8" s="62" t="s">
        <v>285</v>
      </c>
      <c r="D8" s="62" t="s">
        <v>286</v>
      </c>
      <c r="E8" s="62" t="s">
        <v>287</v>
      </c>
    </row>
    <row r="9" spans="1:5" ht="210" x14ac:dyDescent="0.25">
      <c r="A9" s="62" t="s">
        <v>288</v>
      </c>
      <c r="B9" s="62" t="s">
        <v>289</v>
      </c>
      <c r="C9" s="62" t="s">
        <v>290</v>
      </c>
      <c r="D9" s="62" t="s">
        <v>291</v>
      </c>
      <c r="E9" s="62" t="s">
        <v>292</v>
      </c>
    </row>
    <row r="10" spans="1:5" ht="105" x14ac:dyDescent="0.25">
      <c r="A10" s="62" t="s">
        <v>293</v>
      </c>
      <c r="B10" s="62" t="s">
        <v>294</v>
      </c>
      <c r="C10" s="62" t="s">
        <v>295</v>
      </c>
      <c r="D10" s="62" t="s">
        <v>296</v>
      </c>
      <c r="E10" s="62"/>
    </row>
    <row r="11" spans="1:5" ht="90" x14ac:dyDescent="0.25">
      <c r="A11" s="62" t="s">
        <v>297</v>
      </c>
      <c r="B11" s="62" t="s">
        <v>298</v>
      </c>
      <c r="C11" s="62" t="s">
        <v>299</v>
      </c>
      <c r="D11" s="62" t="s">
        <v>300</v>
      </c>
      <c r="E11" s="62" t="s">
        <v>292</v>
      </c>
    </row>
    <row r="12" spans="1:5" ht="30" x14ac:dyDescent="0.25">
      <c r="A12" s="62" t="s">
        <v>301</v>
      </c>
      <c r="B12" s="62" t="s">
        <v>302</v>
      </c>
      <c r="C12" s="62" t="s">
        <v>303</v>
      </c>
      <c r="D12" s="62" t="s">
        <v>304</v>
      </c>
      <c r="E12" s="62"/>
    </row>
    <row r="13" spans="1:5" ht="30" x14ac:dyDescent="0.25">
      <c r="A13" s="62" t="s">
        <v>305</v>
      </c>
      <c r="B13" s="62" t="s">
        <v>306</v>
      </c>
      <c r="C13" s="62"/>
      <c r="D13" s="62"/>
      <c r="E13" s="62"/>
    </row>
    <row r="14" spans="1:5" ht="90" x14ac:dyDescent="0.25">
      <c r="A14" s="62" t="s">
        <v>307</v>
      </c>
      <c r="B14" s="62" t="s">
        <v>308</v>
      </c>
      <c r="C14" s="62" t="s">
        <v>309</v>
      </c>
      <c r="D14" s="62" t="s">
        <v>310</v>
      </c>
      <c r="E14" s="62"/>
    </row>
    <row r="15" spans="1:5" ht="120" x14ac:dyDescent="0.25">
      <c r="A15" s="62" t="s">
        <v>311</v>
      </c>
      <c r="B15" s="62" t="s">
        <v>312</v>
      </c>
      <c r="C15" s="62" t="s">
        <v>313</v>
      </c>
      <c r="D15" s="62" t="s">
        <v>314</v>
      </c>
      <c r="E15" s="62" t="s">
        <v>315</v>
      </c>
    </row>
    <row r="16" spans="1:5" ht="105" x14ac:dyDescent="0.25">
      <c r="A16" s="62" t="s">
        <v>316</v>
      </c>
      <c r="B16" s="62" t="s">
        <v>317</v>
      </c>
      <c r="C16" s="62" t="s">
        <v>318</v>
      </c>
      <c r="D16" s="62" t="s">
        <v>319</v>
      </c>
      <c r="E16" s="62" t="s">
        <v>320</v>
      </c>
    </row>
    <row r="17" spans="1:5" ht="150" x14ac:dyDescent="0.25">
      <c r="A17" s="62" t="s">
        <v>321</v>
      </c>
      <c r="B17" s="62" t="s">
        <v>322</v>
      </c>
      <c r="C17" s="62" t="s">
        <v>323</v>
      </c>
      <c r="D17" s="62" t="s">
        <v>324</v>
      </c>
      <c r="E17" s="62" t="s">
        <v>325</v>
      </c>
    </row>
    <row r="18" spans="1:5" ht="30" x14ac:dyDescent="0.25">
      <c r="A18" s="62" t="s">
        <v>326</v>
      </c>
      <c r="B18" s="62" t="s">
        <v>327</v>
      </c>
      <c r="C18" s="62"/>
      <c r="D18" s="62"/>
      <c r="E18" s="62"/>
    </row>
    <row r="19" spans="1:5" ht="90" x14ac:dyDescent="0.25">
      <c r="A19" s="62" t="s">
        <v>328</v>
      </c>
      <c r="B19" s="62" t="s">
        <v>329</v>
      </c>
      <c r="C19" s="62" t="s">
        <v>330</v>
      </c>
      <c r="D19" s="62" t="s">
        <v>331</v>
      </c>
      <c r="E19" s="62" t="s">
        <v>332</v>
      </c>
    </row>
    <row r="20" spans="1:5" ht="409.5" x14ac:dyDescent="0.25">
      <c r="A20" s="62" t="s">
        <v>333</v>
      </c>
      <c r="B20" s="62" t="s">
        <v>334</v>
      </c>
      <c r="C20" s="62" t="s">
        <v>335</v>
      </c>
      <c r="D20" s="62" t="s">
        <v>336</v>
      </c>
      <c r="E20" s="62" t="s">
        <v>337</v>
      </c>
    </row>
    <row r="21" spans="1:5" ht="240" x14ac:dyDescent="0.25">
      <c r="A21" s="62" t="s">
        <v>338</v>
      </c>
      <c r="B21" s="62" t="s">
        <v>339</v>
      </c>
      <c r="C21" s="62" t="s">
        <v>340</v>
      </c>
      <c r="D21" s="62" t="s">
        <v>341</v>
      </c>
      <c r="E21" s="62"/>
    </row>
    <row r="22" spans="1:5" ht="135" x14ac:dyDescent="0.25">
      <c r="A22" s="62" t="s">
        <v>342</v>
      </c>
      <c r="B22" s="62" t="s">
        <v>343</v>
      </c>
      <c r="C22" s="62" t="s">
        <v>344</v>
      </c>
      <c r="D22" s="62" t="s">
        <v>345</v>
      </c>
      <c r="E22" s="62" t="s">
        <v>346</v>
      </c>
    </row>
    <row r="23" spans="1:5" ht="30" x14ac:dyDescent="0.25">
      <c r="A23" s="62" t="s">
        <v>347</v>
      </c>
      <c r="B23" s="62" t="s">
        <v>348</v>
      </c>
      <c r="C23" s="62"/>
      <c r="D23" s="62"/>
      <c r="E23" s="62"/>
    </row>
    <row r="24" spans="1:5" ht="210" x14ac:dyDescent="0.25">
      <c r="A24" s="62" t="s">
        <v>349</v>
      </c>
      <c r="B24" s="62" t="s">
        <v>350</v>
      </c>
      <c r="C24" s="62" t="s">
        <v>351</v>
      </c>
      <c r="D24" s="62" t="s">
        <v>352</v>
      </c>
      <c r="E24" s="62"/>
    </row>
    <row r="25" spans="1:5" ht="105" x14ac:dyDescent="0.25">
      <c r="A25" s="62" t="s">
        <v>353</v>
      </c>
      <c r="B25" s="62" t="s">
        <v>354</v>
      </c>
      <c r="C25" s="62" t="s">
        <v>355</v>
      </c>
      <c r="D25" s="62" t="s">
        <v>356</v>
      </c>
      <c r="E25" s="62"/>
    </row>
    <row r="26" spans="1:5" ht="300" x14ac:dyDescent="0.25">
      <c r="A26" s="62" t="s">
        <v>357</v>
      </c>
      <c r="B26" s="62" t="s">
        <v>358</v>
      </c>
      <c r="C26" s="62" t="s">
        <v>359</v>
      </c>
      <c r="D26" s="62" t="s">
        <v>360</v>
      </c>
      <c r="E26" s="62" t="s">
        <v>361</v>
      </c>
    </row>
    <row r="27" spans="1:5" ht="75" x14ac:dyDescent="0.25">
      <c r="A27" s="62" t="s">
        <v>362</v>
      </c>
      <c r="B27" s="62" t="s">
        <v>363</v>
      </c>
      <c r="C27" s="62" t="s">
        <v>364</v>
      </c>
      <c r="D27" s="62" t="s">
        <v>365</v>
      </c>
      <c r="E27" s="62" t="s">
        <v>366</v>
      </c>
    </row>
    <row r="28" spans="1:5" ht="90" x14ac:dyDescent="0.25">
      <c r="A28" s="62" t="s">
        <v>367</v>
      </c>
      <c r="B28" s="62" t="s">
        <v>368</v>
      </c>
      <c r="C28" s="62" t="s">
        <v>369</v>
      </c>
      <c r="D28" s="62" t="s">
        <v>370</v>
      </c>
      <c r="E28" s="62" t="s">
        <v>371</v>
      </c>
    </row>
    <row r="29" spans="1:5" ht="75" x14ac:dyDescent="0.25">
      <c r="A29" s="62" t="s">
        <v>372</v>
      </c>
      <c r="B29" s="62" t="s">
        <v>373</v>
      </c>
      <c r="C29" s="62" t="s">
        <v>374</v>
      </c>
      <c r="D29" s="62" t="s">
        <v>375</v>
      </c>
      <c r="E29" s="62" t="s">
        <v>376</v>
      </c>
    </row>
    <row r="30" spans="1:5" ht="180" x14ac:dyDescent="0.25">
      <c r="A30" s="62" t="s">
        <v>377</v>
      </c>
      <c r="B30" s="62" t="s">
        <v>378</v>
      </c>
      <c r="C30" s="62" t="s">
        <v>379</v>
      </c>
      <c r="D30" s="62" t="s">
        <v>380</v>
      </c>
      <c r="E30" s="62"/>
    </row>
    <row r="31" spans="1:5" ht="165" x14ac:dyDescent="0.25">
      <c r="A31" s="62" t="s">
        <v>381</v>
      </c>
      <c r="B31" s="62" t="s">
        <v>382</v>
      </c>
      <c r="C31" s="62" t="s">
        <v>383</v>
      </c>
      <c r="D31" s="62" t="s">
        <v>384</v>
      </c>
      <c r="E31" s="62" t="s">
        <v>385</v>
      </c>
    </row>
    <row r="32" spans="1:5" ht="60" x14ac:dyDescent="0.25">
      <c r="A32" s="62" t="s">
        <v>386</v>
      </c>
      <c r="B32" s="62" t="s">
        <v>387</v>
      </c>
      <c r="C32" s="62" t="s">
        <v>388</v>
      </c>
      <c r="D32" s="62" t="s">
        <v>389</v>
      </c>
      <c r="E32" s="62" t="s">
        <v>390</v>
      </c>
    </row>
    <row r="33" spans="1:5" ht="409.5" x14ac:dyDescent="0.25">
      <c r="A33" s="62" t="s">
        <v>391</v>
      </c>
      <c r="B33" s="62" t="s">
        <v>392</v>
      </c>
      <c r="C33" s="62" t="s">
        <v>393</v>
      </c>
      <c r="D33" s="62" t="s">
        <v>394</v>
      </c>
      <c r="E33" s="62" t="s">
        <v>395</v>
      </c>
    </row>
    <row r="34" spans="1:5" ht="180" x14ac:dyDescent="0.25">
      <c r="A34" s="62" t="s">
        <v>396</v>
      </c>
      <c r="B34" s="62" t="s">
        <v>397</v>
      </c>
      <c r="C34" s="62" t="s">
        <v>398</v>
      </c>
      <c r="D34" s="62" t="s">
        <v>399</v>
      </c>
      <c r="E34" s="62"/>
    </row>
    <row r="35" spans="1:5" ht="120" x14ac:dyDescent="0.25">
      <c r="A35" s="62" t="s">
        <v>400</v>
      </c>
      <c r="B35" s="62" t="s">
        <v>401</v>
      </c>
      <c r="C35" s="62" t="s">
        <v>402</v>
      </c>
      <c r="D35" s="62" t="s">
        <v>403</v>
      </c>
      <c r="E35" s="62" t="s">
        <v>404</v>
      </c>
    </row>
    <row r="36" spans="1:5" ht="75" x14ac:dyDescent="0.25">
      <c r="A36" s="62" t="s">
        <v>405</v>
      </c>
      <c r="B36" s="62" t="s">
        <v>406</v>
      </c>
      <c r="C36" s="62" t="s">
        <v>407</v>
      </c>
      <c r="D36" s="62" t="s">
        <v>408</v>
      </c>
      <c r="E36" s="62" t="s">
        <v>409</v>
      </c>
    </row>
    <row r="37" spans="1:5" ht="90" x14ac:dyDescent="0.25">
      <c r="A37" s="62" t="s">
        <v>410</v>
      </c>
      <c r="B37" s="62" t="s">
        <v>411</v>
      </c>
      <c r="C37" s="62" t="s">
        <v>412</v>
      </c>
      <c r="D37" s="62" t="s">
        <v>413</v>
      </c>
      <c r="E37" s="62" t="s">
        <v>409</v>
      </c>
    </row>
    <row r="38" spans="1:5" ht="90" x14ac:dyDescent="0.25">
      <c r="A38" s="62" t="s">
        <v>414</v>
      </c>
      <c r="B38" s="62" t="s">
        <v>415</v>
      </c>
      <c r="C38" s="62" t="s">
        <v>416</v>
      </c>
      <c r="D38" s="62" t="s">
        <v>417</v>
      </c>
      <c r="E38" s="62"/>
    </row>
    <row r="39" spans="1:5" ht="120" x14ac:dyDescent="0.25">
      <c r="A39" s="62" t="s">
        <v>418</v>
      </c>
      <c r="B39" s="62" t="s">
        <v>419</v>
      </c>
      <c r="C39" s="62" t="s">
        <v>420</v>
      </c>
      <c r="D39" s="62" t="s">
        <v>421</v>
      </c>
      <c r="E39" s="62" t="s">
        <v>422</v>
      </c>
    </row>
    <row r="40" spans="1:5" ht="75" x14ac:dyDescent="0.25">
      <c r="A40" s="62" t="s">
        <v>423</v>
      </c>
      <c r="B40" s="62" t="s">
        <v>424</v>
      </c>
      <c r="C40" s="62" t="s">
        <v>425</v>
      </c>
      <c r="D40" s="62" t="s">
        <v>426</v>
      </c>
      <c r="E40" s="62"/>
    </row>
    <row r="41" spans="1:5" ht="195" x14ac:dyDescent="0.25">
      <c r="A41" s="62" t="s">
        <v>427</v>
      </c>
      <c r="B41" s="62" t="s">
        <v>428</v>
      </c>
      <c r="C41" s="62" t="s">
        <v>429</v>
      </c>
      <c r="D41" s="62" t="s">
        <v>430</v>
      </c>
      <c r="E41" s="62"/>
    </row>
    <row r="42" spans="1:5" ht="75" x14ac:dyDescent="0.25">
      <c r="A42" s="62" t="s">
        <v>431</v>
      </c>
      <c r="B42" s="62" t="s">
        <v>432</v>
      </c>
      <c r="C42" s="62" t="s">
        <v>433</v>
      </c>
      <c r="D42" s="62" t="s">
        <v>434</v>
      </c>
      <c r="E42" s="62"/>
    </row>
    <row r="43" spans="1:5" ht="75" x14ac:dyDescent="0.25">
      <c r="A43" s="62" t="s">
        <v>435</v>
      </c>
      <c r="B43" s="62" t="s">
        <v>436</v>
      </c>
      <c r="C43" s="62" t="s">
        <v>437</v>
      </c>
      <c r="D43" s="62" t="s">
        <v>438</v>
      </c>
      <c r="E43" s="62"/>
    </row>
    <row r="44" spans="1:5" ht="60" x14ac:dyDescent="0.25">
      <c r="A44" s="62" t="s">
        <v>439</v>
      </c>
      <c r="B44" s="62" t="s">
        <v>440</v>
      </c>
      <c r="C44" s="62" t="s">
        <v>441</v>
      </c>
      <c r="D44" s="62" t="s">
        <v>442</v>
      </c>
      <c r="E44" s="62"/>
    </row>
    <row r="45" spans="1:5" ht="105" x14ac:dyDescent="0.25">
      <c r="A45" s="62" t="s">
        <v>443</v>
      </c>
      <c r="B45" s="62" t="s">
        <v>444</v>
      </c>
      <c r="C45" s="62" t="s">
        <v>445</v>
      </c>
      <c r="D45" s="62" t="s">
        <v>446</v>
      </c>
      <c r="E45" s="62"/>
    </row>
    <row r="46" spans="1:5" ht="90" x14ac:dyDescent="0.25">
      <c r="A46" s="62" t="s">
        <v>447</v>
      </c>
      <c r="B46" s="62" t="s">
        <v>448</v>
      </c>
      <c r="C46" s="62" t="s">
        <v>449</v>
      </c>
      <c r="D46" s="62" t="s">
        <v>450</v>
      </c>
      <c r="E46" s="62"/>
    </row>
    <row r="47" spans="1:5" ht="90" x14ac:dyDescent="0.25">
      <c r="A47" s="62" t="s">
        <v>451</v>
      </c>
      <c r="B47" s="62" t="s">
        <v>452</v>
      </c>
      <c r="C47" s="62" t="s">
        <v>453</v>
      </c>
      <c r="D47" s="62" t="s">
        <v>454</v>
      </c>
      <c r="E47" s="62"/>
    </row>
    <row r="48" spans="1:5" ht="60" x14ac:dyDescent="0.25">
      <c r="A48" s="62" t="s">
        <v>455</v>
      </c>
      <c r="B48" s="62" t="s">
        <v>456</v>
      </c>
      <c r="C48" s="62" t="s">
        <v>457</v>
      </c>
      <c r="D48" s="62" t="s">
        <v>458</v>
      </c>
      <c r="E48" s="62" t="s">
        <v>459</v>
      </c>
    </row>
    <row r="49" spans="1:5" ht="30" x14ac:dyDescent="0.25">
      <c r="A49" s="62" t="s">
        <v>460</v>
      </c>
      <c r="B49" s="62" t="s">
        <v>461</v>
      </c>
      <c r="C49" s="62"/>
      <c r="D49" s="62"/>
      <c r="E49" s="62"/>
    </row>
    <row r="50" spans="1:5" ht="135" x14ac:dyDescent="0.25">
      <c r="A50" s="62" t="s">
        <v>462</v>
      </c>
      <c r="B50" s="62" t="s">
        <v>463</v>
      </c>
      <c r="C50" s="62" t="s">
        <v>464</v>
      </c>
      <c r="D50" s="62" t="s">
        <v>465</v>
      </c>
      <c r="E50" s="62" t="s">
        <v>466</v>
      </c>
    </row>
    <row r="51" spans="1:5" ht="30" x14ac:dyDescent="0.25">
      <c r="A51" s="62" t="s">
        <v>467</v>
      </c>
      <c r="B51" s="62" t="s">
        <v>468</v>
      </c>
      <c r="C51" s="62"/>
      <c r="D51" s="62"/>
      <c r="E51" s="62"/>
    </row>
    <row r="52" spans="1:5" ht="75" x14ac:dyDescent="0.25">
      <c r="A52" s="62" t="s">
        <v>469</v>
      </c>
      <c r="B52" s="62" t="s">
        <v>470</v>
      </c>
      <c r="C52" s="62" t="s">
        <v>471</v>
      </c>
      <c r="D52" s="62" t="s">
        <v>472</v>
      </c>
      <c r="E52" s="62"/>
    </row>
    <row r="53" spans="1:5" ht="75" x14ac:dyDescent="0.25">
      <c r="A53" s="62" t="s">
        <v>473</v>
      </c>
      <c r="B53" s="62" t="s">
        <v>474</v>
      </c>
      <c r="C53" s="62" t="s">
        <v>475</v>
      </c>
      <c r="D53" s="62" t="s">
        <v>476</v>
      </c>
      <c r="E53" s="62"/>
    </row>
    <row r="54" spans="1:5" ht="90" x14ac:dyDescent="0.25">
      <c r="A54" s="62" t="s">
        <v>477</v>
      </c>
      <c r="B54" s="62" t="s">
        <v>478</v>
      </c>
      <c r="C54" s="62" t="s">
        <v>479</v>
      </c>
      <c r="D54" s="62" t="s">
        <v>480</v>
      </c>
      <c r="E54" s="62" t="s">
        <v>481</v>
      </c>
    </row>
    <row r="55" spans="1:5" ht="75" x14ac:dyDescent="0.25">
      <c r="A55" s="62" t="s">
        <v>482</v>
      </c>
      <c r="B55" s="62" t="s">
        <v>483</v>
      </c>
      <c r="C55" s="62" t="s">
        <v>484</v>
      </c>
      <c r="D55" s="62" t="s">
        <v>485</v>
      </c>
      <c r="E55" s="62"/>
    </row>
    <row r="56" spans="1:5" ht="45" x14ac:dyDescent="0.25">
      <c r="A56" s="62" t="s">
        <v>486</v>
      </c>
      <c r="B56" s="62" t="s">
        <v>487</v>
      </c>
      <c r="C56" s="62" t="s">
        <v>488</v>
      </c>
      <c r="D56" s="62" t="s">
        <v>489</v>
      </c>
      <c r="E56" s="62"/>
    </row>
    <row r="57" spans="1:5" ht="45" x14ac:dyDescent="0.25">
      <c r="A57" s="62" t="s">
        <v>490</v>
      </c>
      <c r="B57" s="62" t="s">
        <v>491</v>
      </c>
      <c r="C57" s="62" t="s">
        <v>492</v>
      </c>
      <c r="D57" s="62" t="s">
        <v>493</v>
      </c>
      <c r="E57" s="62"/>
    </row>
    <row r="58" spans="1:5" ht="75" x14ac:dyDescent="0.25">
      <c r="A58" s="62" t="s">
        <v>494</v>
      </c>
      <c r="B58" s="62" t="s">
        <v>495</v>
      </c>
      <c r="C58" s="62" t="s">
        <v>496</v>
      </c>
      <c r="D58" s="62" t="s">
        <v>497</v>
      </c>
      <c r="E58" s="62" t="s">
        <v>498</v>
      </c>
    </row>
    <row r="59" spans="1:5" ht="105" x14ac:dyDescent="0.25">
      <c r="A59" s="62" t="s">
        <v>499</v>
      </c>
      <c r="B59" s="62" t="s">
        <v>500</v>
      </c>
      <c r="C59" s="62" t="s">
        <v>501</v>
      </c>
      <c r="D59" s="62" t="s">
        <v>502</v>
      </c>
      <c r="E59" s="62" t="s">
        <v>503</v>
      </c>
    </row>
    <row r="60" spans="1:5" ht="90" x14ac:dyDescent="0.25">
      <c r="A60" s="62" t="s">
        <v>504</v>
      </c>
      <c r="B60" s="62" t="s">
        <v>505</v>
      </c>
      <c r="C60" s="62" t="s">
        <v>506</v>
      </c>
      <c r="D60" s="62" t="s">
        <v>507</v>
      </c>
      <c r="E60" s="62"/>
    </row>
    <row r="61" spans="1:5" ht="75" x14ac:dyDescent="0.25">
      <c r="A61" s="62" t="s">
        <v>508</v>
      </c>
      <c r="B61" s="62" t="s">
        <v>509</v>
      </c>
      <c r="C61" s="62" t="s">
        <v>510</v>
      </c>
      <c r="D61" s="62" t="s">
        <v>511</v>
      </c>
      <c r="E61" s="62"/>
    </row>
    <row r="62" spans="1:5" ht="120" x14ac:dyDescent="0.25">
      <c r="A62" s="62" t="s">
        <v>512</v>
      </c>
      <c r="B62" s="62" t="s">
        <v>513</v>
      </c>
      <c r="C62" s="62" t="s">
        <v>514</v>
      </c>
      <c r="D62" s="62" t="s">
        <v>515</v>
      </c>
      <c r="E62" s="62"/>
    </row>
    <row r="63" spans="1:5" ht="30" x14ac:dyDescent="0.25">
      <c r="A63" s="62" t="s">
        <v>516</v>
      </c>
      <c r="B63" s="62" t="s">
        <v>517</v>
      </c>
      <c r="C63" s="62" t="s">
        <v>518</v>
      </c>
      <c r="D63" s="62" t="s">
        <v>519</v>
      </c>
      <c r="E63" s="62"/>
    </row>
    <row r="64" spans="1:5" ht="30" x14ac:dyDescent="0.25">
      <c r="A64" s="62" t="s">
        <v>520</v>
      </c>
      <c r="B64" s="62" t="s">
        <v>521</v>
      </c>
      <c r="C64" s="62" t="s">
        <v>522</v>
      </c>
      <c r="D64" s="62" t="s">
        <v>523</v>
      </c>
      <c r="E64" s="62"/>
    </row>
    <row r="65" spans="1:5" ht="105" x14ac:dyDescent="0.25">
      <c r="A65" s="62" t="s">
        <v>524</v>
      </c>
      <c r="B65" s="62" t="s">
        <v>525</v>
      </c>
      <c r="C65" s="62" t="s">
        <v>526</v>
      </c>
      <c r="D65" s="62" t="s">
        <v>527</v>
      </c>
      <c r="E65" s="62"/>
    </row>
    <row r="66" spans="1:5" ht="150" x14ac:dyDescent="0.25">
      <c r="A66" s="62" t="s">
        <v>528</v>
      </c>
      <c r="B66" s="62" t="s">
        <v>529</v>
      </c>
      <c r="C66" s="62" t="s">
        <v>530</v>
      </c>
      <c r="D66" s="62" t="s">
        <v>531</v>
      </c>
      <c r="E66" s="62" t="s">
        <v>532</v>
      </c>
    </row>
    <row r="67" spans="1:5" ht="105" x14ac:dyDescent="0.25">
      <c r="A67" s="62" t="s">
        <v>533</v>
      </c>
      <c r="B67" s="62" t="s">
        <v>534</v>
      </c>
      <c r="C67" s="62" t="s">
        <v>535</v>
      </c>
      <c r="D67" s="62" t="s">
        <v>536</v>
      </c>
      <c r="E67" s="62" t="s">
        <v>537</v>
      </c>
    </row>
    <row r="68" spans="1:5" ht="105" x14ac:dyDescent="0.25">
      <c r="A68" s="62" t="s">
        <v>538</v>
      </c>
      <c r="B68" s="62" t="s">
        <v>539</v>
      </c>
      <c r="C68" s="62" t="s">
        <v>540</v>
      </c>
      <c r="D68" s="62" t="s">
        <v>541</v>
      </c>
      <c r="E68" s="62" t="s">
        <v>542</v>
      </c>
    </row>
    <row r="69" spans="1:5" ht="105" x14ac:dyDescent="0.25">
      <c r="A69" s="62" t="s">
        <v>543</v>
      </c>
      <c r="B69" s="62" t="s">
        <v>544</v>
      </c>
      <c r="C69" s="62" t="s">
        <v>545</v>
      </c>
      <c r="D69" s="62" t="s">
        <v>546</v>
      </c>
      <c r="E69" s="62" t="s">
        <v>547</v>
      </c>
    </row>
    <row r="70" spans="1:5" ht="45" x14ac:dyDescent="0.25">
      <c r="A70" s="62" t="s">
        <v>548</v>
      </c>
      <c r="B70" s="62" t="s">
        <v>549</v>
      </c>
      <c r="C70" s="62" t="s">
        <v>550</v>
      </c>
      <c r="D70" s="62" t="s">
        <v>551</v>
      </c>
      <c r="E70" s="62" t="s">
        <v>552</v>
      </c>
    </row>
    <row r="71" spans="1:5" ht="75" x14ac:dyDescent="0.25">
      <c r="A71" s="62" t="s">
        <v>553</v>
      </c>
      <c r="B71" s="62" t="s">
        <v>554</v>
      </c>
      <c r="C71" s="62" t="s">
        <v>555</v>
      </c>
      <c r="D71" s="62" t="s">
        <v>556</v>
      </c>
      <c r="E71" s="62" t="s">
        <v>557</v>
      </c>
    </row>
    <row r="72" spans="1:5" ht="120" x14ac:dyDescent="0.25">
      <c r="A72" s="62" t="s">
        <v>558</v>
      </c>
      <c r="B72" s="62" t="s">
        <v>559</v>
      </c>
      <c r="C72" s="62" t="s">
        <v>560</v>
      </c>
      <c r="D72" s="62" t="s">
        <v>561</v>
      </c>
      <c r="E72" s="62" t="s">
        <v>562</v>
      </c>
    </row>
    <row r="73" spans="1:5" ht="90" x14ac:dyDescent="0.25">
      <c r="A73" s="62" t="s">
        <v>563</v>
      </c>
      <c r="B73" s="62" t="s">
        <v>564</v>
      </c>
      <c r="C73" s="62" t="s">
        <v>565</v>
      </c>
      <c r="D73" s="62" t="s">
        <v>566</v>
      </c>
      <c r="E73" s="62" t="s">
        <v>567</v>
      </c>
    </row>
    <row r="74" spans="1:5" ht="75" x14ac:dyDescent="0.25">
      <c r="A74" s="62" t="s">
        <v>568</v>
      </c>
      <c r="B74" s="62" t="s">
        <v>569</v>
      </c>
      <c r="C74" s="62" t="s">
        <v>570</v>
      </c>
      <c r="D74" s="62" t="s">
        <v>571</v>
      </c>
      <c r="E74" s="62" t="s">
        <v>572</v>
      </c>
    </row>
    <row r="75" spans="1:5" ht="75" x14ac:dyDescent="0.25">
      <c r="A75" s="62" t="s">
        <v>573</v>
      </c>
      <c r="B75" s="62" t="s">
        <v>574</v>
      </c>
      <c r="C75" s="62" t="s">
        <v>575</v>
      </c>
      <c r="D75" s="62" t="s">
        <v>576</v>
      </c>
      <c r="E75" s="62"/>
    </row>
    <row r="76" spans="1:5" ht="90" x14ac:dyDescent="0.25">
      <c r="A76" s="62" t="s">
        <v>577</v>
      </c>
      <c r="B76" s="62" t="s">
        <v>578</v>
      </c>
      <c r="C76" s="62" t="s">
        <v>579</v>
      </c>
      <c r="D76" s="62" t="s">
        <v>580</v>
      </c>
      <c r="E76" s="62" t="s">
        <v>503</v>
      </c>
    </row>
    <row r="77" spans="1:5" ht="105" x14ac:dyDescent="0.25">
      <c r="A77" s="62" t="s">
        <v>581</v>
      </c>
      <c r="B77" s="62" t="s">
        <v>582</v>
      </c>
      <c r="C77" s="62" t="s">
        <v>583</v>
      </c>
      <c r="D77" s="62" t="s">
        <v>584</v>
      </c>
      <c r="E77" s="62"/>
    </row>
    <row r="78" spans="1:5" ht="315" x14ac:dyDescent="0.25">
      <c r="A78" s="62" t="s">
        <v>585</v>
      </c>
      <c r="B78" s="62" t="s">
        <v>586</v>
      </c>
      <c r="C78" s="62" t="s">
        <v>587</v>
      </c>
      <c r="D78" s="62" t="s">
        <v>588</v>
      </c>
      <c r="E78" s="62" t="s">
        <v>589</v>
      </c>
    </row>
    <row r="79" spans="1:5" ht="30" x14ac:dyDescent="0.25">
      <c r="A79" s="62" t="s">
        <v>590</v>
      </c>
      <c r="B79" s="62" t="s">
        <v>591</v>
      </c>
      <c r="C79" s="62"/>
      <c r="D79" s="62"/>
      <c r="E79" s="62"/>
    </row>
    <row r="80" spans="1:5" ht="135" x14ac:dyDescent="0.25">
      <c r="A80" s="62" t="s">
        <v>592</v>
      </c>
      <c r="B80" s="62" t="s">
        <v>593</v>
      </c>
      <c r="C80" s="62" t="s">
        <v>594</v>
      </c>
      <c r="D80" s="62" t="s">
        <v>595</v>
      </c>
      <c r="E80" s="62" t="s">
        <v>596</v>
      </c>
    </row>
    <row r="81" spans="1:5" ht="60" x14ac:dyDescent="0.25">
      <c r="A81" s="62" t="s">
        <v>597</v>
      </c>
      <c r="B81" s="62" t="s">
        <v>598</v>
      </c>
      <c r="C81" s="62" t="s">
        <v>599</v>
      </c>
      <c r="D81" s="62" t="s">
        <v>600</v>
      </c>
      <c r="E81" s="62" t="s">
        <v>601</v>
      </c>
    </row>
    <row r="82" spans="1:5" ht="90" x14ac:dyDescent="0.25">
      <c r="A82" s="62" t="s">
        <v>602</v>
      </c>
      <c r="B82" s="62" t="s">
        <v>603</v>
      </c>
      <c r="C82" s="62" t="s">
        <v>604</v>
      </c>
      <c r="D82" s="62" t="s">
        <v>605</v>
      </c>
      <c r="E82" s="62" t="s">
        <v>601</v>
      </c>
    </row>
    <row r="83" spans="1:5" ht="270" x14ac:dyDescent="0.25">
      <c r="A83" s="62" t="s">
        <v>606</v>
      </c>
      <c r="B83" s="62" t="s">
        <v>607</v>
      </c>
      <c r="C83" s="62" t="s">
        <v>608</v>
      </c>
      <c r="D83" s="62" t="s">
        <v>609</v>
      </c>
      <c r="E83" s="62" t="s">
        <v>610</v>
      </c>
    </row>
    <row r="84" spans="1:5" ht="60" x14ac:dyDescent="0.25">
      <c r="A84" s="62" t="s">
        <v>611</v>
      </c>
      <c r="B84" s="62" t="s">
        <v>612</v>
      </c>
      <c r="C84" s="62" t="s">
        <v>613</v>
      </c>
      <c r="D84" s="62" t="s">
        <v>614</v>
      </c>
      <c r="E84" s="62" t="s">
        <v>615</v>
      </c>
    </row>
    <row r="85" spans="1:5" ht="45" x14ac:dyDescent="0.25">
      <c r="A85" s="62" t="s">
        <v>616</v>
      </c>
      <c r="B85" s="62" t="s">
        <v>617</v>
      </c>
      <c r="C85" s="62" t="s">
        <v>618</v>
      </c>
      <c r="D85" s="62" t="s">
        <v>619</v>
      </c>
      <c r="E85" s="62"/>
    </row>
    <row r="86" spans="1:5" ht="45" x14ac:dyDescent="0.25">
      <c r="A86" s="62" t="s">
        <v>620</v>
      </c>
      <c r="B86" s="62" t="s">
        <v>621</v>
      </c>
      <c r="C86" s="62" t="s">
        <v>622</v>
      </c>
      <c r="D86" s="62" t="s">
        <v>623</v>
      </c>
      <c r="E86" s="62"/>
    </row>
    <row r="87" spans="1:5" ht="45" x14ac:dyDescent="0.25">
      <c r="A87" s="62" t="s">
        <v>624</v>
      </c>
      <c r="B87" s="62" t="s">
        <v>625</v>
      </c>
      <c r="C87" s="62" t="s">
        <v>626</v>
      </c>
      <c r="D87" s="62" t="s">
        <v>627</v>
      </c>
      <c r="E87" s="62"/>
    </row>
    <row r="88" spans="1:5" ht="60" x14ac:dyDescent="0.25">
      <c r="A88" s="62" t="s">
        <v>628</v>
      </c>
      <c r="B88" s="62" t="s">
        <v>629</v>
      </c>
      <c r="C88" s="62" t="s">
        <v>630</v>
      </c>
      <c r="D88" s="62" t="s">
        <v>631</v>
      </c>
      <c r="E88" s="62"/>
    </row>
    <row r="89" spans="1:5" ht="105" x14ac:dyDescent="0.25">
      <c r="A89" s="62" t="s">
        <v>632</v>
      </c>
      <c r="B89" s="62" t="s">
        <v>633</v>
      </c>
      <c r="C89" s="62" t="s">
        <v>634</v>
      </c>
      <c r="D89" s="62" t="s">
        <v>635</v>
      </c>
      <c r="E89" s="62" t="s">
        <v>636</v>
      </c>
    </row>
    <row r="90" spans="1:5" ht="135" x14ac:dyDescent="0.25">
      <c r="A90" s="62" t="s">
        <v>287</v>
      </c>
      <c r="B90" s="62" t="s">
        <v>637</v>
      </c>
      <c r="C90" s="62" t="s">
        <v>638</v>
      </c>
      <c r="D90" s="62" t="s">
        <v>639</v>
      </c>
      <c r="E90" s="62" t="s">
        <v>640</v>
      </c>
    </row>
    <row r="91" spans="1:5" ht="45" x14ac:dyDescent="0.25">
      <c r="A91" s="62" t="s">
        <v>641</v>
      </c>
      <c r="B91" s="62" t="s">
        <v>642</v>
      </c>
      <c r="C91" s="62" t="s">
        <v>643</v>
      </c>
      <c r="D91" s="62" t="s">
        <v>644</v>
      </c>
      <c r="E91" s="62"/>
    </row>
    <row r="92" spans="1:5" ht="165" x14ac:dyDescent="0.25">
      <c r="A92" s="62" t="s">
        <v>645</v>
      </c>
      <c r="B92" s="62" t="s">
        <v>646</v>
      </c>
      <c r="C92" s="62" t="s">
        <v>647</v>
      </c>
      <c r="D92" s="62" t="s">
        <v>648</v>
      </c>
      <c r="E92" s="62" t="s">
        <v>649</v>
      </c>
    </row>
    <row r="93" spans="1:5" ht="45" x14ac:dyDescent="0.25">
      <c r="A93" s="62" t="s">
        <v>650</v>
      </c>
      <c r="B93" s="62" t="s">
        <v>651</v>
      </c>
      <c r="C93" s="62" t="s">
        <v>652</v>
      </c>
      <c r="D93" s="62" t="s">
        <v>653</v>
      </c>
      <c r="E93" s="62"/>
    </row>
    <row r="94" spans="1:5" ht="60" x14ac:dyDescent="0.25">
      <c r="A94" s="62" t="s">
        <v>654</v>
      </c>
      <c r="B94" s="62" t="s">
        <v>655</v>
      </c>
      <c r="C94" s="62" t="s">
        <v>656</v>
      </c>
      <c r="D94" s="62" t="s">
        <v>657</v>
      </c>
      <c r="E94" s="62"/>
    </row>
    <row r="95" spans="1:5" ht="45" x14ac:dyDescent="0.25">
      <c r="A95" s="62" t="s">
        <v>658</v>
      </c>
      <c r="B95" s="62" t="s">
        <v>659</v>
      </c>
      <c r="C95" s="62" t="s">
        <v>660</v>
      </c>
      <c r="D95" s="62" t="s">
        <v>661</v>
      </c>
      <c r="E95" s="62"/>
    </row>
    <row r="96" spans="1:5" x14ac:dyDescent="0.25">
      <c r="A96" s="62" t="s">
        <v>662</v>
      </c>
      <c r="B96" s="62" t="s">
        <v>663</v>
      </c>
      <c r="C96" s="62"/>
      <c r="D96" s="62"/>
      <c r="E96" s="62"/>
    </row>
    <row r="97" spans="1:5" ht="240" x14ac:dyDescent="0.25">
      <c r="A97" s="62" t="s">
        <v>664</v>
      </c>
      <c r="B97" s="62" t="s">
        <v>665</v>
      </c>
      <c r="C97" s="62" t="s">
        <v>666</v>
      </c>
      <c r="D97" s="62" t="s">
        <v>667</v>
      </c>
      <c r="E97" s="62" t="s">
        <v>668</v>
      </c>
    </row>
    <row r="98" spans="1:5" ht="30" x14ac:dyDescent="0.25">
      <c r="A98" s="62" t="s">
        <v>669</v>
      </c>
      <c r="B98" s="62" t="s">
        <v>670</v>
      </c>
      <c r="C98" s="62"/>
      <c r="D98" s="62"/>
      <c r="E98" s="62"/>
    </row>
    <row r="99" spans="1:5" x14ac:dyDescent="0.25">
      <c r="A99" s="62" t="s">
        <v>671</v>
      </c>
      <c r="B99" s="62" t="s">
        <v>672</v>
      </c>
      <c r="C99" s="62"/>
      <c r="D99" s="62"/>
      <c r="E99" s="62"/>
    </row>
    <row r="100" spans="1:5" ht="409.5" x14ac:dyDescent="0.25">
      <c r="A100" s="62" t="s">
        <v>292</v>
      </c>
      <c r="B100" s="62" t="s">
        <v>673</v>
      </c>
      <c r="C100" s="62" t="s">
        <v>674</v>
      </c>
      <c r="D100" s="62" t="s">
        <v>675</v>
      </c>
      <c r="E100" s="62" t="s">
        <v>676</v>
      </c>
    </row>
    <row r="101" spans="1:5" ht="90" x14ac:dyDescent="0.25">
      <c r="A101" s="62" t="s">
        <v>677</v>
      </c>
      <c r="B101" s="62" t="s">
        <v>678</v>
      </c>
      <c r="C101" s="62" t="s">
        <v>679</v>
      </c>
      <c r="D101" s="62" t="s">
        <v>680</v>
      </c>
      <c r="E101" s="62"/>
    </row>
    <row r="102" spans="1:5" ht="45" x14ac:dyDescent="0.25">
      <c r="A102" s="62" t="s">
        <v>681</v>
      </c>
      <c r="B102" s="62" t="s">
        <v>682</v>
      </c>
      <c r="C102" s="62" t="s">
        <v>683</v>
      </c>
      <c r="D102" s="62" t="s">
        <v>684</v>
      </c>
      <c r="E102" s="62"/>
    </row>
    <row r="103" spans="1:5" ht="120" x14ac:dyDescent="0.25">
      <c r="A103" s="62" t="s">
        <v>685</v>
      </c>
      <c r="B103" s="62" t="s">
        <v>686</v>
      </c>
      <c r="C103" s="62" t="s">
        <v>687</v>
      </c>
      <c r="D103" s="62" t="s">
        <v>688</v>
      </c>
      <c r="E103" s="62"/>
    </row>
    <row r="104" spans="1:5" ht="165" x14ac:dyDescent="0.25">
      <c r="A104" s="62" t="s">
        <v>689</v>
      </c>
      <c r="B104" s="62" t="s">
        <v>690</v>
      </c>
      <c r="C104" s="62" t="s">
        <v>691</v>
      </c>
      <c r="D104" s="62" t="s">
        <v>692</v>
      </c>
      <c r="E104" s="62"/>
    </row>
    <row r="105" spans="1:5" ht="60" x14ac:dyDescent="0.25">
      <c r="A105" s="62" t="s">
        <v>693</v>
      </c>
      <c r="B105" s="62" t="s">
        <v>694</v>
      </c>
      <c r="C105" s="62" t="s">
        <v>695</v>
      </c>
      <c r="D105" s="62" t="s">
        <v>696</v>
      </c>
      <c r="E105" s="62"/>
    </row>
    <row r="106" spans="1:5" ht="60" x14ac:dyDescent="0.25">
      <c r="A106" s="62" t="s">
        <v>697</v>
      </c>
      <c r="B106" s="62" t="s">
        <v>698</v>
      </c>
      <c r="C106" s="62" t="s">
        <v>699</v>
      </c>
      <c r="D106" s="62" t="s">
        <v>700</v>
      </c>
      <c r="E106" s="62"/>
    </row>
    <row r="107" spans="1:5" ht="90" x14ac:dyDescent="0.25">
      <c r="A107" s="62" t="s">
        <v>701</v>
      </c>
      <c r="B107" s="62" t="s">
        <v>702</v>
      </c>
      <c r="C107" s="62" t="s">
        <v>703</v>
      </c>
      <c r="D107" s="62" t="s">
        <v>704</v>
      </c>
      <c r="E107" s="62"/>
    </row>
    <row r="108" spans="1:5" ht="105" x14ac:dyDescent="0.25">
      <c r="A108" s="62" t="s">
        <v>705</v>
      </c>
      <c r="B108" s="62" t="s">
        <v>706</v>
      </c>
      <c r="C108" s="62" t="s">
        <v>707</v>
      </c>
      <c r="D108" s="62" t="s">
        <v>708</v>
      </c>
      <c r="E108" s="62" t="s">
        <v>709</v>
      </c>
    </row>
    <row r="109" spans="1:5" ht="120" x14ac:dyDescent="0.25">
      <c r="A109" s="62" t="s">
        <v>710</v>
      </c>
      <c r="B109" s="62" t="s">
        <v>711</v>
      </c>
      <c r="C109" s="62" t="s">
        <v>712</v>
      </c>
      <c r="D109" s="62" t="s">
        <v>713</v>
      </c>
      <c r="E109" s="62"/>
    </row>
    <row r="110" spans="1:5" ht="75" x14ac:dyDescent="0.25">
      <c r="A110" s="62" t="s">
        <v>714</v>
      </c>
      <c r="B110" s="62" t="s">
        <v>715</v>
      </c>
      <c r="C110" s="62" t="s">
        <v>716</v>
      </c>
      <c r="D110" s="62" t="s">
        <v>717</v>
      </c>
      <c r="E110" s="62"/>
    </row>
    <row r="111" spans="1:5" ht="270" x14ac:dyDescent="0.25">
      <c r="A111" s="62" t="s">
        <v>718</v>
      </c>
      <c r="B111" s="62" t="s">
        <v>719</v>
      </c>
      <c r="C111" s="62" t="s">
        <v>720</v>
      </c>
      <c r="D111" s="62" t="s">
        <v>721</v>
      </c>
      <c r="E111" s="62" t="s">
        <v>722</v>
      </c>
    </row>
    <row r="112" spans="1:5" ht="75" x14ac:dyDescent="0.25">
      <c r="A112" s="62" t="s">
        <v>723</v>
      </c>
      <c r="B112" s="62" t="s">
        <v>724</v>
      </c>
      <c r="C112" s="62" t="s">
        <v>725</v>
      </c>
      <c r="D112" s="62" t="s">
        <v>726</v>
      </c>
      <c r="E112" s="62" t="s">
        <v>727</v>
      </c>
    </row>
    <row r="113" spans="1:5" ht="60" x14ac:dyDescent="0.25">
      <c r="A113" s="62" t="s">
        <v>728</v>
      </c>
      <c r="B113" s="62" t="s">
        <v>729</v>
      </c>
      <c r="C113" s="62" t="s">
        <v>730</v>
      </c>
      <c r="D113" s="62" t="s">
        <v>731</v>
      </c>
      <c r="E113" s="62" t="s">
        <v>732</v>
      </c>
    </row>
    <row r="114" spans="1:5" ht="45" x14ac:dyDescent="0.25">
      <c r="A114" s="62" t="s">
        <v>733</v>
      </c>
      <c r="B114" s="62" t="s">
        <v>734</v>
      </c>
      <c r="C114" s="62" t="s">
        <v>735</v>
      </c>
      <c r="D114" s="62" t="s">
        <v>736</v>
      </c>
      <c r="E114" s="62" t="s">
        <v>337</v>
      </c>
    </row>
    <row r="115" spans="1:5" ht="75" x14ac:dyDescent="0.25">
      <c r="A115" s="62" t="s">
        <v>737</v>
      </c>
      <c r="B115" s="62" t="s">
        <v>738</v>
      </c>
      <c r="C115" s="62" t="s">
        <v>739</v>
      </c>
      <c r="D115" s="62" t="s">
        <v>740</v>
      </c>
      <c r="E115" s="62" t="s">
        <v>741</v>
      </c>
    </row>
    <row r="116" spans="1:5" ht="30" x14ac:dyDescent="0.25">
      <c r="A116" s="62" t="s">
        <v>742</v>
      </c>
      <c r="B116" s="62" t="s">
        <v>743</v>
      </c>
      <c r="C116" s="62"/>
      <c r="D116" s="62"/>
      <c r="E116" s="62"/>
    </row>
    <row r="117" spans="1:5" ht="90" x14ac:dyDescent="0.25">
      <c r="A117" s="62" t="s">
        <v>744</v>
      </c>
      <c r="B117" s="62" t="s">
        <v>745</v>
      </c>
      <c r="C117" s="62" t="s">
        <v>746</v>
      </c>
      <c r="D117" s="62" t="s">
        <v>747</v>
      </c>
      <c r="E117" s="62" t="s">
        <v>748</v>
      </c>
    </row>
    <row r="118" spans="1:5" ht="30" x14ac:dyDescent="0.25">
      <c r="A118" s="62" t="s">
        <v>749</v>
      </c>
      <c r="B118" s="62" t="s">
        <v>750</v>
      </c>
      <c r="C118" s="62"/>
      <c r="D118" s="62"/>
      <c r="E118" s="62"/>
    </row>
    <row r="119" spans="1:5" x14ac:dyDescent="0.25">
      <c r="A119" s="62" t="s">
        <v>751</v>
      </c>
      <c r="B119" s="62" t="s">
        <v>752</v>
      </c>
      <c r="C119" s="62"/>
      <c r="D119" s="62"/>
      <c r="E119" s="62"/>
    </row>
    <row r="120" spans="1:5" ht="45" x14ac:dyDescent="0.25">
      <c r="A120" s="62" t="s">
        <v>753</v>
      </c>
      <c r="B120" s="62" t="s">
        <v>754</v>
      </c>
      <c r="C120" s="62" t="s">
        <v>755</v>
      </c>
      <c r="D120" s="62" t="s">
        <v>756</v>
      </c>
      <c r="E120" s="62"/>
    </row>
    <row r="121" spans="1:5" ht="150" x14ac:dyDescent="0.25">
      <c r="A121" s="62" t="s">
        <v>757</v>
      </c>
      <c r="B121" s="62" t="s">
        <v>758</v>
      </c>
      <c r="C121" s="62" t="s">
        <v>759</v>
      </c>
      <c r="D121" s="62" t="s">
        <v>760</v>
      </c>
      <c r="E121" s="62" t="s">
        <v>761</v>
      </c>
    </row>
    <row r="122" spans="1:5" ht="60" x14ac:dyDescent="0.25">
      <c r="A122" s="62" t="s">
        <v>762</v>
      </c>
      <c r="B122" s="62" t="s">
        <v>763</v>
      </c>
      <c r="C122" s="62" t="s">
        <v>764</v>
      </c>
      <c r="D122" s="62" t="s">
        <v>765</v>
      </c>
      <c r="E122" s="62" t="s">
        <v>766</v>
      </c>
    </row>
    <row r="123" spans="1:5" ht="60" x14ac:dyDescent="0.25">
      <c r="A123" s="62" t="s">
        <v>767</v>
      </c>
      <c r="B123" s="62" t="s">
        <v>768</v>
      </c>
      <c r="C123" s="62" t="s">
        <v>769</v>
      </c>
      <c r="D123" s="62" t="s">
        <v>770</v>
      </c>
      <c r="E123" s="62" t="s">
        <v>732</v>
      </c>
    </row>
    <row r="124" spans="1:5" ht="30" x14ac:dyDescent="0.25">
      <c r="A124" s="62" t="s">
        <v>771</v>
      </c>
      <c r="B124" s="62" t="s">
        <v>772</v>
      </c>
      <c r="C124" s="62"/>
      <c r="D124" s="62"/>
      <c r="E124" s="62"/>
    </row>
    <row r="125" spans="1:5" ht="75" x14ac:dyDescent="0.25">
      <c r="A125" s="62" t="s">
        <v>773</v>
      </c>
      <c r="B125" s="62" t="s">
        <v>774</v>
      </c>
      <c r="C125" s="62" t="s">
        <v>775</v>
      </c>
      <c r="D125" s="62" t="s">
        <v>776</v>
      </c>
      <c r="E125" s="62"/>
    </row>
    <row r="126" spans="1:5" ht="45" x14ac:dyDescent="0.25">
      <c r="A126" s="62" t="s">
        <v>777</v>
      </c>
      <c r="B126" s="62" t="s">
        <v>778</v>
      </c>
      <c r="C126" s="62" t="s">
        <v>779</v>
      </c>
      <c r="D126" s="62" t="s">
        <v>780</v>
      </c>
      <c r="E126" s="62" t="s">
        <v>781</v>
      </c>
    </row>
    <row r="127" spans="1:5" ht="135" x14ac:dyDescent="0.25">
      <c r="A127" s="62" t="s">
        <v>782</v>
      </c>
      <c r="B127" s="62" t="s">
        <v>783</v>
      </c>
      <c r="C127" s="62" t="s">
        <v>784</v>
      </c>
      <c r="D127" s="62" t="s">
        <v>785</v>
      </c>
      <c r="E127" s="62" t="s">
        <v>786</v>
      </c>
    </row>
    <row r="128" spans="1:5" ht="409.5" x14ac:dyDescent="0.25">
      <c r="A128" s="62" t="s">
        <v>787</v>
      </c>
      <c r="B128" s="62" t="s">
        <v>788</v>
      </c>
      <c r="C128" s="62" t="s">
        <v>789</v>
      </c>
      <c r="D128" s="62" t="s">
        <v>790</v>
      </c>
      <c r="E128" s="62" t="s">
        <v>791</v>
      </c>
    </row>
    <row r="129" spans="1:5" ht="30" x14ac:dyDescent="0.25">
      <c r="A129" s="62" t="s">
        <v>792</v>
      </c>
      <c r="B129" s="62" t="s">
        <v>793</v>
      </c>
      <c r="C129" s="62"/>
      <c r="D129" s="62"/>
      <c r="E129" s="62"/>
    </row>
    <row r="130" spans="1:5" ht="30" x14ac:dyDescent="0.25">
      <c r="A130" s="62" t="s">
        <v>794</v>
      </c>
      <c r="B130" s="62" t="s">
        <v>795</v>
      </c>
      <c r="C130" s="62"/>
      <c r="D130" s="62"/>
      <c r="E130" s="62"/>
    </row>
    <row r="131" spans="1:5" ht="30" x14ac:dyDescent="0.25">
      <c r="A131" s="62" t="s">
        <v>796</v>
      </c>
      <c r="B131" s="62" t="s">
        <v>797</v>
      </c>
      <c r="C131" s="62"/>
      <c r="D131" s="62"/>
      <c r="E131" s="62"/>
    </row>
    <row r="132" spans="1:5" ht="240" x14ac:dyDescent="0.25">
      <c r="A132" s="62" t="s">
        <v>798</v>
      </c>
      <c r="B132" s="62" t="s">
        <v>799</v>
      </c>
      <c r="C132" s="62" t="s">
        <v>800</v>
      </c>
      <c r="D132" s="62" t="s">
        <v>801</v>
      </c>
      <c r="E132" s="62" t="s">
        <v>802</v>
      </c>
    </row>
    <row r="133" spans="1:5" ht="45" x14ac:dyDescent="0.25">
      <c r="A133" s="62" t="s">
        <v>803</v>
      </c>
      <c r="B133" s="62" t="s">
        <v>804</v>
      </c>
      <c r="C133" s="62" t="s">
        <v>805</v>
      </c>
      <c r="D133" s="62" t="s">
        <v>806</v>
      </c>
      <c r="E133" s="62" t="s">
        <v>807</v>
      </c>
    </row>
    <row r="134" spans="1:5" ht="409.5" x14ac:dyDescent="0.25">
      <c r="A134" s="62" t="s">
        <v>808</v>
      </c>
      <c r="B134" s="62" t="s">
        <v>809</v>
      </c>
      <c r="C134" s="62" t="s">
        <v>810</v>
      </c>
      <c r="D134" s="62" t="s">
        <v>811</v>
      </c>
      <c r="E134" s="62" t="s">
        <v>812</v>
      </c>
    </row>
    <row r="135" spans="1:5" ht="105" x14ac:dyDescent="0.25">
      <c r="A135" s="62" t="s">
        <v>813</v>
      </c>
      <c r="B135" s="62" t="s">
        <v>814</v>
      </c>
      <c r="C135" s="62" t="s">
        <v>815</v>
      </c>
      <c r="D135" s="62" t="s">
        <v>816</v>
      </c>
      <c r="E135" s="62" t="s">
        <v>817</v>
      </c>
    </row>
    <row r="136" spans="1:5" ht="45" x14ac:dyDescent="0.25">
      <c r="A136" s="62" t="s">
        <v>818</v>
      </c>
      <c r="B136" s="62" t="s">
        <v>819</v>
      </c>
      <c r="C136" s="62" t="s">
        <v>820</v>
      </c>
      <c r="D136" s="62" t="s">
        <v>821</v>
      </c>
      <c r="E136" s="62" t="s">
        <v>822</v>
      </c>
    </row>
    <row r="137" spans="1:5" ht="195" x14ac:dyDescent="0.25">
      <c r="A137" s="62" t="s">
        <v>823</v>
      </c>
      <c r="B137" s="62" t="s">
        <v>824</v>
      </c>
      <c r="C137" s="62" t="s">
        <v>825</v>
      </c>
      <c r="D137" s="62" t="s">
        <v>826</v>
      </c>
      <c r="E137" s="62"/>
    </row>
    <row r="138" spans="1:5" ht="30" x14ac:dyDescent="0.25">
      <c r="A138" s="62" t="s">
        <v>827</v>
      </c>
      <c r="B138" s="62" t="s">
        <v>828</v>
      </c>
      <c r="C138" s="62" t="s">
        <v>829</v>
      </c>
      <c r="D138" s="62" t="s">
        <v>830</v>
      </c>
      <c r="E138" s="62"/>
    </row>
    <row r="139" spans="1:5" ht="45" x14ac:dyDescent="0.25">
      <c r="A139" s="62" t="s">
        <v>831</v>
      </c>
      <c r="B139" s="62" t="s">
        <v>832</v>
      </c>
      <c r="C139" s="62" t="s">
        <v>833</v>
      </c>
      <c r="D139" s="62" t="s">
        <v>834</v>
      </c>
      <c r="E139" s="62" t="s">
        <v>835</v>
      </c>
    </row>
    <row r="140" spans="1:5" ht="180" x14ac:dyDescent="0.25">
      <c r="A140" s="62" t="s">
        <v>836</v>
      </c>
      <c r="B140" s="62" t="s">
        <v>837</v>
      </c>
      <c r="C140" s="62" t="s">
        <v>838</v>
      </c>
      <c r="D140" s="62" t="s">
        <v>839</v>
      </c>
      <c r="E140" s="62" t="s">
        <v>840</v>
      </c>
    </row>
    <row r="141" spans="1:5" ht="45" x14ac:dyDescent="0.25">
      <c r="A141" s="62" t="s">
        <v>841</v>
      </c>
      <c r="B141" s="62" t="s">
        <v>842</v>
      </c>
      <c r="C141" s="62" t="s">
        <v>843</v>
      </c>
      <c r="D141" s="62" t="s">
        <v>844</v>
      </c>
      <c r="E141" s="62"/>
    </row>
    <row r="142" spans="1:5" ht="30" x14ac:dyDescent="0.25">
      <c r="A142" s="62" t="s">
        <v>845</v>
      </c>
      <c r="B142" s="62" t="s">
        <v>846</v>
      </c>
      <c r="C142" s="62" t="s">
        <v>847</v>
      </c>
      <c r="D142" s="62" t="s">
        <v>848</v>
      </c>
      <c r="E142" s="62"/>
    </row>
    <row r="143" spans="1:5" ht="165" x14ac:dyDescent="0.25">
      <c r="A143" s="62" t="s">
        <v>849</v>
      </c>
      <c r="B143" s="62" t="s">
        <v>850</v>
      </c>
      <c r="C143" s="62" t="s">
        <v>851</v>
      </c>
      <c r="D143" s="62" t="s">
        <v>852</v>
      </c>
      <c r="E143" s="62" t="s">
        <v>853</v>
      </c>
    </row>
    <row r="144" spans="1:5" ht="390" x14ac:dyDescent="0.25">
      <c r="A144" s="62" t="s">
        <v>854</v>
      </c>
      <c r="B144" s="62" t="s">
        <v>855</v>
      </c>
      <c r="C144" s="62" t="s">
        <v>856</v>
      </c>
      <c r="D144" s="62" t="s">
        <v>857</v>
      </c>
      <c r="E144" s="62" t="s">
        <v>858</v>
      </c>
    </row>
    <row r="145" spans="1:5" ht="105" x14ac:dyDescent="0.25">
      <c r="A145" s="62" t="s">
        <v>859</v>
      </c>
      <c r="B145" s="62" t="s">
        <v>860</v>
      </c>
      <c r="C145" s="62" t="s">
        <v>861</v>
      </c>
      <c r="D145" s="62" t="s">
        <v>862</v>
      </c>
      <c r="E145" s="62" t="s">
        <v>863</v>
      </c>
    </row>
    <row r="146" spans="1:5" ht="150" x14ac:dyDescent="0.25">
      <c r="A146" s="62" t="s">
        <v>864</v>
      </c>
      <c r="B146" s="62" t="s">
        <v>865</v>
      </c>
      <c r="C146" s="62" t="s">
        <v>866</v>
      </c>
      <c r="D146" s="62" t="s">
        <v>867</v>
      </c>
      <c r="E146" s="62" t="s">
        <v>868</v>
      </c>
    </row>
    <row r="147" spans="1:5" ht="120" x14ac:dyDescent="0.25">
      <c r="A147" s="62" t="s">
        <v>869</v>
      </c>
      <c r="B147" s="62" t="s">
        <v>870</v>
      </c>
      <c r="C147" s="62" t="s">
        <v>871</v>
      </c>
      <c r="D147" s="62" t="s">
        <v>872</v>
      </c>
      <c r="E147" s="62"/>
    </row>
    <row r="148" spans="1:5" ht="285" x14ac:dyDescent="0.25">
      <c r="A148" s="62" t="s">
        <v>873</v>
      </c>
      <c r="B148" s="62" t="s">
        <v>874</v>
      </c>
      <c r="C148" s="62" t="s">
        <v>875</v>
      </c>
      <c r="D148" s="62" t="s">
        <v>876</v>
      </c>
      <c r="E148" s="62" t="s">
        <v>877</v>
      </c>
    </row>
    <row r="149" spans="1:5" ht="270" x14ac:dyDescent="0.25">
      <c r="A149" s="62" t="s">
        <v>878</v>
      </c>
      <c r="B149" s="62" t="s">
        <v>257</v>
      </c>
      <c r="C149" s="62" t="s">
        <v>879</v>
      </c>
      <c r="D149" s="62" t="s">
        <v>880</v>
      </c>
      <c r="E149" s="62" t="s">
        <v>881</v>
      </c>
    </row>
    <row r="150" spans="1:5" ht="315" x14ac:dyDescent="0.25">
      <c r="A150" s="62" t="s">
        <v>882</v>
      </c>
      <c r="B150" s="62" t="s">
        <v>883</v>
      </c>
      <c r="C150" s="62" t="s">
        <v>884</v>
      </c>
      <c r="D150" s="62" t="s">
        <v>885</v>
      </c>
      <c r="E150" s="62" t="s">
        <v>886</v>
      </c>
    </row>
    <row r="151" spans="1:5" ht="45" x14ac:dyDescent="0.25">
      <c r="A151" s="62" t="s">
        <v>887</v>
      </c>
      <c r="B151" s="62" t="s">
        <v>888</v>
      </c>
      <c r="C151" s="62" t="s">
        <v>889</v>
      </c>
      <c r="D151" s="62" t="s">
        <v>890</v>
      </c>
      <c r="E151" s="62" t="s">
        <v>891</v>
      </c>
    </row>
    <row r="152" spans="1:5" ht="165" x14ac:dyDescent="0.25">
      <c r="A152" s="62" t="s">
        <v>892</v>
      </c>
      <c r="B152" s="62" t="s">
        <v>893</v>
      </c>
      <c r="C152" s="62" t="s">
        <v>894</v>
      </c>
      <c r="D152" s="62" t="s">
        <v>895</v>
      </c>
      <c r="E152" s="62" t="s">
        <v>896</v>
      </c>
    </row>
    <row r="153" spans="1:5" ht="135" x14ac:dyDescent="0.25">
      <c r="A153" s="62" t="s">
        <v>897</v>
      </c>
      <c r="B153" s="62" t="s">
        <v>898</v>
      </c>
      <c r="C153" s="62" t="s">
        <v>899</v>
      </c>
      <c r="D153" s="62" t="s">
        <v>900</v>
      </c>
      <c r="E153" s="62"/>
    </row>
    <row r="154" spans="1:5" ht="195" x14ac:dyDescent="0.25">
      <c r="A154" s="62" t="s">
        <v>901</v>
      </c>
      <c r="B154" s="62" t="s">
        <v>902</v>
      </c>
      <c r="C154" s="62" t="s">
        <v>903</v>
      </c>
      <c r="D154" s="62" t="s">
        <v>904</v>
      </c>
      <c r="E154" s="62"/>
    </row>
    <row r="155" spans="1:5" ht="105" x14ac:dyDescent="0.25">
      <c r="A155" s="62" t="s">
        <v>905</v>
      </c>
      <c r="B155" s="62" t="s">
        <v>906</v>
      </c>
      <c r="C155" s="62" t="s">
        <v>907</v>
      </c>
      <c r="D155" s="62" t="s">
        <v>908</v>
      </c>
      <c r="E155" s="62"/>
    </row>
    <row r="156" spans="1:5" ht="45" x14ac:dyDescent="0.25">
      <c r="A156" s="62" t="s">
        <v>909</v>
      </c>
      <c r="B156" s="62" t="s">
        <v>910</v>
      </c>
      <c r="C156" s="62" t="s">
        <v>911</v>
      </c>
      <c r="D156" s="62" t="s">
        <v>912</v>
      </c>
      <c r="E156" s="62" t="s">
        <v>913</v>
      </c>
    </row>
    <row r="157" spans="1:5" ht="409.5" x14ac:dyDescent="0.25">
      <c r="A157" s="62" t="s">
        <v>914</v>
      </c>
      <c r="B157" s="62" t="s">
        <v>915</v>
      </c>
      <c r="C157" s="62" t="s">
        <v>916</v>
      </c>
      <c r="D157" s="62" t="s">
        <v>917</v>
      </c>
      <c r="E157" s="62" t="s">
        <v>918</v>
      </c>
    </row>
    <row r="158" spans="1:5" ht="60" x14ac:dyDescent="0.25">
      <c r="A158" s="62" t="s">
        <v>919</v>
      </c>
      <c r="B158" s="62" t="s">
        <v>920</v>
      </c>
      <c r="C158" s="62" t="s">
        <v>921</v>
      </c>
      <c r="D158" s="62" t="s">
        <v>922</v>
      </c>
      <c r="E158" s="62" t="s">
        <v>923</v>
      </c>
    </row>
    <row r="159" spans="1:5" ht="45" x14ac:dyDescent="0.25">
      <c r="A159" s="62" t="s">
        <v>924</v>
      </c>
      <c r="B159" s="62" t="s">
        <v>925</v>
      </c>
      <c r="C159" s="62" t="s">
        <v>926</v>
      </c>
      <c r="D159" s="62" t="s">
        <v>927</v>
      </c>
      <c r="E159" s="62" t="s">
        <v>928</v>
      </c>
    </row>
    <row r="160" spans="1:5" ht="75" x14ac:dyDescent="0.25">
      <c r="A160" s="62" t="s">
        <v>929</v>
      </c>
      <c r="B160" s="62" t="s">
        <v>930</v>
      </c>
      <c r="C160" s="62" t="s">
        <v>931</v>
      </c>
      <c r="D160" s="62" t="s">
        <v>932</v>
      </c>
      <c r="E160" s="62"/>
    </row>
    <row r="161" spans="1:5" ht="30" x14ac:dyDescent="0.25">
      <c r="A161" s="62" t="s">
        <v>933</v>
      </c>
      <c r="B161" s="62" t="s">
        <v>934</v>
      </c>
      <c r="C161" s="62"/>
      <c r="D161" s="62"/>
      <c r="E161" s="62"/>
    </row>
    <row r="162" spans="1:5" ht="150" x14ac:dyDescent="0.25">
      <c r="A162" s="62" t="s">
        <v>935</v>
      </c>
      <c r="B162" s="62" t="s">
        <v>936</v>
      </c>
      <c r="C162" s="62" t="s">
        <v>937</v>
      </c>
      <c r="D162" s="62" t="s">
        <v>938</v>
      </c>
      <c r="E162" s="62" t="s">
        <v>939</v>
      </c>
    </row>
    <row r="163" spans="1:5" ht="60" x14ac:dyDescent="0.25">
      <c r="A163" s="62" t="s">
        <v>940</v>
      </c>
      <c r="B163" s="62" t="s">
        <v>941</v>
      </c>
      <c r="C163" s="62" t="s">
        <v>942</v>
      </c>
      <c r="D163" s="62" t="s">
        <v>943</v>
      </c>
      <c r="E163" s="62" t="s">
        <v>944</v>
      </c>
    </row>
    <row r="164" spans="1:5" x14ac:dyDescent="0.25">
      <c r="A164" s="62" t="s">
        <v>945</v>
      </c>
      <c r="B164" s="62" t="s">
        <v>946</v>
      </c>
      <c r="C164" s="62"/>
      <c r="D164" s="62"/>
      <c r="E164" s="62"/>
    </row>
    <row r="165" spans="1:5" ht="90" x14ac:dyDescent="0.25">
      <c r="A165" s="62" t="s">
        <v>947</v>
      </c>
      <c r="B165" s="62" t="s">
        <v>948</v>
      </c>
      <c r="C165" s="62" t="s">
        <v>949</v>
      </c>
      <c r="D165" s="62" t="s">
        <v>950</v>
      </c>
      <c r="E165" s="62"/>
    </row>
    <row r="166" spans="1:5" ht="285" x14ac:dyDescent="0.25">
      <c r="A166" s="62" t="s">
        <v>951</v>
      </c>
      <c r="B166" s="62" t="s">
        <v>257</v>
      </c>
      <c r="C166" s="62" t="s">
        <v>952</v>
      </c>
      <c r="D166" s="62" t="s">
        <v>953</v>
      </c>
      <c r="E166" s="62" t="s">
        <v>881</v>
      </c>
    </row>
    <row r="167" spans="1:5" ht="409.5" x14ac:dyDescent="0.25">
      <c r="A167" s="62" t="s">
        <v>954</v>
      </c>
      <c r="B167" s="62" t="s">
        <v>955</v>
      </c>
      <c r="C167" s="62" t="s">
        <v>956</v>
      </c>
      <c r="D167" s="62" t="s">
        <v>957</v>
      </c>
      <c r="E167" s="62" t="s">
        <v>958</v>
      </c>
    </row>
    <row r="168" spans="1:5" ht="30" x14ac:dyDescent="0.25">
      <c r="A168" s="62" t="s">
        <v>959</v>
      </c>
      <c r="B168" s="62" t="s">
        <v>960</v>
      </c>
      <c r="C168" s="62"/>
      <c r="D168" s="62"/>
      <c r="E168" s="62"/>
    </row>
    <row r="169" spans="1:5" ht="30" x14ac:dyDescent="0.25">
      <c r="A169" s="62" t="s">
        <v>961</v>
      </c>
      <c r="B169" s="62" t="s">
        <v>962</v>
      </c>
      <c r="C169" s="62"/>
      <c r="D169" s="62"/>
      <c r="E169" s="62"/>
    </row>
    <row r="170" spans="1:5" x14ac:dyDescent="0.25">
      <c r="A170" s="62" t="s">
        <v>963</v>
      </c>
      <c r="B170" s="62" t="s">
        <v>964</v>
      </c>
      <c r="C170" s="62"/>
      <c r="D170" s="62"/>
      <c r="E170" s="62"/>
    </row>
    <row r="171" spans="1:5" x14ac:dyDescent="0.25">
      <c r="A171" s="62" t="s">
        <v>965</v>
      </c>
      <c r="B171" s="62" t="s">
        <v>966</v>
      </c>
      <c r="C171" s="62"/>
      <c r="D171" s="62"/>
      <c r="E171" s="62"/>
    </row>
    <row r="172" spans="1:5" ht="150" x14ac:dyDescent="0.25">
      <c r="A172" s="62" t="s">
        <v>967</v>
      </c>
      <c r="B172" s="62" t="s">
        <v>968</v>
      </c>
      <c r="C172" s="62" t="s">
        <v>969</v>
      </c>
      <c r="D172" s="62" t="s">
        <v>970</v>
      </c>
      <c r="E172" s="62" t="s">
        <v>971</v>
      </c>
    </row>
    <row r="173" spans="1:5" ht="135" x14ac:dyDescent="0.25">
      <c r="A173" s="62" t="s">
        <v>972</v>
      </c>
      <c r="B173" s="62" t="s">
        <v>973</v>
      </c>
      <c r="C173" s="62" t="s">
        <v>974</v>
      </c>
      <c r="D173" s="62" t="s">
        <v>975</v>
      </c>
      <c r="E173" s="62"/>
    </row>
    <row r="174" spans="1:5" ht="30" x14ac:dyDescent="0.25">
      <c r="A174" s="62" t="s">
        <v>976</v>
      </c>
      <c r="B174" s="62" t="s">
        <v>977</v>
      </c>
      <c r="C174" s="62"/>
      <c r="D174" s="62"/>
      <c r="E174" s="62"/>
    </row>
    <row r="175" spans="1:5" ht="45" x14ac:dyDescent="0.25">
      <c r="A175" s="62" t="s">
        <v>978</v>
      </c>
      <c r="B175" s="62" t="s">
        <v>979</v>
      </c>
      <c r="C175" s="62" t="s">
        <v>980</v>
      </c>
      <c r="D175" s="62" t="s">
        <v>981</v>
      </c>
      <c r="E175" s="62" t="s">
        <v>913</v>
      </c>
    </row>
    <row r="176" spans="1:5" ht="60" x14ac:dyDescent="0.25">
      <c r="A176" s="62" t="s">
        <v>982</v>
      </c>
      <c r="B176" s="62" t="s">
        <v>983</v>
      </c>
      <c r="C176" s="62" t="s">
        <v>984</v>
      </c>
      <c r="D176" s="62" t="s">
        <v>985</v>
      </c>
      <c r="E176" s="62" t="s">
        <v>986</v>
      </c>
    </row>
    <row r="177" spans="1:5" ht="150" x14ac:dyDescent="0.25">
      <c r="A177" s="62" t="s">
        <v>987</v>
      </c>
      <c r="B177" s="62" t="s">
        <v>988</v>
      </c>
      <c r="C177" s="62" t="s">
        <v>989</v>
      </c>
      <c r="D177" s="62" t="s">
        <v>990</v>
      </c>
      <c r="E177" s="62"/>
    </row>
    <row r="178" spans="1:5" ht="180" x14ac:dyDescent="0.25">
      <c r="A178" s="62" t="s">
        <v>991</v>
      </c>
      <c r="B178" s="62" t="s">
        <v>992</v>
      </c>
      <c r="C178" s="62" t="s">
        <v>993</v>
      </c>
      <c r="D178" s="62" t="s">
        <v>994</v>
      </c>
      <c r="E178" s="62" t="s">
        <v>995</v>
      </c>
    </row>
    <row r="179" spans="1:5" ht="60" x14ac:dyDescent="0.25">
      <c r="A179" s="62" t="s">
        <v>996</v>
      </c>
      <c r="B179" s="62" t="s">
        <v>997</v>
      </c>
      <c r="C179" s="62" t="s">
        <v>998</v>
      </c>
      <c r="D179" s="62" t="s">
        <v>999</v>
      </c>
      <c r="E179" s="62"/>
    </row>
    <row r="180" spans="1:5" ht="60" x14ac:dyDescent="0.25">
      <c r="A180" s="62" t="s">
        <v>1000</v>
      </c>
      <c r="B180" s="62" t="s">
        <v>1001</v>
      </c>
      <c r="C180" s="62" t="s">
        <v>1002</v>
      </c>
      <c r="D180" s="62" t="s">
        <v>1003</v>
      </c>
      <c r="E180" s="62"/>
    </row>
    <row r="181" spans="1:5" ht="75" x14ac:dyDescent="0.25">
      <c r="A181" s="62" t="s">
        <v>1004</v>
      </c>
      <c r="B181" s="62" t="s">
        <v>1005</v>
      </c>
      <c r="C181" s="62" t="s">
        <v>1006</v>
      </c>
      <c r="D181" s="62" t="s">
        <v>1007</v>
      </c>
      <c r="E181" s="62"/>
    </row>
    <row r="182" spans="1:5" ht="105" x14ac:dyDescent="0.25">
      <c r="A182" s="62" t="s">
        <v>1008</v>
      </c>
      <c r="B182" s="62" t="s">
        <v>1009</v>
      </c>
      <c r="C182" s="62" t="s">
        <v>1010</v>
      </c>
      <c r="D182" s="62" t="s">
        <v>1011</v>
      </c>
      <c r="E182" s="62" t="s">
        <v>1012</v>
      </c>
    </row>
    <row r="183" spans="1:5" ht="75" x14ac:dyDescent="0.25">
      <c r="A183" s="62" t="s">
        <v>1013</v>
      </c>
      <c r="B183" s="62" t="s">
        <v>1014</v>
      </c>
      <c r="C183" s="62" t="s">
        <v>1015</v>
      </c>
      <c r="D183" s="62" t="s">
        <v>1016</v>
      </c>
      <c r="E183" s="62" t="s">
        <v>1017</v>
      </c>
    </row>
    <row r="184" spans="1:5" ht="195" x14ac:dyDescent="0.25">
      <c r="A184" s="62" t="s">
        <v>1018</v>
      </c>
      <c r="B184" s="62" t="s">
        <v>1019</v>
      </c>
      <c r="C184" s="62" t="s">
        <v>1020</v>
      </c>
      <c r="D184" s="62" t="s">
        <v>1021</v>
      </c>
      <c r="E184" s="62" t="s">
        <v>1022</v>
      </c>
    </row>
    <row r="185" spans="1:5" ht="45" x14ac:dyDescent="0.25">
      <c r="A185" s="62" t="s">
        <v>1023</v>
      </c>
      <c r="B185" s="62" t="s">
        <v>1024</v>
      </c>
      <c r="C185" s="62" t="s">
        <v>1025</v>
      </c>
      <c r="D185" s="62" t="s">
        <v>1026</v>
      </c>
      <c r="E185" s="62" t="s">
        <v>1027</v>
      </c>
    </row>
    <row r="186" spans="1:5" ht="30" x14ac:dyDescent="0.25">
      <c r="A186" s="62" t="s">
        <v>1028</v>
      </c>
      <c r="B186" s="62" t="s">
        <v>1029</v>
      </c>
      <c r="C186" s="62"/>
      <c r="D186" s="62"/>
      <c r="E186" s="62"/>
    </row>
    <row r="187" spans="1:5" ht="45" x14ac:dyDescent="0.25">
      <c r="A187" s="62" t="s">
        <v>1030</v>
      </c>
      <c r="B187" s="62" t="s">
        <v>1031</v>
      </c>
      <c r="C187" s="62" t="s">
        <v>1032</v>
      </c>
      <c r="D187" s="62" t="s">
        <v>1033</v>
      </c>
      <c r="E187" s="62" t="s">
        <v>1034</v>
      </c>
    </row>
    <row r="188" spans="1:5" ht="30" x14ac:dyDescent="0.25">
      <c r="A188" s="62" t="s">
        <v>1035</v>
      </c>
      <c r="B188" s="62" t="s">
        <v>1036</v>
      </c>
      <c r="C188" s="62" t="s">
        <v>1037</v>
      </c>
      <c r="D188" s="62" t="s">
        <v>1038</v>
      </c>
      <c r="E188" s="62" t="s">
        <v>1039</v>
      </c>
    </row>
    <row r="189" spans="1:5" ht="225" x14ac:dyDescent="0.25">
      <c r="A189" s="62" t="s">
        <v>1040</v>
      </c>
      <c r="B189" s="62" t="s">
        <v>1041</v>
      </c>
      <c r="C189" s="62" t="s">
        <v>1042</v>
      </c>
      <c r="D189" s="62" t="s">
        <v>1043</v>
      </c>
      <c r="E189" s="62" t="s">
        <v>1034</v>
      </c>
    </row>
    <row r="190" spans="1:5" ht="90" x14ac:dyDescent="0.25">
      <c r="A190" s="62" t="s">
        <v>1044</v>
      </c>
      <c r="B190" s="62" t="s">
        <v>1045</v>
      </c>
      <c r="C190" s="62" t="s">
        <v>1046</v>
      </c>
      <c r="D190" s="62" t="s">
        <v>1047</v>
      </c>
      <c r="E190" s="62"/>
    </row>
    <row r="191" spans="1:5" ht="75" x14ac:dyDescent="0.25">
      <c r="A191" s="62" t="s">
        <v>1048</v>
      </c>
      <c r="B191" s="62" t="s">
        <v>1049</v>
      </c>
      <c r="C191" s="62" t="s">
        <v>1050</v>
      </c>
      <c r="D191" s="62" t="s">
        <v>1051</v>
      </c>
      <c r="E191" s="62"/>
    </row>
    <row r="192" spans="1:5" ht="105" x14ac:dyDescent="0.25">
      <c r="A192" s="62" t="s">
        <v>1052</v>
      </c>
      <c r="B192" s="62" t="s">
        <v>1053</v>
      </c>
      <c r="C192" s="62" t="s">
        <v>1054</v>
      </c>
      <c r="D192" s="62" t="s">
        <v>1055</v>
      </c>
      <c r="E192" s="62" t="s">
        <v>1056</v>
      </c>
    </row>
    <row r="193" spans="1:5" ht="135" x14ac:dyDescent="0.25">
      <c r="A193" s="62" t="s">
        <v>1057</v>
      </c>
      <c r="B193" s="62" t="s">
        <v>1058</v>
      </c>
      <c r="C193" s="62" t="s">
        <v>1059</v>
      </c>
      <c r="D193" s="62" t="s">
        <v>1060</v>
      </c>
      <c r="E193" s="62" t="s">
        <v>896</v>
      </c>
    </row>
    <row r="194" spans="1:5" ht="30" x14ac:dyDescent="0.25">
      <c r="A194" s="62" t="s">
        <v>1061</v>
      </c>
      <c r="B194" s="62" t="s">
        <v>1062</v>
      </c>
      <c r="C194" s="62"/>
      <c r="D194" s="62"/>
      <c r="E194" s="62"/>
    </row>
    <row r="195" spans="1:5" ht="135" x14ac:dyDescent="0.25">
      <c r="A195" s="62" t="s">
        <v>1063</v>
      </c>
      <c r="B195" s="62" t="s">
        <v>1064</v>
      </c>
      <c r="C195" s="62" t="s">
        <v>1065</v>
      </c>
      <c r="D195" s="62" t="s">
        <v>1066</v>
      </c>
      <c r="E195" s="62" t="s">
        <v>1067</v>
      </c>
    </row>
    <row r="196" spans="1:5" ht="90" x14ac:dyDescent="0.25">
      <c r="A196" s="62" t="s">
        <v>1068</v>
      </c>
      <c r="B196" s="62" t="s">
        <v>1069</v>
      </c>
      <c r="C196" s="62" t="s">
        <v>1070</v>
      </c>
      <c r="D196" s="62" t="s">
        <v>1071</v>
      </c>
      <c r="E196" s="62"/>
    </row>
    <row r="197" spans="1:5" ht="30" x14ac:dyDescent="0.25">
      <c r="A197" s="62" t="s">
        <v>1072</v>
      </c>
      <c r="B197" s="62" t="s">
        <v>1073</v>
      </c>
      <c r="C197" s="62"/>
      <c r="D197" s="62"/>
      <c r="E197" s="62"/>
    </row>
    <row r="198" spans="1:5" ht="135" x14ac:dyDescent="0.25">
      <c r="A198" s="62" t="s">
        <v>1074</v>
      </c>
      <c r="B198" s="62" t="s">
        <v>1075</v>
      </c>
      <c r="C198" s="62" t="s">
        <v>1076</v>
      </c>
      <c r="D198" s="62" t="s">
        <v>1077</v>
      </c>
      <c r="E198" s="62" t="s">
        <v>1078</v>
      </c>
    </row>
    <row r="199" spans="1:5" ht="30" x14ac:dyDescent="0.25">
      <c r="A199" s="62" t="s">
        <v>1079</v>
      </c>
      <c r="B199" s="62" t="s">
        <v>1080</v>
      </c>
      <c r="C199" s="62"/>
      <c r="D199" s="62"/>
      <c r="E199" s="62"/>
    </row>
    <row r="200" spans="1:5" x14ac:dyDescent="0.25">
      <c r="A200" s="62" t="s">
        <v>1081</v>
      </c>
      <c r="B200" s="62" t="s">
        <v>1082</v>
      </c>
      <c r="C200" s="62"/>
      <c r="D200" s="62"/>
      <c r="E200" s="62"/>
    </row>
    <row r="201" spans="1:5" ht="105" x14ac:dyDescent="0.25">
      <c r="A201" s="62" t="s">
        <v>1017</v>
      </c>
      <c r="B201" s="62" t="s">
        <v>1083</v>
      </c>
      <c r="C201" s="62" t="s">
        <v>1084</v>
      </c>
      <c r="D201" s="62" t="s">
        <v>1085</v>
      </c>
      <c r="E201" s="62" t="s">
        <v>1086</v>
      </c>
    </row>
    <row r="202" spans="1:5" ht="165" x14ac:dyDescent="0.25">
      <c r="A202" s="62" t="s">
        <v>1087</v>
      </c>
      <c r="B202" s="62" t="s">
        <v>1088</v>
      </c>
      <c r="C202" s="62" t="s">
        <v>1089</v>
      </c>
      <c r="D202" s="62" t="s">
        <v>1090</v>
      </c>
      <c r="E202" s="62" t="s">
        <v>1091</v>
      </c>
    </row>
    <row r="203" spans="1:5" ht="105" x14ac:dyDescent="0.25">
      <c r="A203" s="62" t="s">
        <v>1092</v>
      </c>
      <c r="B203" s="62" t="s">
        <v>1093</v>
      </c>
      <c r="C203" s="62" t="s">
        <v>1094</v>
      </c>
      <c r="D203" s="62" t="s">
        <v>1095</v>
      </c>
      <c r="E203" s="62" t="s">
        <v>1091</v>
      </c>
    </row>
    <row r="204" spans="1:5" ht="60" x14ac:dyDescent="0.25">
      <c r="A204" s="62" t="s">
        <v>1096</v>
      </c>
      <c r="B204" s="62" t="s">
        <v>1097</v>
      </c>
      <c r="C204" s="62" t="s">
        <v>1098</v>
      </c>
      <c r="D204" s="62" t="s">
        <v>1099</v>
      </c>
      <c r="E204" s="62" t="s">
        <v>1100</v>
      </c>
    </row>
    <row r="205" spans="1:5" ht="75" x14ac:dyDescent="0.25">
      <c r="A205" s="62" t="s">
        <v>1101</v>
      </c>
      <c r="B205" s="62" t="s">
        <v>1102</v>
      </c>
      <c r="C205" s="62" t="s">
        <v>1103</v>
      </c>
      <c r="D205" s="62" t="s">
        <v>1104</v>
      </c>
      <c r="E205" s="62" t="s">
        <v>528</v>
      </c>
    </row>
    <row r="206" spans="1:5" ht="90" x14ac:dyDescent="0.25">
      <c r="A206" s="62" t="s">
        <v>1105</v>
      </c>
      <c r="B206" s="62" t="s">
        <v>1106</v>
      </c>
      <c r="C206" s="62" t="s">
        <v>1107</v>
      </c>
      <c r="D206" s="62" t="s">
        <v>1108</v>
      </c>
      <c r="E206" s="62" t="s">
        <v>321</v>
      </c>
    </row>
    <row r="207" spans="1:5" ht="45" x14ac:dyDescent="0.25">
      <c r="A207" s="62" t="s">
        <v>1109</v>
      </c>
      <c r="B207" s="62" t="s">
        <v>1110</v>
      </c>
      <c r="C207" s="62" t="s">
        <v>1111</v>
      </c>
      <c r="D207" s="62" t="s">
        <v>1112</v>
      </c>
      <c r="E207" s="62"/>
    </row>
    <row r="208" spans="1:5" ht="45" x14ac:dyDescent="0.25">
      <c r="A208" s="62" t="s">
        <v>1113</v>
      </c>
      <c r="B208" s="62" t="s">
        <v>1114</v>
      </c>
      <c r="C208" s="62" t="s">
        <v>1115</v>
      </c>
      <c r="D208" s="62" t="s">
        <v>1116</v>
      </c>
      <c r="E208" s="62" t="s">
        <v>1117</v>
      </c>
    </row>
    <row r="209" spans="1:5" ht="150" x14ac:dyDescent="0.25">
      <c r="A209" s="62" t="s">
        <v>868</v>
      </c>
      <c r="B209" s="62" t="s">
        <v>1118</v>
      </c>
      <c r="C209" s="62" t="s">
        <v>1119</v>
      </c>
      <c r="D209" s="62" t="s">
        <v>1120</v>
      </c>
      <c r="E209" s="62" t="s">
        <v>1121</v>
      </c>
    </row>
    <row r="210" spans="1:5" ht="75" x14ac:dyDescent="0.25">
      <c r="A210" s="62" t="s">
        <v>1122</v>
      </c>
      <c r="B210" s="62" t="s">
        <v>1123</v>
      </c>
      <c r="C210" s="62" t="s">
        <v>1124</v>
      </c>
      <c r="D210" s="62" t="s">
        <v>1125</v>
      </c>
      <c r="E210" s="62" t="s">
        <v>1126</v>
      </c>
    </row>
    <row r="211" spans="1:5" ht="60" x14ac:dyDescent="0.25">
      <c r="A211" s="62" t="s">
        <v>1127</v>
      </c>
      <c r="B211" s="62" t="s">
        <v>1128</v>
      </c>
      <c r="C211" s="62" t="s">
        <v>1129</v>
      </c>
      <c r="D211" s="62" t="s">
        <v>1130</v>
      </c>
      <c r="E211" s="62" t="s">
        <v>1131</v>
      </c>
    </row>
    <row r="212" spans="1:5" ht="150" x14ac:dyDescent="0.25">
      <c r="A212" s="62" t="s">
        <v>1132</v>
      </c>
      <c r="B212" s="62" t="s">
        <v>1133</v>
      </c>
      <c r="C212" s="62" t="s">
        <v>1134</v>
      </c>
      <c r="D212" s="62" t="s">
        <v>1135</v>
      </c>
      <c r="E212" s="62" t="s">
        <v>1126</v>
      </c>
    </row>
    <row r="213" spans="1:5" ht="75" x14ac:dyDescent="0.25">
      <c r="A213" s="62" t="s">
        <v>1136</v>
      </c>
      <c r="B213" s="62" t="s">
        <v>1137</v>
      </c>
      <c r="C213" s="62" t="s">
        <v>1138</v>
      </c>
      <c r="D213" s="62" t="s">
        <v>1139</v>
      </c>
      <c r="E213" s="62" t="s">
        <v>1126</v>
      </c>
    </row>
    <row r="214" spans="1:5" x14ac:dyDescent="0.25">
      <c r="A214" s="62" t="s">
        <v>1140</v>
      </c>
      <c r="B214" s="62" t="s">
        <v>1141</v>
      </c>
      <c r="C214" s="62"/>
      <c r="D214" s="62"/>
      <c r="E214" s="62"/>
    </row>
    <row r="215" spans="1:5" ht="105" x14ac:dyDescent="0.25">
      <c r="A215" s="62" t="s">
        <v>1142</v>
      </c>
      <c r="B215" s="62" t="s">
        <v>1143</v>
      </c>
      <c r="C215" s="62" t="s">
        <v>1144</v>
      </c>
      <c r="D215" s="62" t="s">
        <v>1145</v>
      </c>
      <c r="E215" s="62" t="s">
        <v>1146</v>
      </c>
    </row>
    <row r="216" spans="1:5" ht="75" x14ac:dyDescent="0.25">
      <c r="A216" s="62" t="s">
        <v>1147</v>
      </c>
      <c r="B216" s="62" t="s">
        <v>1148</v>
      </c>
      <c r="C216" s="62" t="s">
        <v>1149</v>
      </c>
      <c r="D216" s="62" t="s">
        <v>1150</v>
      </c>
      <c r="E216" s="62"/>
    </row>
    <row r="217" spans="1:5" ht="105" x14ac:dyDescent="0.25">
      <c r="A217" s="62" t="s">
        <v>1151</v>
      </c>
      <c r="B217" s="62" t="s">
        <v>1152</v>
      </c>
      <c r="C217" s="62" t="s">
        <v>1153</v>
      </c>
      <c r="D217" s="62" t="s">
        <v>1154</v>
      </c>
      <c r="E217" s="62" t="s">
        <v>1155</v>
      </c>
    </row>
    <row r="218" spans="1:5" ht="60" x14ac:dyDescent="0.25">
      <c r="A218" s="62" t="s">
        <v>1156</v>
      </c>
      <c r="B218" s="62" t="s">
        <v>1157</v>
      </c>
      <c r="C218" s="62" t="s">
        <v>1158</v>
      </c>
      <c r="D218" s="62" t="s">
        <v>1159</v>
      </c>
      <c r="E218" s="62" t="s">
        <v>1160</v>
      </c>
    </row>
    <row r="219" spans="1:5" ht="90" x14ac:dyDescent="0.25">
      <c r="A219" s="62" t="s">
        <v>1161</v>
      </c>
      <c r="B219" s="62" t="s">
        <v>1162</v>
      </c>
      <c r="C219" s="62" t="s">
        <v>1163</v>
      </c>
      <c r="D219" s="62" t="s">
        <v>1164</v>
      </c>
      <c r="E219" s="62"/>
    </row>
    <row r="220" spans="1:5" ht="105" x14ac:dyDescent="0.25">
      <c r="A220" s="62" t="s">
        <v>1165</v>
      </c>
      <c r="B220" s="62" t="s">
        <v>1166</v>
      </c>
      <c r="C220" s="62" t="s">
        <v>1167</v>
      </c>
      <c r="D220" s="62" t="s">
        <v>1168</v>
      </c>
      <c r="E220" s="62" t="s">
        <v>321</v>
      </c>
    </row>
    <row r="221" spans="1:5" ht="75" x14ac:dyDescent="0.25">
      <c r="A221" s="62" t="s">
        <v>1169</v>
      </c>
      <c r="B221" s="62" t="s">
        <v>1170</v>
      </c>
      <c r="C221" s="62" t="s">
        <v>1171</v>
      </c>
      <c r="D221" s="62" t="s">
        <v>1172</v>
      </c>
      <c r="E221" s="62"/>
    </row>
    <row r="222" spans="1:5" ht="120" x14ac:dyDescent="0.25">
      <c r="A222" s="62" t="s">
        <v>1173</v>
      </c>
      <c r="B222" s="62" t="s">
        <v>1174</v>
      </c>
      <c r="C222" s="62" t="s">
        <v>1175</v>
      </c>
      <c r="D222" s="62" t="s">
        <v>1176</v>
      </c>
      <c r="E222" s="62" t="s">
        <v>1177</v>
      </c>
    </row>
    <row r="223" spans="1:5" ht="30" x14ac:dyDescent="0.25">
      <c r="A223" s="62" t="s">
        <v>1178</v>
      </c>
      <c r="B223" s="62" t="s">
        <v>1179</v>
      </c>
      <c r="C223" s="62" t="s">
        <v>1180</v>
      </c>
      <c r="D223" s="62" t="s">
        <v>1181</v>
      </c>
      <c r="E223" s="62"/>
    </row>
    <row r="224" spans="1:5" ht="90" x14ac:dyDescent="0.25">
      <c r="A224" s="62" t="s">
        <v>1182</v>
      </c>
      <c r="B224" s="62" t="s">
        <v>1183</v>
      </c>
      <c r="C224" s="62" t="s">
        <v>1184</v>
      </c>
      <c r="D224" s="62" t="s">
        <v>1185</v>
      </c>
      <c r="E224" s="62"/>
    </row>
    <row r="225" spans="1:5" ht="120" x14ac:dyDescent="0.25">
      <c r="A225" s="62" t="s">
        <v>1186</v>
      </c>
      <c r="B225" s="62" t="s">
        <v>1187</v>
      </c>
      <c r="C225" s="62" t="s">
        <v>1188</v>
      </c>
      <c r="D225" s="62" t="s">
        <v>1189</v>
      </c>
      <c r="E225" s="62"/>
    </row>
    <row r="226" spans="1:5" ht="150" x14ac:dyDescent="0.25">
      <c r="A226" s="62" t="s">
        <v>1190</v>
      </c>
      <c r="B226" s="62" t="s">
        <v>1191</v>
      </c>
      <c r="C226" s="62" t="s">
        <v>1192</v>
      </c>
      <c r="D226" s="62" t="s">
        <v>1193</v>
      </c>
      <c r="E226" s="62" t="s">
        <v>1194</v>
      </c>
    </row>
    <row r="227" spans="1:5" ht="45" x14ac:dyDescent="0.25">
      <c r="A227" s="62" t="s">
        <v>1195</v>
      </c>
      <c r="B227" s="62" t="s">
        <v>1196</v>
      </c>
      <c r="C227" s="62" t="s">
        <v>1197</v>
      </c>
      <c r="D227" s="62" t="s">
        <v>1198</v>
      </c>
      <c r="E227" s="62"/>
    </row>
    <row r="228" spans="1:5" x14ac:dyDescent="0.25">
      <c r="A228" s="62" t="s">
        <v>1199</v>
      </c>
      <c r="B228" s="62" t="s">
        <v>1200</v>
      </c>
      <c r="C228" s="62"/>
      <c r="D228" s="62"/>
      <c r="E228" s="62"/>
    </row>
    <row r="229" spans="1:5" ht="30" x14ac:dyDescent="0.25">
      <c r="A229" s="62" t="s">
        <v>1201</v>
      </c>
      <c r="B229" s="62" t="s">
        <v>1202</v>
      </c>
      <c r="C229" s="62" t="s">
        <v>1203</v>
      </c>
      <c r="D229" s="62" t="s">
        <v>801</v>
      </c>
      <c r="E229" s="62" t="s">
        <v>718</v>
      </c>
    </row>
    <row r="230" spans="1:5" x14ac:dyDescent="0.25">
      <c r="A230" s="62" t="s">
        <v>1012</v>
      </c>
      <c r="B230" s="62" t="s">
        <v>1204</v>
      </c>
      <c r="C230" s="62"/>
      <c r="D230" s="62"/>
      <c r="E230" s="62"/>
    </row>
    <row r="231" spans="1:5" ht="150" x14ac:dyDescent="0.25">
      <c r="A231" s="62" t="s">
        <v>1205</v>
      </c>
      <c r="B231" s="62" t="s">
        <v>1206</v>
      </c>
      <c r="C231" s="62" t="s">
        <v>1207</v>
      </c>
      <c r="D231" s="62" t="s">
        <v>1208</v>
      </c>
      <c r="E231" s="62" t="s">
        <v>1209</v>
      </c>
    </row>
    <row r="232" spans="1:5" ht="30" x14ac:dyDescent="0.25">
      <c r="A232" s="62" t="s">
        <v>1210</v>
      </c>
      <c r="B232" s="62" t="s">
        <v>1211</v>
      </c>
      <c r="C232" s="62" t="s">
        <v>1212</v>
      </c>
      <c r="D232" s="62" t="s">
        <v>1213</v>
      </c>
      <c r="E232" s="62" t="s">
        <v>1214</v>
      </c>
    </row>
    <row r="233" spans="1:5" ht="120" x14ac:dyDescent="0.25">
      <c r="A233" s="62" t="s">
        <v>1215</v>
      </c>
      <c r="B233" s="62" t="s">
        <v>1216</v>
      </c>
      <c r="C233" s="62" t="s">
        <v>1217</v>
      </c>
      <c r="D233" s="62" t="s">
        <v>1218</v>
      </c>
      <c r="E233" s="62" t="s">
        <v>1219</v>
      </c>
    </row>
    <row r="234" spans="1:5" ht="90" x14ac:dyDescent="0.25">
      <c r="A234" s="62" t="s">
        <v>1220</v>
      </c>
      <c r="B234" s="62" t="s">
        <v>1221</v>
      </c>
      <c r="C234" s="62" t="s">
        <v>1222</v>
      </c>
      <c r="D234" s="62" t="s">
        <v>1223</v>
      </c>
      <c r="E234" s="62"/>
    </row>
    <row r="235" spans="1:5" ht="285" x14ac:dyDescent="0.25">
      <c r="A235" s="62" t="s">
        <v>1224</v>
      </c>
      <c r="B235" s="62" t="s">
        <v>257</v>
      </c>
      <c r="C235" s="62" t="s">
        <v>1225</v>
      </c>
      <c r="D235" s="62" t="s">
        <v>1226</v>
      </c>
      <c r="E235" s="62" t="s">
        <v>881</v>
      </c>
    </row>
    <row r="236" spans="1:5" ht="409.5" x14ac:dyDescent="0.25">
      <c r="A236" s="62" t="s">
        <v>817</v>
      </c>
      <c r="B236" s="62" t="s">
        <v>1227</v>
      </c>
      <c r="C236" s="62" t="s">
        <v>1228</v>
      </c>
      <c r="D236" s="62" t="s">
        <v>1229</v>
      </c>
      <c r="E236" s="62" t="s">
        <v>1230</v>
      </c>
    </row>
    <row r="237" spans="1:5" ht="409.5" x14ac:dyDescent="0.25">
      <c r="A237" s="62" t="s">
        <v>1231</v>
      </c>
      <c r="B237" s="62" t="s">
        <v>1232</v>
      </c>
      <c r="C237" s="62" t="s">
        <v>1233</v>
      </c>
      <c r="D237" s="62" t="s">
        <v>1234</v>
      </c>
      <c r="E237" s="62"/>
    </row>
    <row r="238" spans="1:5" ht="180" x14ac:dyDescent="0.25">
      <c r="A238" s="62" t="s">
        <v>1235</v>
      </c>
      <c r="B238" s="62" t="s">
        <v>1236</v>
      </c>
      <c r="C238" s="62" t="s">
        <v>1237</v>
      </c>
      <c r="D238" s="62" t="s">
        <v>1238</v>
      </c>
      <c r="E238" s="62" t="s">
        <v>1239</v>
      </c>
    </row>
    <row r="239" spans="1:5" ht="195" x14ac:dyDescent="0.25">
      <c r="A239" s="62" t="s">
        <v>1240</v>
      </c>
      <c r="B239" s="62" t="s">
        <v>1241</v>
      </c>
      <c r="C239" s="62" t="s">
        <v>1242</v>
      </c>
      <c r="D239" s="62" t="s">
        <v>1243</v>
      </c>
      <c r="E239" s="62" t="s">
        <v>1244</v>
      </c>
    </row>
    <row r="240" spans="1:5" ht="409.5" x14ac:dyDescent="0.25">
      <c r="A240" s="62" t="s">
        <v>1245</v>
      </c>
      <c r="B240" s="62" t="s">
        <v>1246</v>
      </c>
      <c r="C240" s="62" t="s">
        <v>1247</v>
      </c>
      <c r="D240" s="62" t="s">
        <v>1248</v>
      </c>
      <c r="E240" s="62" t="s">
        <v>1249</v>
      </c>
    </row>
    <row r="241" spans="1:5" ht="30" x14ac:dyDescent="0.25">
      <c r="A241" s="62" t="s">
        <v>1250</v>
      </c>
      <c r="B241" s="62" t="s">
        <v>1251</v>
      </c>
      <c r="C241" s="62"/>
      <c r="D241" s="62"/>
      <c r="E241" s="62"/>
    </row>
    <row r="242" spans="1:5" ht="30" x14ac:dyDescent="0.25">
      <c r="A242" s="62" t="s">
        <v>1252</v>
      </c>
      <c r="B242" s="62" t="s">
        <v>1253</v>
      </c>
      <c r="C242" s="62"/>
      <c r="D242" s="62"/>
      <c r="E242" s="62"/>
    </row>
    <row r="243" spans="1:5" ht="30" x14ac:dyDescent="0.25">
      <c r="A243" s="62" t="s">
        <v>1254</v>
      </c>
      <c r="B243" s="62" t="s">
        <v>1255</v>
      </c>
      <c r="C243" s="62"/>
      <c r="D243" s="62"/>
      <c r="E243" s="62"/>
    </row>
    <row r="244" spans="1:5" ht="30" x14ac:dyDescent="0.25">
      <c r="A244" s="62" t="s">
        <v>1256</v>
      </c>
      <c r="B244" s="62" t="s">
        <v>1257</v>
      </c>
      <c r="C244" s="62"/>
      <c r="D244" s="62"/>
      <c r="E244" s="62"/>
    </row>
    <row r="245" spans="1:5" ht="30" x14ac:dyDescent="0.25">
      <c r="A245" s="62" t="s">
        <v>1258</v>
      </c>
      <c r="B245" s="62" t="s">
        <v>1259</v>
      </c>
      <c r="C245" s="62"/>
      <c r="D245" s="62"/>
      <c r="E245" s="62"/>
    </row>
    <row r="246" spans="1:5" ht="75" x14ac:dyDescent="0.25">
      <c r="A246" s="62" t="s">
        <v>1260</v>
      </c>
      <c r="B246" s="62" t="s">
        <v>1261</v>
      </c>
      <c r="C246" s="62" t="s">
        <v>1262</v>
      </c>
      <c r="D246" s="62" t="s">
        <v>1263</v>
      </c>
      <c r="E246" s="62" t="s">
        <v>1264</v>
      </c>
    </row>
    <row r="247" spans="1:5" ht="150" x14ac:dyDescent="0.25">
      <c r="A247" s="62" t="s">
        <v>1265</v>
      </c>
      <c r="B247" s="62" t="s">
        <v>1266</v>
      </c>
      <c r="C247" s="62" t="s">
        <v>1267</v>
      </c>
      <c r="D247" s="62" t="s">
        <v>1268</v>
      </c>
      <c r="E247" s="62" t="s">
        <v>337</v>
      </c>
    </row>
    <row r="248" spans="1:5" x14ac:dyDescent="0.25">
      <c r="A248" s="62" t="s">
        <v>1269</v>
      </c>
      <c r="B248" s="62" t="s">
        <v>1270</v>
      </c>
      <c r="C248" s="62"/>
      <c r="D248" s="62"/>
      <c r="E248" s="62"/>
    </row>
    <row r="249" spans="1:5" ht="105" x14ac:dyDescent="0.25">
      <c r="A249" s="62" t="s">
        <v>1271</v>
      </c>
      <c r="B249" s="62" t="s">
        <v>1272</v>
      </c>
      <c r="C249" s="62" t="s">
        <v>1273</v>
      </c>
      <c r="D249" s="62" t="s">
        <v>1274</v>
      </c>
      <c r="E249" s="62" t="s">
        <v>1275</v>
      </c>
    </row>
    <row r="250" spans="1:5" ht="90" x14ac:dyDescent="0.25">
      <c r="A250" s="62" t="s">
        <v>1276</v>
      </c>
      <c r="B250" s="62" t="s">
        <v>1277</v>
      </c>
      <c r="C250" s="62" t="s">
        <v>1278</v>
      </c>
      <c r="D250" s="62" t="s">
        <v>1279</v>
      </c>
      <c r="E250" s="62"/>
    </row>
    <row r="251" spans="1:5" ht="345" x14ac:dyDescent="0.25">
      <c r="A251" s="62" t="s">
        <v>1280</v>
      </c>
      <c r="B251" s="62" t="s">
        <v>1281</v>
      </c>
      <c r="C251" s="62" t="s">
        <v>1282</v>
      </c>
      <c r="D251" s="62" t="s">
        <v>1283</v>
      </c>
      <c r="E251" s="62" t="s">
        <v>1284</v>
      </c>
    </row>
    <row r="252" spans="1:5" ht="90" x14ac:dyDescent="0.25">
      <c r="A252" s="62" t="s">
        <v>1285</v>
      </c>
      <c r="B252" s="62" t="s">
        <v>1286</v>
      </c>
      <c r="C252" s="62" t="s">
        <v>1287</v>
      </c>
      <c r="D252" s="62" t="s">
        <v>1288</v>
      </c>
      <c r="E252" s="62" t="s">
        <v>533</v>
      </c>
    </row>
    <row r="253" spans="1:5" ht="165" x14ac:dyDescent="0.25">
      <c r="A253" s="62" t="s">
        <v>1289</v>
      </c>
      <c r="B253" s="62" t="s">
        <v>1290</v>
      </c>
      <c r="C253" s="62" t="s">
        <v>1291</v>
      </c>
      <c r="D253" s="62" t="s">
        <v>1292</v>
      </c>
      <c r="E253" s="62" t="s">
        <v>533</v>
      </c>
    </row>
    <row r="254" spans="1:5" ht="375" x14ac:dyDescent="0.25">
      <c r="A254" s="62" t="s">
        <v>572</v>
      </c>
      <c r="B254" s="62" t="s">
        <v>1293</v>
      </c>
      <c r="C254" s="62" t="s">
        <v>1294</v>
      </c>
      <c r="D254" s="62" t="s">
        <v>1295</v>
      </c>
      <c r="E254" s="62" t="s">
        <v>1296</v>
      </c>
    </row>
    <row r="255" spans="1:5" ht="120" x14ac:dyDescent="0.25">
      <c r="A255" s="62" t="s">
        <v>1297</v>
      </c>
      <c r="B255" s="62" t="s">
        <v>1298</v>
      </c>
      <c r="C255" s="62" t="s">
        <v>1299</v>
      </c>
      <c r="D255" s="62" t="s">
        <v>1300</v>
      </c>
      <c r="E255" s="62"/>
    </row>
    <row r="256" spans="1:5" x14ac:dyDescent="0.25">
      <c r="A256" s="62" t="s">
        <v>1301</v>
      </c>
      <c r="B256" s="62" t="s">
        <v>1302</v>
      </c>
      <c r="C256" s="62"/>
      <c r="D256" s="62"/>
      <c r="E256" s="62"/>
    </row>
    <row r="257" spans="1:5" ht="75" x14ac:dyDescent="0.25">
      <c r="A257" s="62" t="s">
        <v>1303</v>
      </c>
      <c r="B257" s="62" t="s">
        <v>1304</v>
      </c>
      <c r="C257" s="62" t="s">
        <v>1305</v>
      </c>
      <c r="D257" s="62" t="s">
        <v>1306</v>
      </c>
      <c r="E257" s="62"/>
    </row>
    <row r="258" spans="1:5" ht="90" x14ac:dyDescent="0.25">
      <c r="A258" s="62" t="s">
        <v>1307</v>
      </c>
      <c r="B258" s="62" t="s">
        <v>1308</v>
      </c>
      <c r="C258" s="62" t="s">
        <v>1309</v>
      </c>
      <c r="D258" s="62" t="s">
        <v>1310</v>
      </c>
      <c r="E258" s="62"/>
    </row>
    <row r="259" spans="1:5" ht="180" x14ac:dyDescent="0.25">
      <c r="A259" s="62" t="s">
        <v>1311</v>
      </c>
      <c r="B259" s="62" t="s">
        <v>1312</v>
      </c>
      <c r="C259" s="62" t="s">
        <v>1313</v>
      </c>
      <c r="D259" s="62" t="s">
        <v>1314</v>
      </c>
      <c r="E259" s="62"/>
    </row>
    <row r="260" spans="1:5" ht="60" x14ac:dyDescent="0.25">
      <c r="A260" s="62" t="s">
        <v>1315</v>
      </c>
      <c r="B260" s="62" t="s">
        <v>1316</v>
      </c>
      <c r="C260" s="62" t="s">
        <v>1317</v>
      </c>
      <c r="D260" s="62" t="s">
        <v>1318</v>
      </c>
      <c r="E260" s="62"/>
    </row>
    <row r="261" spans="1:5" ht="405" x14ac:dyDescent="0.25">
      <c r="A261" s="62" t="s">
        <v>1319</v>
      </c>
      <c r="B261" s="62" t="s">
        <v>1320</v>
      </c>
      <c r="C261" s="62" t="s">
        <v>1321</v>
      </c>
      <c r="D261" s="62" t="s">
        <v>1322</v>
      </c>
      <c r="E261" s="62" t="s">
        <v>1323</v>
      </c>
    </row>
    <row r="262" spans="1:5" ht="90" x14ac:dyDescent="0.25">
      <c r="A262" s="62" t="s">
        <v>1324</v>
      </c>
      <c r="B262" s="62" t="s">
        <v>1325</v>
      </c>
      <c r="C262" s="62" t="s">
        <v>1326</v>
      </c>
      <c r="D262" s="62" t="s">
        <v>1327</v>
      </c>
      <c r="E262" s="62" t="s">
        <v>817</v>
      </c>
    </row>
    <row r="263" spans="1:5" ht="240" x14ac:dyDescent="0.25">
      <c r="A263" s="62" t="s">
        <v>1328</v>
      </c>
      <c r="B263" s="62" t="s">
        <v>1329</v>
      </c>
      <c r="C263" s="62" t="s">
        <v>1330</v>
      </c>
      <c r="D263" s="62" t="s">
        <v>1331</v>
      </c>
      <c r="E263" s="62"/>
    </row>
    <row r="264" spans="1:5" ht="60" x14ac:dyDescent="0.25">
      <c r="A264" s="62" t="s">
        <v>1332</v>
      </c>
      <c r="B264" s="62" t="s">
        <v>1333</v>
      </c>
      <c r="C264" s="62" t="s">
        <v>1334</v>
      </c>
      <c r="D264" s="62" t="s">
        <v>1335</v>
      </c>
      <c r="E264" s="62" t="s">
        <v>1336</v>
      </c>
    </row>
    <row r="265" spans="1:5" ht="180" x14ac:dyDescent="0.25">
      <c r="A265" s="62" t="s">
        <v>1337</v>
      </c>
      <c r="B265" s="62" t="s">
        <v>1338</v>
      </c>
      <c r="C265" s="62" t="s">
        <v>1339</v>
      </c>
      <c r="D265" s="62" t="s">
        <v>1340</v>
      </c>
      <c r="E265" s="62" t="s">
        <v>1341</v>
      </c>
    </row>
    <row r="266" spans="1:5" ht="30" x14ac:dyDescent="0.25">
      <c r="A266" s="62" t="s">
        <v>1342</v>
      </c>
      <c r="B266" s="62" t="s">
        <v>1343</v>
      </c>
      <c r="C266" s="62" t="s">
        <v>1344</v>
      </c>
      <c r="D266" s="62" t="s">
        <v>1345</v>
      </c>
      <c r="E266" s="62" t="s">
        <v>1346</v>
      </c>
    </row>
    <row r="267" spans="1:5" ht="285" x14ac:dyDescent="0.25">
      <c r="A267" s="62" t="s">
        <v>1347</v>
      </c>
      <c r="B267" s="62" t="s">
        <v>257</v>
      </c>
      <c r="C267" s="62" t="s">
        <v>1348</v>
      </c>
      <c r="D267" s="62" t="s">
        <v>1349</v>
      </c>
      <c r="E267" s="62" t="s">
        <v>1350</v>
      </c>
    </row>
    <row r="268" spans="1:5" ht="150" x14ac:dyDescent="0.25">
      <c r="A268" s="62" t="s">
        <v>1351</v>
      </c>
      <c r="B268" s="62" t="s">
        <v>1352</v>
      </c>
      <c r="C268" s="62" t="s">
        <v>1353</v>
      </c>
      <c r="D268" s="62" t="s">
        <v>1354</v>
      </c>
      <c r="E268" s="62" t="s">
        <v>1355</v>
      </c>
    </row>
    <row r="269" spans="1:5" x14ac:dyDescent="0.25">
      <c r="A269" s="62" t="s">
        <v>1356</v>
      </c>
      <c r="B269" s="62" t="s">
        <v>1357</v>
      </c>
      <c r="C269" s="62"/>
      <c r="D269" s="62"/>
      <c r="E269" s="62"/>
    </row>
    <row r="270" spans="1:5" ht="135" x14ac:dyDescent="0.25">
      <c r="A270" s="62" t="s">
        <v>1358</v>
      </c>
      <c r="B270" s="62" t="s">
        <v>1359</v>
      </c>
      <c r="C270" s="62" t="s">
        <v>1360</v>
      </c>
      <c r="D270" s="62" t="s">
        <v>1361</v>
      </c>
      <c r="E270" s="62" t="s">
        <v>1362</v>
      </c>
    </row>
    <row r="271" spans="1:5" ht="45" x14ac:dyDescent="0.25">
      <c r="A271" s="62" t="s">
        <v>1363</v>
      </c>
      <c r="B271" s="62" t="s">
        <v>1364</v>
      </c>
      <c r="C271" s="62" t="s">
        <v>1365</v>
      </c>
      <c r="D271" s="62" t="s">
        <v>1366</v>
      </c>
      <c r="E271" s="62"/>
    </row>
    <row r="272" spans="1:5" x14ac:dyDescent="0.25">
      <c r="A272" s="62" t="s">
        <v>1367</v>
      </c>
      <c r="B272" s="62" t="s">
        <v>1368</v>
      </c>
      <c r="C272" s="62"/>
      <c r="D272" s="62"/>
      <c r="E272" s="62"/>
    </row>
    <row r="273" spans="1:5" x14ac:dyDescent="0.25">
      <c r="A273" s="62" t="s">
        <v>1369</v>
      </c>
      <c r="B273" s="62" t="s">
        <v>1370</v>
      </c>
      <c r="C273" s="62"/>
      <c r="D273" s="62"/>
      <c r="E273" s="62"/>
    </row>
    <row r="274" spans="1:5" ht="165" x14ac:dyDescent="0.25">
      <c r="A274" s="62" t="s">
        <v>1371</v>
      </c>
      <c r="B274" s="62" t="s">
        <v>1372</v>
      </c>
      <c r="C274" s="62" t="s">
        <v>1373</v>
      </c>
      <c r="D274" s="62" t="s">
        <v>1374</v>
      </c>
      <c r="E274" s="62" t="s">
        <v>1375</v>
      </c>
    </row>
    <row r="275" spans="1:5" ht="180" x14ac:dyDescent="0.25">
      <c r="A275" s="62" t="s">
        <v>1376</v>
      </c>
      <c r="B275" s="62" t="s">
        <v>1377</v>
      </c>
      <c r="C275" s="62" t="s">
        <v>1378</v>
      </c>
      <c r="D275" s="62" t="s">
        <v>1379</v>
      </c>
      <c r="E275" s="62" t="s">
        <v>1380</v>
      </c>
    </row>
    <row r="276" spans="1:5" ht="255" x14ac:dyDescent="0.25">
      <c r="A276" s="62" t="s">
        <v>1381</v>
      </c>
      <c r="B276" s="62" t="s">
        <v>1382</v>
      </c>
      <c r="C276" s="62" t="s">
        <v>1383</v>
      </c>
      <c r="D276" s="62" t="s">
        <v>1384</v>
      </c>
      <c r="E276" s="62" t="s">
        <v>1385</v>
      </c>
    </row>
    <row r="277" spans="1:5" ht="150" x14ac:dyDescent="0.25">
      <c r="A277" s="62" t="s">
        <v>1386</v>
      </c>
      <c r="B277" s="62" t="s">
        <v>1387</v>
      </c>
      <c r="C277" s="62" t="s">
        <v>1388</v>
      </c>
      <c r="D277" s="62" t="s">
        <v>801</v>
      </c>
      <c r="E277" s="62"/>
    </row>
    <row r="278" spans="1:5" ht="165" x14ac:dyDescent="0.25">
      <c r="A278" s="62" t="s">
        <v>1389</v>
      </c>
      <c r="B278" s="62" t="s">
        <v>1390</v>
      </c>
      <c r="C278" s="62" t="s">
        <v>1391</v>
      </c>
      <c r="D278" s="62" t="s">
        <v>1392</v>
      </c>
      <c r="E278" s="62"/>
    </row>
    <row r="279" spans="1:5" ht="60" x14ac:dyDescent="0.25">
      <c r="A279" s="62" t="s">
        <v>1393</v>
      </c>
      <c r="B279" s="62" t="s">
        <v>1394</v>
      </c>
      <c r="C279" s="62" t="s">
        <v>1395</v>
      </c>
      <c r="D279" s="62" t="s">
        <v>1396</v>
      </c>
      <c r="E279" s="62"/>
    </row>
    <row r="280" spans="1:5" ht="135" x14ac:dyDescent="0.25">
      <c r="A280" s="62" t="s">
        <v>1397</v>
      </c>
      <c r="B280" s="62" t="s">
        <v>1398</v>
      </c>
      <c r="C280" s="62" t="s">
        <v>1399</v>
      </c>
      <c r="D280" s="62" t="s">
        <v>1400</v>
      </c>
      <c r="E280" s="62"/>
    </row>
    <row r="281" spans="1:5" ht="45" x14ac:dyDescent="0.25">
      <c r="A281" s="62" t="s">
        <v>1401</v>
      </c>
      <c r="B281" s="62" t="s">
        <v>1402</v>
      </c>
      <c r="C281" s="62" t="s">
        <v>1403</v>
      </c>
      <c r="D281" s="62" t="s">
        <v>1404</v>
      </c>
      <c r="E281" s="62"/>
    </row>
    <row r="282" spans="1:5" ht="75" x14ac:dyDescent="0.25">
      <c r="A282" s="62" t="s">
        <v>1405</v>
      </c>
      <c r="B282" s="62" t="s">
        <v>1406</v>
      </c>
      <c r="C282" s="62" t="s">
        <v>1407</v>
      </c>
      <c r="D282" s="62" t="s">
        <v>1408</v>
      </c>
      <c r="E282" s="62" t="s">
        <v>1409</v>
      </c>
    </row>
    <row r="283" spans="1:5" ht="60" x14ac:dyDescent="0.25">
      <c r="A283" s="62" t="s">
        <v>1410</v>
      </c>
      <c r="B283" s="62" t="s">
        <v>1411</v>
      </c>
      <c r="C283" s="62" t="s">
        <v>1412</v>
      </c>
      <c r="D283" s="62" t="s">
        <v>1413</v>
      </c>
      <c r="E283" s="62" t="s">
        <v>1414</v>
      </c>
    </row>
    <row r="284" spans="1:5" ht="30" x14ac:dyDescent="0.25">
      <c r="A284" s="62" t="s">
        <v>1415</v>
      </c>
      <c r="B284" s="62" t="s">
        <v>1416</v>
      </c>
      <c r="C284" s="62" t="s">
        <v>1417</v>
      </c>
      <c r="D284" s="62" t="s">
        <v>1418</v>
      </c>
      <c r="E284" s="62"/>
    </row>
    <row r="285" spans="1:5" ht="180" x14ac:dyDescent="0.25">
      <c r="A285" s="62" t="s">
        <v>1419</v>
      </c>
      <c r="B285" s="62" t="s">
        <v>1420</v>
      </c>
      <c r="C285" s="62" t="s">
        <v>1421</v>
      </c>
      <c r="D285" s="62" t="s">
        <v>1422</v>
      </c>
      <c r="E285" s="62" t="s">
        <v>1423</v>
      </c>
    </row>
    <row r="286" spans="1:5" ht="120" x14ac:dyDescent="0.25">
      <c r="A286" s="62" t="s">
        <v>1424</v>
      </c>
      <c r="B286" s="62" t="s">
        <v>1425</v>
      </c>
      <c r="C286" s="62" t="s">
        <v>1426</v>
      </c>
      <c r="D286" s="62" t="s">
        <v>1427</v>
      </c>
      <c r="E286" s="62" t="s">
        <v>1428</v>
      </c>
    </row>
    <row r="287" spans="1:5" ht="45" x14ac:dyDescent="0.25">
      <c r="A287" s="62" t="s">
        <v>1429</v>
      </c>
      <c r="B287" s="62" t="s">
        <v>1430</v>
      </c>
      <c r="C287" s="62" t="s">
        <v>1431</v>
      </c>
      <c r="D287" s="62" t="s">
        <v>1432</v>
      </c>
      <c r="E287" s="62" t="s">
        <v>1433</v>
      </c>
    </row>
    <row r="288" spans="1:5" ht="120" x14ac:dyDescent="0.25">
      <c r="A288" s="62" t="s">
        <v>1434</v>
      </c>
      <c r="B288" s="62" t="s">
        <v>1435</v>
      </c>
      <c r="C288" s="62" t="s">
        <v>1436</v>
      </c>
      <c r="D288" s="62" t="s">
        <v>1437</v>
      </c>
      <c r="E288" s="62" t="s">
        <v>1438</v>
      </c>
    </row>
    <row r="289" spans="1:5" ht="45" x14ac:dyDescent="0.25">
      <c r="A289" s="62" t="s">
        <v>1439</v>
      </c>
      <c r="B289" s="62" t="s">
        <v>1440</v>
      </c>
      <c r="C289" s="62" t="s">
        <v>1441</v>
      </c>
      <c r="D289" s="62" t="s">
        <v>1442</v>
      </c>
      <c r="E289" s="62" t="s">
        <v>1443</v>
      </c>
    </row>
    <row r="290" spans="1:5" ht="30" x14ac:dyDescent="0.25">
      <c r="A290" s="62" t="s">
        <v>1444</v>
      </c>
      <c r="B290" s="62" t="s">
        <v>1445</v>
      </c>
      <c r="C290" s="62"/>
      <c r="D290" s="62"/>
      <c r="E290" s="62"/>
    </row>
    <row r="291" spans="1:5" x14ac:dyDescent="0.25">
      <c r="A291" s="62" t="s">
        <v>1446</v>
      </c>
      <c r="B291" s="62" t="s">
        <v>1447</v>
      </c>
      <c r="C291" s="62"/>
      <c r="D291" s="62"/>
      <c r="E291" s="62"/>
    </row>
    <row r="292" spans="1:5" ht="120" x14ac:dyDescent="0.25">
      <c r="A292" s="62" t="s">
        <v>1448</v>
      </c>
      <c r="B292" s="62" t="s">
        <v>1449</v>
      </c>
      <c r="C292" s="62" t="s">
        <v>1450</v>
      </c>
      <c r="D292" s="62" t="s">
        <v>1451</v>
      </c>
      <c r="E292" s="62" t="s">
        <v>1452</v>
      </c>
    </row>
    <row r="293" spans="1:5" ht="90" x14ac:dyDescent="0.25">
      <c r="A293" s="62" t="s">
        <v>1453</v>
      </c>
      <c r="B293" s="62" t="s">
        <v>1454</v>
      </c>
      <c r="C293" s="62" t="s">
        <v>1455</v>
      </c>
      <c r="D293" s="62" t="s">
        <v>1456</v>
      </c>
      <c r="E293" s="62" t="s">
        <v>261</v>
      </c>
    </row>
    <row r="294" spans="1:5" x14ac:dyDescent="0.25">
      <c r="A294" s="62" t="s">
        <v>1457</v>
      </c>
      <c r="B294" s="62" t="s">
        <v>1458</v>
      </c>
      <c r="C294" s="62" t="s">
        <v>1459</v>
      </c>
      <c r="D294" s="62" t="s">
        <v>1460</v>
      </c>
      <c r="E294" s="62" t="s">
        <v>261</v>
      </c>
    </row>
    <row r="295" spans="1:5" ht="30" x14ac:dyDescent="0.25">
      <c r="A295" s="62" t="s">
        <v>1461</v>
      </c>
      <c r="B295" s="62" t="s">
        <v>1462</v>
      </c>
      <c r="C295" s="62"/>
      <c r="D295" s="62"/>
      <c r="E295" s="62"/>
    </row>
    <row r="296" spans="1:5" ht="409.5" x14ac:dyDescent="0.25">
      <c r="A296" s="62" t="s">
        <v>1346</v>
      </c>
      <c r="B296" s="62" t="s">
        <v>1463</v>
      </c>
      <c r="C296" s="62" t="s">
        <v>1464</v>
      </c>
      <c r="D296" s="62" t="s">
        <v>1465</v>
      </c>
      <c r="E296" s="62" t="s">
        <v>1466</v>
      </c>
    </row>
    <row r="297" spans="1:5" ht="60" x14ac:dyDescent="0.25">
      <c r="A297" s="62" t="s">
        <v>1467</v>
      </c>
      <c r="B297" s="62" t="s">
        <v>1468</v>
      </c>
      <c r="C297" s="62" t="s">
        <v>1469</v>
      </c>
      <c r="D297" s="62" t="s">
        <v>1470</v>
      </c>
      <c r="E297" s="62" t="s">
        <v>572</v>
      </c>
    </row>
    <row r="298" spans="1:5" ht="45" x14ac:dyDescent="0.25">
      <c r="A298" s="62" t="s">
        <v>1471</v>
      </c>
      <c r="B298" s="62" t="s">
        <v>1472</v>
      </c>
      <c r="C298" s="62" t="s">
        <v>1473</v>
      </c>
      <c r="D298" s="62" t="s">
        <v>1474</v>
      </c>
      <c r="E298" s="62" t="s">
        <v>1475</v>
      </c>
    </row>
    <row r="299" spans="1:5" ht="30" x14ac:dyDescent="0.25">
      <c r="A299" s="62" t="s">
        <v>1476</v>
      </c>
      <c r="B299" s="62" t="s">
        <v>1477</v>
      </c>
      <c r="C299" s="62"/>
      <c r="D299" s="62"/>
      <c r="E299" s="62"/>
    </row>
    <row r="300" spans="1:5" x14ac:dyDescent="0.25">
      <c r="A300" s="62" t="s">
        <v>1478</v>
      </c>
      <c r="B300" s="62" t="s">
        <v>1479</v>
      </c>
      <c r="C300" s="62"/>
      <c r="D300" s="62"/>
      <c r="E300" s="62"/>
    </row>
    <row r="301" spans="1:5" ht="210" x14ac:dyDescent="0.25">
      <c r="A301" s="62" t="s">
        <v>376</v>
      </c>
      <c r="B301" s="62" t="s">
        <v>1480</v>
      </c>
      <c r="C301" s="62" t="s">
        <v>1481</v>
      </c>
      <c r="D301" s="62" t="s">
        <v>1482</v>
      </c>
      <c r="E301" s="62" t="s">
        <v>1483</v>
      </c>
    </row>
    <row r="302" spans="1:5" ht="150" x14ac:dyDescent="0.25">
      <c r="A302" s="62" t="s">
        <v>1484</v>
      </c>
      <c r="B302" s="62" t="s">
        <v>1485</v>
      </c>
      <c r="C302" s="62" t="s">
        <v>1486</v>
      </c>
      <c r="D302" s="62" t="s">
        <v>1487</v>
      </c>
      <c r="E302" s="62" t="s">
        <v>762</v>
      </c>
    </row>
    <row r="303" spans="1:5" ht="90" x14ac:dyDescent="0.25">
      <c r="A303" s="62" t="s">
        <v>1488</v>
      </c>
      <c r="B303" s="62" t="s">
        <v>1489</v>
      </c>
      <c r="C303" s="62" t="s">
        <v>1490</v>
      </c>
      <c r="D303" s="62" t="s">
        <v>1491</v>
      </c>
      <c r="E303" s="62" t="s">
        <v>1492</v>
      </c>
    </row>
    <row r="304" spans="1:5" ht="30" x14ac:dyDescent="0.25">
      <c r="A304" s="62" t="s">
        <v>1493</v>
      </c>
      <c r="B304" s="62" t="s">
        <v>1494</v>
      </c>
      <c r="C304" s="62" t="s">
        <v>1495</v>
      </c>
      <c r="D304" s="62" t="s">
        <v>1496</v>
      </c>
      <c r="E304" s="62"/>
    </row>
    <row r="305" spans="1:5" ht="90" x14ac:dyDescent="0.25">
      <c r="A305" s="62" t="s">
        <v>1497</v>
      </c>
      <c r="B305" s="62" t="s">
        <v>1498</v>
      </c>
      <c r="C305" s="62" t="s">
        <v>1499</v>
      </c>
      <c r="D305" s="62" t="s">
        <v>1500</v>
      </c>
      <c r="E305" s="62" t="s">
        <v>1501</v>
      </c>
    </row>
    <row r="306" spans="1:5" ht="195" x14ac:dyDescent="0.25">
      <c r="A306" s="62" t="s">
        <v>1502</v>
      </c>
      <c r="B306" s="62" t="s">
        <v>1503</v>
      </c>
      <c r="C306" s="62" t="s">
        <v>1504</v>
      </c>
      <c r="D306" s="62" t="s">
        <v>1505</v>
      </c>
      <c r="E306" s="62" t="s">
        <v>1506</v>
      </c>
    </row>
    <row r="307" spans="1:5" ht="60" x14ac:dyDescent="0.25">
      <c r="A307" s="62" t="s">
        <v>1507</v>
      </c>
      <c r="B307" s="62" t="s">
        <v>1508</v>
      </c>
      <c r="C307" s="62" t="s">
        <v>1509</v>
      </c>
      <c r="D307" s="62" t="s">
        <v>1510</v>
      </c>
      <c r="E307" s="62" t="s">
        <v>1511</v>
      </c>
    </row>
    <row r="308" spans="1:5" ht="75" x14ac:dyDescent="0.25">
      <c r="A308" s="62" t="s">
        <v>1512</v>
      </c>
      <c r="B308" s="62" t="s">
        <v>1513</v>
      </c>
      <c r="C308" s="62" t="s">
        <v>1514</v>
      </c>
      <c r="D308" s="62" t="s">
        <v>1515</v>
      </c>
      <c r="E308" s="62" t="s">
        <v>1516</v>
      </c>
    </row>
    <row r="309" spans="1:5" ht="135" x14ac:dyDescent="0.25">
      <c r="A309" s="62" t="s">
        <v>1517</v>
      </c>
      <c r="B309" s="62" t="s">
        <v>1518</v>
      </c>
      <c r="C309" s="62" t="s">
        <v>1519</v>
      </c>
      <c r="D309" s="62" t="s">
        <v>1520</v>
      </c>
      <c r="E309" s="62" t="s">
        <v>1521</v>
      </c>
    </row>
    <row r="310" spans="1:5" ht="75" x14ac:dyDescent="0.25">
      <c r="A310" s="62" t="s">
        <v>1522</v>
      </c>
      <c r="B310" s="62" t="s">
        <v>1523</v>
      </c>
      <c r="C310" s="62" t="s">
        <v>1524</v>
      </c>
      <c r="D310" s="62" t="s">
        <v>1525</v>
      </c>
      <c r="E310" s="62"/>
    </row>
    <row r="311" spans="1:5" ht="360" x14ac:dyDescent="0.25">
      <c r="A311" s="62" t="s">
        <v>1526</v>
      </c>
      <c r="B311" s="62" t="s">
        <v>1527</v>
      </c>
      <c r="C311" s="62" t="s">
        <v>1528</v>
      </c>
      <c r="D311" s="62" t="s">
        <v>1529</v>
      </c>
      <c r="E311" s="62" t="s">
        <v>1530</v>
      </c>
    </row>
    <row r="312" spans="1:5" ht="90" x14ac:dyDescent="0.25">
      <c r="A312" s="62" t="s">
        <v>1531</v>
      </c>
      <c r="B312" s="62" t="s">
        <v>1532</v>
      </c>
      <c r="C312" s="62" t="s">
        <v>1533</v>
      </c>
      <c r="D312" s="62" t="s">
        <v>1534</v>
      </c>
      <c r="E312" s="62" t="s">
        <v>1535</v>
      </c>
    </row>
    <row r="313" spans="1:5" ht="90" x14ac:dyDescent="0.25">
      <c r="A313" s="62" t="s">
        <v>1536</v>
      </c>
      <c r="B313" s="62" t="s">
        <v>1537</v>
      </c>
      <c r="C313" s="62" t="s">
        <v>1538</v>
      </c>
      <c r="D313" s="62" t="s">
        <v>1539</v>
      </c>
      <c r="E313" s="62"/>
    </row>
    <row r="314" spans="1:5" ht="195" x14ac:dyDescent="0.25">
      <c r="A314" s="62" t="s">
        <v>1540</v>
      </c>
      <c r="B314" s="62" t="s">
        <v>1541</v>
      </c>
      <c r="C314" s="62" t="s">
        <v>1542</v>
      </c>
      <c r="D314" s="62" t="s">
        <v>1543</v>
      </c>
      <c r="E314" s="62" t="s">
        <v>1544</v>
      </c>
    </row>
    <row r="315" spans="1:5" ht="75" x14ac:dyDescent="0.25">
      <c r="A315" s="62" t="s">
        <v>1545</v>
      </c>
      <c r="B315" s="62" t="s">
        <v>1546</v>
      </c>
      <c r="C315" s="62" t="s">
        <v>1547</v>
      </c>
      <c r="D315" s="62" t="s">
        <v>1548</v>
      </c>
      <c r="E315" s="62" t="s">
        <v>321</v>
      </c>
    </row>
    <row r="316" spans="1:5" ht="30" x14ac:dyDescent="0.25">
      <c r="A316" s="62" t="s">
        <v>1549</v>
      </c>
      <c r="B316" s="62" t="s">
        <v>1550</v>
      </c>
      <c r="C316" s="62"/>
      <c r="D316" s="62"/>
      <c r="E316" s="62"/>
    </row>
    <row r="317" spans="1:5" ht="60" x14ac:dyDescent="0.25">
      <c r="A317" s="62" t="s">
        <v>1551</v>
      </c>
      <c r="B317" s="62" t="s">
        <v>1552</v>
      </c>
      <c r="C317" s="62" t="s">
        <v>1553</v>
      </c>
      <c r="D317" s="62" t="s">
        <v>1554</v>
      </c>
      <c r="E317" s="62"/>
    </row>
    <row r="318" spans="1:5" ht="120" x14ac:dyDescent="0.25">
      <c r="A318" s="62" t="s">
        <v>1555</v>
      </c>
      <c r="B318" s="62" t="s">
        <v>1556</v>
      </c>
      <c r="C318" s="62" t="s">
        <v>1557</v>
      </c>
      <c r="D318" s="62" t="s">
        <v>1558</v>
      </c>
      <c r="E318" s="62"/>
    </row>
    <row r="319" spans="1:5" ht="90" x14ac:dyDescent="0.25">
      <c r="A319" s="62" t="s">
        <v>1559</v>
      </c>
      <c r="B319" s="62" t="s">
        <v>1560</v>
      </c>
      <c r="C319" s="62" t="s">
        <v>1561</v>
      </c>
      <c r="D319" s="62" t="s">
        <v>1562</v>
      </c>
      <c r="E319" s="62"/>
    </row>
    <row r="320" spans="1:5" ht="45" x14ac:dyDescent="0.25">
      <c r="A320" s="62" t="s">
        <v>1563</v>
      </c>
      <c r="B320" s="62" t="s">
        <v>1564</v>
      </c>
      <c r="C320" s="62" t="s">
        <v>1565</v>
      </c>
      <c r="D320" s="62" t="s">
        <v>1566</v>
      </c>
      <c r="E320" s="62"/>
    </row>
    <row r="321" spans="1:5" ht="375" x14ac:dyDescent="0.25">
      <c r="A321" s="62" t="s">
        <v>1567</v>
      </c>
      <c r="B321" s="62" t="s">
        <v>1568</v>
      </c>
      <c r="C321" s="62" t="s">
        <v>1569</v>
      </c>
      <c r="D321" s="62" t="s">
        <v>1570</v>
      </c>
      <c r="E321" s="62" t="s">
        <v>1571</v>
      </c>
    </row>
    <row r="322" spans="1:5" ht="105" x14ac:dyDescent="0.25">
      <c r="A322" s="62" t="s">
        <v>1572</v>
      </c>
      <c r="B322" s="62" t="s">
        <v>1573</v>
      </c>
      <c r="C322" s="62" t="s">
        <v>1574</v>
      </c>
      <c r="D322" s="62" t="s">
        <v>1575</v>
      </c>
      <c r="E322" s="62"/>
    </row>
    <row r="323" spans="1:5" ht="105" x14ac:dyDescent="0.25">
      <c r="A323" s="62" t="s">
        <v>1576</v>
      </c>
      <c r="B323" s="62" t="s">
        <v>1577</v>
      </c>
      <c r="C323" s="62" t="s">
        <v>1578</v>
      </c>
      <c r="D323" s="62" t="s">
        <v>1579</v>
      </c>
      <c r="E323" s="62" t="s">
        <v>1580</v>
      </c>
    </row>
    <row r="324" spans="1:5" ht="165" x14ac:dyDescent="0.25">
      <c r="A324" s="62" t="s">
        <v>1581</v>
      </c>
      <c r="B324" s="62" t="s">
        <v>1582</v>
      </c>
      <c r="C324" s="62" t="s">
        <v>1583</v>
      </c>
      <c r="D324" s="62" t="s">
        <v>1584</v>
      </c>
      <c r="E324" s="62" t="s">
        <v>1585</v>
      </c>
    </row>
    <row r="325" spans="1:5" ht="135" x14ac:dyDescent="0.25">
      <c r="A325" s="62" t="s">
        <v>1586</v>
      </c>
      <c r="B325" s="62" t="s">
        <v>1587</v>
      </c>
      <c r="C325" s="62" t="s">
        <v>1588</v>
      </c>
      <c r="D325" s="62" t="s">
        <v>1589</v>
      </c>
      <c r="E325" s="62" t="s">
        <v>1590</v>
      </c>
    </row>
    <row r="326" spans="1:5" ht="30" x14ac:dyDescent="0.25">
      <c r="A326" s="62" t="s">
        <v>1591</v>
      </c>
      <c r="B326" s="62" t="s">
        <v>1592</v>
      </c>
      <c r="C326" s="62"/>
      <c r="D326" s="62"/>
      <c r="E326" s="62"/>
    </row>
    <row r="327" spans="1:5" ht="30" x14ac:dyDescent="0.25">
      <c r="A327" s="62" t="s">
        <v>1593</v>
      </c>
      <c r="B327" s="62" t="s">
        <v>1594</v>
      </c>
      <c r="C327" s="62" t="s">
        <v>1595</v>
      </c>
      <c r="D327" s="62" t="s">
        <v>1596</v>
      </c>
      <c r="E327" s="62" t="s">
        <v>1597</v>
      </c>
    </row>
    <row r="328" spans="1:5" ht="45" x14ac:dyDescent="0.25">
      <c r="A328" s="62" t="s">
        <v>1598</v>
      </c>
      <c r="B328" s="62" t="s">
        <v>1599</v>
      </c>
      <c r="C328" s="62" t="s">
        <v>1600</v>
      </c>
      <c r="D328" s="62" t="s">
        <v>1601</v>
      </c>
      <c r="E328" s="62"/>
    </row>
    <row r="329" spans="1:5" ht="135" x14ac:dyDescent="0.25">
      <c r="A329" s="62" t="s">
        <v>1602</v>
      </c>
      <c r="B329" s="62" t="s">
        <v>1603</v>
      </c>
      <c r="C329" s="62" t="s">
        <v>1604</v>
      </c>
      <c r="D329" s="62" t="s">
        <v>1605</v>
      </c>
      <c r="E329" s="62" t="s">
        <v>1606</v>
      </c>
    </row>
    <row r="330" spans="1:5" ht="75" x14ac:dyDescent="0.25">
      <c r="A330" s="62" t="s">
        <v>1607</v>
      </c>
      <c r="B330" s="62" t="s">
        <v>1608</v>
      </c>
      <c r="C330" s="62" t="s">
        <v>1609</v>
      </c>
      <c r="D330" s="62" t="s">
        <v>1610</v>
      </c>
      <c r="E330" s="62"/>
    </row>
    <row r="331" spans="1:5" ht="270" x14ac:dyDescent="0.25">
      <c r="A331" s="62" t="s">
        <v>1611</v>
      </c>
      <c r="B331" s="62" t="s">
        <v>1612</v>
      </c>
      <c r="C331" s="62" t="s">
        <v>1613</v>
      </c>
      <c r="D331" s="62" t="s">
        <v>1614</v>
      </c>
      <c r="E331" s="62" t="s">
        <v>1615</v>
      </c>
    </row>
    <row r="332" spans="1:5" ht="90" x14ac:dyDescent="0.25">
      <c r="A332" s="62" t="s">
        <v>1616</v>
      </c>
      <c r="B332" s="62" t="s">
        <v>1617</v>
      </c>
      <c r="C332" s="62" t="s">
        <v>1618</v>
      </c>
      <c r="D332" s="62" t="s">
        <v>1619</v>
      </c>
      <c r="E332" s="62" t="s">
        <v>1620</v>
      </c>
    </row>
    <row r="333" spans="1:5" ht="270" x14ac:dyDescent="0.25">
      <c r="A333" s="62" t="s">
        <v>1621</v>
      </c>
      <c r="B333" s="62" t="s">
        <v>257</v>
      </c>
      <c r="C333" s="62" t="s">
        <v>1622</v>
      </c>
      <c r="D333" s="62" t="s">
        <v>1623</v>
      </c>
      <c r="E333" s="62" t="s">
        <v>881</v>
      </c>
    </row>
    <row r="334" spans="1:5" ht="405" x14ac:dyDescent="0.25">
      <c r="A334" s="62" t="s">
        <v>1624</v>
      </c>
      <c r="B334" s="62" t="s">
        <v>1625</v>
      </c>
      <c r="C334" s="62" t="s">
        <v>1626</v>
      </c>
      <c r="D334" s="62" t="s">
        <v>1627</v>
      </c>
      <c r="E334" s="62" t="s">
        <v>1628</v>
      </c>
    </row>
    <row r="335" spans="1:5" ht="75" x14ac:dyDescent="0.25">
      <c r="A335" s="62" t="s">
        <v>1629</v>
      </c>
      <c r="B335" s="62" t="s">
        <v>1630</v>
      </c>
      <c r="C335" s="62" t="s">
        <v>1631</v>
      </c>
      <c r="D335" s="62" t="s">
        <v>1632</v>
      </c>
      <c r="E335" s="62"/>
    </row>
    <row r="336" spans="1:5" ht="135" x14ac:dyDescent="0.25">
      <c r="A336" s="62" t="s">
        <v>1633</v>
      </c>
      <c r="B336" s="62" t="s">
        <v>1634</v>
      </c>
      <c r="C336" s="62" t="s">
        <v>1635</v>
      </c>
      <c r="D336" s="62" t="s">
        <v>1636</v>
      </c>
      <c r="E336" s="62" t="s">
        <v>1637</v>
      </c>
    </row>
    <row r="337" spans="1:5" ht="90" x14ac:dyDescent="0.25">
      <c r="A337" s="62" t="s">
        <v>1638</v>
      </c>
      <c r="B337" s="62" t="s">
        <v>1639</v>
      </c>
      <c r="C337" s="62" t="s">
        <v>1640</v>
      </c>
      <c r="D337" s="62" t="s">
        <v>1641</v>
      </c>
      <c r="E337" s="62"/>
    </row>
    <row r="338" spans="1:5" ht="30" x14ac:dyDescent="0.25">
      <c r="A338" s="62" t="s">
        <v>1642</v>
      </c>
      <c r="B338" s="62" t="s">
        <v>1643</v>
      </c>
      <c r="C338" s="62"/>
      <c r="D338" s="62"/>
      <c r="E338" s="62"/>
    </row>
    <row r="339" spans="1:5" ht="75" x14ac:dyDescent="0.25">
      <c r="A339" s="62" t="s">
        <v>1644</v>
      </c>
      <c r="B339" s="62" t="s">
        <v>1645</v>
      </c>
      <c r="C339" s="62" t="s">
        <v>1646</v>
      </c>
      <c r="D339" s="62" t="s">
        <v>1647</v>
      </c>
      <c r="E339" s="62"/>
    </row>
    <row r="340" spans="1:5" ht="75" x14ac:dyDescent="0.25">
      <c r="A340" s="62" t="s">
        <v>1648</v>
      </c>
      <c r="B340" s="62" t="s">
        <v>1649</v>
      </c>
      <c r="C340" s="62" t="s">
        <v>1650</v>
      </c>
      <c r="D340" s="62" t="s">
        <v>1651</v>
      </c>
      <c r="E340" s="62"/>
    </row>
    <row r="341" spans="1:5" ht="90" x14ac:dyDescent="0.25">
      <c r="A341" s="62" t="s">
        <v>1652</v>
      </c>
      <c r="B341" s="62" t="s">
        <v>1653</v>
      </c>
      <c r="C341" s="62" t="s">
        <v>1654</v>
      </c>
      <c r="D341" s="62" t="s">
        <v>1655</v>
      </c>
      <c r="E341" s="62" t="s">
        <v>1656</v>
      </c>
    </row>
    <row r="342" spans="1:5" ht="210" x14ac:dyDescent="0.25">
      <c r="A342" s="62" t="s">
        <v>1657</v>
      </c>
      <c r="B342" s="62" t="s">
        <v>1658</v>
      </c>
      <c r="C342" s="62" t="s">
        <v>1659</v>
      </c>
      <c r="D342" s="62" t="s">
        <v>1660</v>
      </c>
      <c r="E342" s="62" t="s">
        <v>1661</v>
      </c>
    </row>
    <row r="343" spans="1:5" ht="255" x14ac:dyDescent="0.25">
      <c r="A343" s="62" t="s">
        <v>1662</v>
      </c>
      <c r="B343" s="62" t="s">
        <v>1663</v>
      </c>
      <c r="C343" s="62" t="s">
        <v>1664</v>
      </c>
      <c r="D343" s="62" t="s">
        <v>1665</v>
      </c>
      <c r="E343" s="62" t="s">
        <v>1666</v>
      </c>
    </row>
    <row r="344" spans="1:5" ht="60" x14ac:dyDescent="0.25">
      <c r="A344" s="62" t="s">
        <v>1667</v>
      </c>
      <c r="B344" s="62" t="s">
        <v>1668</v>
      </c>
      <c r="C344" s="62" t="s">
        <v>1669</v>
      </c>
      <c r="D344" s="62" t="s">
        <v>1670</v>
      </c>
      <c r="E344" s="62"/>
    </row>
    <row r="345" spans="1:5" ht="75" x14ac:dyDescent="0.25">
      <c r="A345" s="62" t="s">
        <v>1671</v>
      </c>
      <c r="B345" s="62" t="s">
        <v>1672</v>
      </c>
      <c r="C345" s="62" t="s">
        <v>1673</v>
      </c>
      <c r="D345" s="62" t="s">
        <v>1674</v>
      </c>
      <c r="E345" s="62"/>
    </row>
    <row r="346" spans="1:5" ht="105" x14ac:dyDescent="0.25">
      <c r="A346" s="62" t="s">
        <v>1675</v>
      </c>
      <c r="B346" s="62" t="s">
        <v>1676</v>
      </c>
      <c r="C346" s="62" t="s">
        <v>1677</v>
      </c>
      <c r="D346" s="62" t="s">
        <v>1678</v>
      </c>
      <c r="E346" s="62" t="s">
        <v>1679</v>
      </c>
    </row>
    <row r="347" spans="1:5" ht="120" x14ac:dyDescent="0.25">
      <c r="A347" s="62" t="s">
        <v>1680</v>
      </c>
      <c r="B347" s="62" t="s">
        <v>1681</v>
      </c>
      <c r="C347" s="62" t="s">
        <v>1682</v>
      </c>
      <c r="D347" s="62" t="s">
        <v>1683</v>
      </c>
      <c r="E347" s="62" t="s">
        <v>1684</v>
      </c>
    </row>
    <row r="348" spans="1:5" ht="90" x14ac:dyDescent="0.25">
      <c r="A348" s="62" t="s">
        <v>1685</v>
      </c>
      <c r="B348" s="62" t="s">
        <v>1686</v>
      </c>
      <c r="C348" s="62" t="s">
        <v>1687</v>
      </c>
      <c r="D348" s="62" t="s">
        <v>1688</v>
      </c>
      <c r="E348" s="62" t="s">
        <v>1689</v>
      </c>
    </row>
    <row r="349" spans="1:5" ht="60" x14ac:dyDescent="0.25">
      <c r="A349" s="62" t="s">
        <v>1690</v>
      </c>
      <c r="B349" s="62" t="s">
        <v>1691</v>
      </c>
      <c r="C349" s="62" t="s">
        <v>1692</v>
      </c>
      <c r="D349" s="62" t="s">
        <v>1693</v>
      </c>
      <c r="E349" s="62"/>
    </row>
    <row r="350" spans="1:5" ht="105" x14ac:dyDescent="0.25">
      <c r="A350" s="62" t="s">
        <v>1694</v>
      </c>
      <c r="B350" s="62" t="s">
        <v>1695</v>
      </c>
      <c r="C350" s="62" t="s">
        <v>1696</v>
      </c>
      <c r="D350" s="62" t="s">
        <v>1697</v>
      </c>
      <c r="E350" s="62" t="s">
        <v>1698</v>
      </c>
    </row>
    <row r="351" spans="1:5" ht="120" x14ac:dyDescent="0.25">
      <c r="A351" s="62" t="s">
        <v>1699</v>
      </c>
      <c r="B351" s="62" t="s">
        <v>1700</v>
      </c>
      <c r="C351" s="62" t="s">
        <v>1701</v>
      </c>
      <c r="D351" s="62" t="s">
        <v>1702</v>
      </c>
      <c r="E351" s="62"/>
    </row>
    <row r="352" spans="1:5" x14ac:dyDescent="0.25">
      <c r="A352" s="62" t="s">
        <v>1703</v>
      </c>
      <c r="B352" s="62" t="s">
        <v>1704</v>
      </c>
      <c r="C352" s="62"/>
      <c r="D352" s="62"/>
      <c r="E352" s="62"/>
    </row>
    <row r="353" spans="1:5" ht="165" x14ac:dyDescent="0.25">
      <c r="A353" s="62" t="s">
        <v>1705</v>
      </c>
      <c r="B353" s="62" t="s">
        <v>1706</v>
      </c>
      <c r="C353" s="62" t="s">
        <v>1707</v>
      </c>
      <c r="D353" s="62" t="s">
        <v>1708</v>
      </c>
      <c r="E353" s="62" t="s">
        <v>1709</v>
      </c>
    </row>
    <row r="354" spans="1:5" ht="90" x14ac:dyDescent="0.25">
      <c r="A354" s="62" t="s">
        <v>1710</v>
      </c>
      <c r="B354" s="62" t="s">
        <v>1711</v>
      </c>
      <c r="C354" s="62" t="s">
        <v>1712</v>
      </c>
      <c r="D354" s="62" t="s">
        <v>1713</v>
      </c>
      <c r="E354" s="62" t="s">
        <v>913</v>
      </c>
    </row>
    <row r="355" spans="1:5" ht="60" x14ac:dyDescent="0.25">
      <c r="A355" s="62" t="s">
        <v>1714</v>
      </c>
      <c r="B355" s="62" t="s">
        <v>1715</v>
      </c>
      <c r="C355" s="62" t="s">
        <v>1716</v>
      </c>
      <c r="D355" s="62" t="s">
        <v>1717</v>
      </c>
      <c r="E355" s="62"/>
    </row>
    <row r="356" spans="1:5" ht="90" x14ac:dyDescent="0.25">
      <c r="A356" s="62" t="s">
        <v>1718</v>
      </c>
      <c r="B356" s="62" t="s">
        <v>1719</v>
      </c>
      <c r="C356" s="62" t="s">
        <v>1720</v>
      </c>
      <c r="D356" s="62" t="s">
        <v>1721</v>
      </c>
      <c r="E356" s="62" t="s">
        <v>913</v>
      </c>
    </row>
    <row r="357" spans="1:5" ht="180" x14ac:dyDescent="0.25">
      <c r="A357" s="62" t="s">
        <v>1689</v>
      </c>
      <c r="B357" s="62" t="s">
        <v>1722</v>
      </c>
      <c r="C357" s="62" t="s">
        <v>1723</v>
      </c>
      <c r="D357" s="62" t="s">
        <v>1724</v>
      </c>
      <c r="E357" s="62" t="s">
        <v>1725</v>
      </c>
    </row>
    <row r="358" spans="1:5" ht="90" x14ac:dyDescent="0.25">
      <c r="A358" s="62" t="s">
        <v>1726</v>
      </c>
      <c r="B358" s="62" t="s">
        <v>1727</v>
      </c>
      <c r="C358" s="62" t="s">
        <v>1728</v>
      </c>
      <c r="D358" s="62" t="s">
        <v>1729</v>
      </c>
      <c r="E358" s="62" t="s">
        <v>913</v>
      </c>
    </row>
    <row r="359" spans="1:5" ht="45" x14ac:dyDescent="0.25">
      <c r="A359" s="62" t="s">
        <v>1730</v>
      </c>
      <c r="B359" s="62" t="s">
        <v>1731</v>
      </c>
      <c r="C359" s="62" t="s">
        <v>1732</v>
      </c>
      <c r="D359" s="62" t="s">
        <v>1733</v>
      </c>
      <c r="E359" s="62" t="s">
        <v>913</v>
      </c>
    </row>
    <row r="360" spans="1:5" ht="75" x14ac:dyDescent="0.25">
      <c r="A360" s="62" t="s">
        <v>1734</v>
      </c>
      <c r="B360" s="62" t="s">
        <v>1735</v>
      </c>
      <c r="C360" s="62" t="s">
        <v>1736</v>
      </c>
      <c r="D360" s="62" t="s">
        <v>1737</v>
      </c>
      <c r="E360" s="62"/>
    </row>
    <row r="361" spans="1:5" ht="45" x14ac:dyDescent="0.25">
      <c r="A361" s="62" t="s">
        <v>1738</v>
      </c>
      <c r="B361" s="62" t="s">
        <v>1739</v>
      </c>
      <c r="C361" s="62" t="s">
        <v>1740</v>
      </c>
      <c r="D361" s="62" t="s">
        <v>1741</v>
      </c>
      <c r="E361" s="62" t="s">
        <v>1742</v>
      </c>
    </row>
    <row r="362" spans="1:5" ht="30" x14ac:dyDescent="0.25">
      <c r="A362" s="62" t="s">
        <v>1743</v>
      </c>
      <c r="B362" s="62" t="s">
        <v>1744</v>
      </c>
      <c r="C362" s="62"/>
      <c r="D362" s="62"/>
      <c r="E362" s="62"/>
    </row>
    <row r="363" spans="1:5" ht="60" x14ac:dyDescent="0.25">
      <c r="A363" s="62" t="s">
        <v>1745</v>
      </c>
      <c r="B363" s="62" t="s">
        <v>1746</v>
      </c>
      <c r="C363" s="62" t="s">
        <v>1747</v>
      </c>
      <c r="D363" s="62" t="s">
        <v>1748</v>
      </c>
      <c r="E363" s="62"/>
    </row>
    <row r="364" spans="1:5" ht="135" x14ac:dyDescent="0.25">
      <c r="A364" s="62" t="s">
        <v>1749</v>
      </c>
      <c r="B364" s="62" t="s">
        <v>1750</v>
      </c>
      <c r="C364" s="62" t="s">
        <v>1751</v>
      </c>
      <c r="D364" s="62" t="s">
        <v>1752</v>
      </c>
      <c r="E364" s="62" t="s">
        <v>1753</v>
      </c>
    </row>
    <row r="365" spans="1:5" ht="165" x14ac:dyDescent="0.25">
      <c r="A365" s="62" t="s">
        <v>1754</v>
      </c>
      <c r="B365" s="62" t="s">
        <v>1755</v>
      </c>
      <c r="C365" s="62" t="s">
        <v>1756</v>
      </c>
      <c r="D365" s="62" t="s">
        <v>1757</v>
      </c>
      <c r="E365" s="62"/>
    </row>
    <row r="366" spans="1:5" ht="60" x14ac:dyDescent="0.25">
      <c r="A366" s="62" t="s">
        <v>1758</v>
      </c>
      <c r="B366" s="62" t="s">
        <v>1759</v>
      </c>
      <c r="C366" s="62" t="s">
        <v>1760</v>
      </c>
      <c r="D366" s="62" t="s">
        <v>1761</v>
      </c>
      <c r="E366" s="62"/>
    </row>
    <row r="367" spans="1:5" ht="120" x14ac:dyDescent="0.25">
      <c r="A367" s="62" t="s">
        <v>1762</v>
      </c>
      <c r="B367" s="62" t="s">
        <v>1763</v>
      </c>
      <c r="C367" s="62" t="s">
        <v>1764</v>
      </c>
      <c r="D367" s="62" t="s">
        <v>1765</v>
      </c>
      <c r="E367" s="62"/>
    </row>
    <row r="368" spans="1:5" ht="105" x14ac:dyDescent="0.25">
      <c r="A368" s="62" t="s">
        <v>1766</v>
      </c>
      <c r="B368" s="62" t="s">
        <v>1767</v>
      </c>
      <c r="C368" s="62" t="s">
        <v>1768</v>
      </c>
      <c r="D368" s="62" t="s">
        <v>1769</v>
      </c>
      <c r="E368" s="62" t="s">
        <v>1770</v>
      </c>
    </row>
    <row r="369" spans="1:5" ht="60" x14ac:dyDescent="0.25">
      <c r="A369" s="62" t="s">
        <v>1771</v>
      </c>
      <c r="B369" s="62" t="s">
        <v>1772</v>
      </c>
      <c r="C369" s="62" t="s">
        <v>1773</v>
      </c>
      <c r="D369" s="62" t="s">
        <v>1774</v>
      </c>
      <c r="E369" s="62" t="s">
        <v>1662</v>
      </c>
    </row>
    <row r="370" spans="1:5" ht="165" x14ac:dyDescent="0.25">
      <c r="A370" s="62" t="s">
        <v>1775</v>
      </c>
      <c r="B370" s="62" t="s">
        <v>1776</v>
      </c>
      <c r="C370" s="62" t="s">
        <v>1777</v>
      </c>
      <c r="D370" s="62" t="s">
        <v>1778</v>
      </c>
      <c r="E370" s="62" t="s">
        <v>1779</v>
      </c>
    </row>
    <row r="371" spans="1:5" ht="120" x14ac:dyDescent="0.25">
      <c r="A371" s="62" t="s">
        <v>1780</v>
      </c>
      <c r="B371" s="62" t="s">
        <v>1781</v>
      </c>
      <c r="C371" s="62" t="s">
        <v>1782</v>
      </c>
      <c r="D371" s="62" t="s">
        <v>1783</v>
      </c>
      <c r="E371" s="62" t="s">
        <v>1675</v>
      </c>
    </row>
    <row r="372" spans="1:5" ht="90" x14ac:dyDescent="0.25">
      <c r="A372" s="62" t="s">
        <v>1784</v>
      </c>
      <c r="B372" s="62" t="s">
        <v>1785</v>
      </c>
      <c r="C372" s="62" t="s">
        <v>1786</v>
      </c>
      <c r="D372" s="62" t="s">
        <v>1787</v>
      </c>
      <c r="E372" s="62" t="s">
        <v>1675</v>
      </c>
    </row>
    <row r="373" spans="1:5" ht="135" x14ac:dyDescent="0.25">
      <c r="A373" s="62" t="s">
        <v>1788</v>
      </c>
      <c r="B373" s="62" t="s">
        <v>1789</v>
      </c>
      <c r="C373" s="62" t="s">
        <v>1790</v>
      </c>
      <c r="D373" s="62" t="s">
        <v>1791</v>
      </c>
      <c r="E373" s="62" t="s">
        <v>1792</v>
      </c>
    </row>
    <row r="374" spans="1:5" ht="30" x14ac:dyDescent="0.25">
      <c r="A374" s="62" t="s">
        <v>1793</v>
      </c>
      <c r="B374" s="62" t="s">
        <v>1794</v>
      </c>
      <c r="C374" s="62"/>
      <c r="D374" s="62"/>
      <c r="E374" s="62"/>
    </row>
    <row r="375" spans="1:5" ht="45" x14ac:dyDescent="0.25">
      <c r="A375" s="62" t="s">
        <v>1795</v>
      </c>
      <c r="B375" s="62" t="s">
        <v>1796</v>
      </c>
      <c r="C375" s="62" t="s">
        <v>1797</v>
      </c>
      <c r="D375" s="62" t="s">
        <v>1798</v>
      </c>
      <c r="E375" s="62" t="s">
        <v>1799</v>
      </c>
    </row>
    <row r="376" spans="1:5" ht="60" x14ac:dyDescent="0.25">
      <c r="A376" s="62" t="s">
        <v>1800</v>
      </c>
      <c r="B376" s="62" t="s">
        <v>1801</v>
      </c>
      <c r="C376" s="62" t="s">
        <v>1802</v>
      </c>
      <c r="D376" s="62" t="s">
        <v>1803</v>
      </c>
      <c r="E376" s="62" t="s">
        <v>1689</v>
      </c>
    </row>
    <row r="377" spans="1:5" ht="105" x14ac:dyDescent="0.25">
      <c r="A377" s="62" t="s">
        <v>1804</v>
      </c>
      <c r="B377" s="62" t="s">
        <v>1805</v>
      </c>
      <c r="C377" s="62" t="s">
        <v>1806</v>
      </c>
      <c r="D377" s="62" t="s">
        <v>1807</v>
      </c>
      <c r="E377" s="62" t="s">
        <v>1808</v>
      </c>
    </row>
    <row r="378" spans="1:5" ht="105" x14ac:dyDescent="0.25">
      <c r="A378" s="62" t="s">
        <v>1809</v>
      </c>
      <c r="B378" s="62" t="s">
        <v>1810</v>
      </c>
      <c r="C378" s="62" t="s">
        <v>1811</v>
      </c>
      <c r="D378" s="62" t="s">
        <v>1812</v>
      </c>
      <c r="E378" s="62" t="s">
        <v>807</v>
      </c>
    </row>
    <row r="379" spans="1:5" ht="195" x14ac:dyDescent="0.25">
      <c r="A379" s="62" t="s">
        <v>1813</v>
      </c>
      <c r="B379" s="62" t="s">
        <v>1814</v>
      </c>
      <c r="C379" s="62" t="s">
        <v>1815</v>
      </c>
      <c r="D379" s="62" t="s">
        <v>1816</v>
      </c>
      <c r="E379" s="62" t="s">
        <v>1817</v>
      </c>
    </row>
    <row r="380" spans="1:5" ht="30" x14ac:dyDescent="0.25">
      <c r="A380" s="62" t="s">
        <v>1818</v>
      </c>
      <c r="B380" s="62" t="s">
        <v>1819</v>
      </c>
      <c r="C380" s="62"/>
      <c r="D380" s="62"/>
      <c r="E380" s="62"/>
    </row>
    <row r="381" spans="1:5" ht="45" x14ac:dyDescent="0.25">
      <c r="A381" s="62" t="s">
        <v>1820</v>
      </c>
      <c r="B381" s="62" t="s">
        <v>1821</v>
      </c>
      <c r="C381" s="62" t="s">
        <v>1822</v>
      </c>
      <c r="D381" s="62" t="s">
        <v>1823</v>
      </c>
      <c r="E381" s="62"/>
    </row>
    <row r="382" spans="1:5" ht="30" x14ac:dyDescent="0.25">
      <c r="A382" s="62" t="s">
        <v>1824</v>
      </c>
      <c r="B382" s="62" t="s">
        <v>1825</v>
      </c>
      <c r="C382" s="62" t="s">
        <v>1826</v>
      </c>
      <c r="D382" s="62"/>
      <c r="E382" s="62"/>
    </row>
    <row r="383" spans="1:5" ht="45" x14ac:dyDescent="0.25">
      <c r="A383" s="62" t="s">
        <v>1827</v>
      </c>
      <c r="B383" s="62" t="s">
        <v>1828</v>
      </c>
      <c r="C383" s="62" t="s">
        <v>1829</v>
      </c>
      <c r="D383" s="62" t="s">
        <v>1830</v>
      </c>
      <c r="E383" s="62" t="s">
        <v>1831</v>
      </c>
    </row>
    <row r="384" spans="1:5" ht="30" x14ac:dyDescent="0.25">
      <c r="A384" s="62" t="s">
        <v>1832</v>
      </c>
      <c r="B384" s="62" t="s">
        <v>1833</v>
      </c>
      <c r="C384" s="62"/>
      <c r="D384" s="62"/>
      <c r="E384" s="62"/>
    </row>
    <row r="385" spans="1:5" ht="60" x14ac:dyDescent="0.25">
      <c r="A385" s="62" t="s">
        <v>1834</v>
      </c>
      <c r="B385" s="62" t="s">
        <v>1835</v>
      </c>
      <c r="C385" s="62" t="s">
        <v>1836</v>
      </c>
      <c r="D385" s="62" t="s">
        <v>1837</v>
      </c>
      <c r="E385" s="62" t="s">
        <v>1838</v>
      </c>
    </row>
    <row r="386" spans="1:5" ht="90" x14ac:dyDescent="0.25">
      <c r="A386" s="62" t="s">
        <v>1839</v>
      </c>
      <c r="B386" s="62" t="s">
        <v>1840</v>
      </c>
      <c r="C386" s="62" t="s">
        <v>1841</v>
      </c>
      <c r="D386" s="62" t="s">
        <v>1842</v>
      </c>
      <c r="E386" s="62" t="s">
        <v>1843</v>
      </c>
    </row>
    <row r="387" spans="1:5" ht="120" x14ac:dyDescent="0.25">
      <c r="A387" s="62" t="s">
        <v>1844</v>
      </c>
      <c r="B387" s="62" t="s">
        <v>1845</v>
      </c>
      <c r="C387" s="62" t="s">
        <v>1846</v>
      </c>
      <c r="D387" s="62" t="s">
        <v>1847</v>
      </c>
      <c r="E387" s="62" t="s">
        <v>1848</v>
      </c>
    </row>
    <row r="388" spans="1:5" ht="195" x14ac:dyDescent="0.25">
      <c r="A388" s="62" t="s">
        <v>1849</v>
      </c>
      <c r="B388" s="62" t="s">
        <v>1850</v>
      </c>
      <c r="C388" s="62" t="s">
        <v>1851</v>
      </c>
      <c r="D388" s="62" t="s">
        <v>1852</v>
      </c>
      <c r="E388" s="62" t="s">
        <v>1853</v>
      </c>
    </row>
    <row r="389" spans="1:5" ht="285" x14ac:dyDescent="0.25">
      <c r="A389" s="62" t="s">
        <v>1854</v>
      </c>
      <c r="B389" s="62" t="s">
        <v>257</v>
      </c>
      <c r="C389" s="62" t="s">
        <v>1855</v>
      </c>
      <c r="D389" s="62" t="s">
        <v>1856</v>
      </c>
      <c r="E389" s="62" t="s">
        <v>1857</v>
      </c>
    </row>
    <row r="390" spans="1:5" ht="360" x14ac:dyDescent="0.25">
      <c r="A390" s="62" t="s">
        <v>1858</v>
      </c>
      <c r="B390" s="62" t="s">
        <v>1859</v>
      </c>
      <c r="C390" s="62" t="s">
        <v>1860</v>
      </c>
      <c r="D390" s="62" t="s">
        <v>1861</v>
      </c>
      <c r="E390" s="62" t="s">
        <v>1862</v>
      </c>
    </row>
    <row r="391" spans="1:5" ht="210" x14ac:dyDescent="0.25">
      <c r="A391" s="62" t="s">
        <v>1863</v>
      </c>
      <c r="B391" s="62" t="s">
        <v>1864</v>
      </c>
      <c r="C391" s="62" t="s">
        <v>1865</v>
      </c>
      <c r="D391" s="62" t="s">
        <v>1866</v>
      </c>
      <c r="E391" s="62" t="s">
        <v>1597</v>
      </c>
    </row>
    <row r="392" spans="1:5" ht="210" x14ac:dyDescent="0.25">
      <c r="A392" s="62" t="s">
        <v>1867</v>
      </c>
      <c r="B392" s="62" t="s">
        <v>1868</v>
      </c>
      <c r="C392" s="62" t="s">
        <v>1869</v>
      </c>
      <c r="D392" s="62" t="s">
        <v>1870</v>
      </c>
      <c r="E392" s="62" t="s">
        <v>528</v>
      </c>
    </row>
    <row r="393" spans="1:5" ht="30" x14ac:dyDescent="0.25">
      <c r="A393" s="62" t="s">
        <v>1871</v>
      </c>
      <c r="B393" s="62" t="s">
        <v>1872</v>
      </c>
      <c r="C393" s="62"/>
      <c r="D393" s="62"/>
      <c r="E393" s="62"/>
    </row>
    <row r="394" spans="1:5" ht="30" x14ac:dyDescent="0.25">
      <c r="A394" s="62" t="s">
        <v>1873</v>
      </c>
      <c r="B394" s="62" t="s">
        <v>1874</v>
      </c>
      <c r="C394" s="62"/>
      <c r="D394" s="62"/>
      <c r="E394" s="62"/>
    </row>
    <row r="395" spans="1:5" ht="45" x14ac:dyDescent="0.25">
      <c r="A395" s="62" t="s">
        <v>1875</v>
      </c>
      <c r="B395" s="62" t="s">
        <v>1876</v>
      </c>
      <c r="C395" s="62" t="s">
        <v>1877</v>
      </c>
      <c r="D395" s="62" t="s">
        <v>1878</v>
      </c>
      <c r="E395" s="62"/>
    </row>
    <row r="396" spans="1:5" ht="105" x14ac:dyDescent="0.25">
      <c r="A396" s="62" t="s">
        <v>1879</v>
      </c>
      <c r="B396" s="62" t="s">
        <v>1880</v>
      </c>
      <c r="C396" s="62" t="s">
        <v>1881</v>
      </c>
      <c r="D396" s="62" t="s">
        <v>1882</v>
      </c>
      <c r="E396" s="62" t="s">
        <v>533</v>
      </c>
    </row>
    <row r="397" spans="1:5" ht="45" x14ac:dyDescent="0.25">
      <c r="A397" s="62" t="s">
        <v>1883</v>
      </c>
      <c r="B397" s="62" t="s">
        <v>1884</v>
      </c>
      <c r="C397" s="62"/>
      <c r="D397" s="62"/>
      <c r="E397" s="62"/>
    </row>
    <row r="398" spans="1:5" ht="60" x14ac:dyDescent="0.25">
      <c r="A398" s="62" t="s">
        <v>1885</v>
      </c>
      <c r="B398" s="62" t="s">
        <v>1886</v>
      </c>
      <c r="C398" s="62" t="s">
        <v>1887</v>
      </c>
      <c r="D398" s="62" t="s">
        <v>1888</v>
      </c>
      <c r="E398" s="62"/>
    </row>
    <row r="399" spans="1:5" ht="45" x14ac:dyDescent="0.25">
      <c r="A399" s="62" t="s">
        <v>1889</v>
      </c>
      <c r="B399" s="62" t="s">
        <v>1890</v>
      </c>
      <c r="C399" s="62"/>
      <c r="D399" s="62"/>
      <c r="E399" s="62"/>
    </row>
    <row r="400" spans="1:5" ht="105" x14ac:dyDescent="0.25">
      <c r="A400" s="62" t="s">
        <v>1891</v>
      </c>
      <c r="B400" s="62" t="s">
        <v>1892</v>
      </c>
      <c r="C400" s="62" t="s">
        <v>1893</v>
      </c>
      <c r="D400" s="62" t="s">
        <v>1894</v>
      </c>
      <c r="E400" s="62"/>
    </row>
    <row r="401" spans="1:5" ht="30" x14ac:dyDescent="0.25">
      <c r="A401" s="62" t="s">
        <v>1895</v>
      </c>
      <c r="B401" s="62" t="s">
        <v>1896</v>
      </c>
      <c r="C401" s="62"/>
      <c r="D401" s="62"/>
      <c r="E401" s="62"/>
    </row>
    <row r="402" spans="1:5" ht="105" x14ac:dyDescent="0.25">
      <c r="A402" s="62" t="s">
        <v>1897</v>
      </c>
      <c r="B402" s="62" t="s">
        <v>1898</v>
      </c>
      <c r="C402" s="62" t="s">
        <v>1899</v>
      </c>
      <c r="D402" s="62" t="s">
        <v>1900</v>
      </c>
      <c r="E402" s="62"/>
    </row>
    <row r="403" spans="1:5" ht="210" x14ac:dyDescent="0.25">
      <c r="A403" s="62" t="s">
        <v>1901</v>
      </c>
      <c r="B403" s="62" t="s">
        <v>1902</v>
      </c>
      <c r="C403" s="62" t="s">
        <v>1903</v>
      </c>
      <c r="D403" s="62" t="s">
        <v>1904</v>
      </c>
      <c r="E403" s="62" t="s">
        <v>1905</v>
      </c>
    </row>
    <row r="404" spans="1:5" ht="210" x14ac:dyDescent="0.25">
      <c r="A404" s="62" t="s">
        <v>601</v>
      </c>
      <c r="B404" s="62" t="s">
        <v>1906</v>
      </c>
      <c r="C404" s="62" t="s">
        <v>1907</v>
      </c>
      <c r="D404" s="62" t="s">
        <v>1908</v>
      </c>
      <c r="E404" s="62" t="s">
        <v>1909</v>
      </c>
    </row>
    <row r="405" spans="1:5" ht="90" x14ac:dyDescent="0.25">
      <c r="A405" s="62" t="s">
        <v>1910</v>
      </c>
      <c r="B405" s="62" t="s">
        <v>1911</v>
      </c>
      <c r="C405" s="62" t="s">
        <v>1912</v>
      </c>
      <c r="D405" s="62" t="s">
        <v>1913</v>
      </c>
      <c r="E405" s="62" t="s">
        <v>732</v>
      </c>
    </row>
    <row r="406" spans="1:5" ht="30" x14ac:dyDescent="0.25">
      <c r="A406" s="62" t="s">
        <v>1914</v>
      </c>
      <c r="B406" s="62" t="s">
        <v>1915</v>
      </c>
      <c r="C406" s="62"/>
      <c r="D406" s="62"/>
      <c r="E406" s="62"/>
    </row>
    <row r="407" spans="1:5" ht="60" x14ac:dyDescent="0.25">
      <c r="A407" s="62" t="s">
        <v>1916</v>
      </c>
      <c r="B407" s="62" t="s">
        <v>1917</v>
      </c>
      <c r="C407" s="62" t="s">
        <v>1918</v>
      </c>
      <c r="D407" s="62" t="s">
        <v>1919</v>
      </c>
      <c r="E407" s="62" t="s">
        <v>954</v>
      </c>
    </row>
    <row r="408" spans="1:5" ht="90" x14ac:dyDescent="0.25">
      <c r="A408" s="62" t="s">
        <v>1920</v>
      </c>
      <c r="B408" s="62" t="s">
        <v>1921</v>
      </c>
      <c r="C408" s="62" t="s">
        <v>1922</v>
      </c>
      <c r="D408" s="62" t="s">
        <v>1923</v>
      </c>
      <c r="E408" s="62" t="s">
        <v>1924</v>
      </c>
    </row>
    <row r="409" spans="1:5" ht="135" x14ac:dyDescent="0.25">
      <c r="A409" s="62" t="s">
        <v>1925</v>
      </c>
      <c r="B409" s="62" t="s">
        <v>1926</v>
      </c>
      <c r="C409" s="62" t="s">
        <v>1927</v>
      </c>
      <c r="D409" s="62" t="s">
        <v>1928</v>
      </c>
      <c r="E409" s="62" t="s">
        <v>1929</v>
      </c>
    </row>
    <row r="410" spans="1:5" ht="120" x14ac:dyDescent="0.25">
      <c r="A410" s="62" t="s">
        <v>1930</v>
      </c>
      <c r="B410" s="62" t="s">
        <v>1931</v>
      </c>
      <c r="C410" s="62" t="s">
        <v>1932</v>
      </c>
      <c r="D410" s="62" t="s">
        <v>1933</v>
      </c>
      <c r="E410" s="62" t="s">
        <v>1934</v>
      </c>
    </row>
    <row r="411" spans="1:5" x14ac:dyDescent="0.25">
      <c r="A411" s="62" t="s">
        <v>1935</v>
      </c>
      <c r="B411" s="62" t="s">
        <v>1936</v>
      </c>
      <c r="C411" s="62"/>
      <c r="D411" s="62"/>
      <c r="E411" s="62"/>
    </row>
    <row r="412" spans="1:5" ht="30" x14ac:dyDescent="0.25">
      <c r="A412" s="62" t="s">
        <v>1937</v>
      </c>
      <c r="B412" s="62" t="s">
        <v>1938</v>
      </c>
      <c r="C412" s="62"/>
      <c r="D412" s="62"/>
      <c r="E412" s="62"/>
    </row>
    <row r="413" spans="1:5" ht="90" x14ac:dyDescent="0.25">
      <c r="A413" s="62" t="s">
        <v>1939</v>
      </c>
      <c r="B413" s="62" t="s">
        <v>1940</v>
      </c>
      <c r="C413" s="62" t="s">
        <v>1941</v>
      </c>
      <c r="D413" s="62" t="s">
        <v>1942</v>
      </c>
      <c r="E413" s="62"/>
    </row>
    <row r="414" spans="1:5" ht="90" x14ac:dyDescent="0.25">
      <c r="A414" s="62" t="s">
        <v>1943</v>
      </c>
      <c r="B414" s="62" t="s">
        <v>1944</v>
      </c>
      <c r="C414" s="62" t="s">
        <v>1945</v>
      </c>
      <c r="D414" s="62" t="s">
        <v>1946</v>
      </c>
      <c r="E414" s="62" t="s">
        <v>292</v>
      </c>
    </row>
    <row r="415" spans="1:5" ht="45" x14ac:dyDescent="0.25">
      <c r="A415" s="62" t="s">
        <v>1947</v>
      </c>
      <c r="B415" s="62" t="s">
        <v>1948</v>
      </c>
      <c r="C415" s="62" t="s">
        <v>1949</v>
      </c>
      <c r="D415" s="62" t="s">
        <v>1950</v>
      </c>
      <c r="E415" s="62" t="s">
        <v>1951</v>
      </c>
    </row>
    <row r="416" spans="1:5" x14ac:dyDescent="0.25">
      <c r="A416" s="62" t="s">
        <v>1952</v>
      </c>
      <c r="B416" s="62" t="s">
        <v>1953</v>
      </c>
      <c r="C416" s="62"/>
      <c r="D416" s="62"/>
      <c r="E416" s="62"/>
    </row>
    <row r="417" spans="1:5" ht="120" x14ac:dyDescent="0.25">
      <c r="A417" s="62" t="s">
        <v>1954</v>
      </c>
      <c r="B417" s="62" t="s">
        <v>1955</v>
      </c>
      <c r="C417" s="62" t="s">
        <v>1956</v>
      </c>
      <c r="D417" s="62" t="s">
        <v>1957</v>
      </c>
      <c r="E417" s="62" t="s">
        <v>1958</v>
      </c>
    </row>
    <row r="418" spans="1:5" ht="45" x14ac:dyDescent="0.25">
      <c r="A418" s="62" t="s">
        <v>1959</v>
      </c>
      <c r="B418" s="62" t="s">
        <v>1960</v>
      </c>
      <c r="C418" s="62" t="s">
        <v>1961</v>
      </c>
      <c r="D418" s="62" t="s">
        <v>1962</v>
      </c>
      <c r="E418" s="62"/>
    </row>
    <row r="419" spans="1:5" ht="315" x14ac:dyDescent="0.25">
      <c r="A419" s="62" t="s">
        <v>1958</v>
      </c>
      <c r="B419" s="62" t="s">
        <v>1963</v>
      </c>
      <c r="C419" s="62" t="s">
        <v>1964</v>
      </c>
      <c r="D419" s="62" t="s">
        <v>1965</v>
      </c>
      <c r="E419" s="62" t="s">
        <v>1966</v>
      </c>
    </row>
    <row r="420" spans="1:5" ht="240" x14ac:dyDescent="0.25">
      <c r="A420" s="62" t="s">
        <v>1967</v>
      </c>
      <c r="B420" s="62" t="s">
        <v>1968</v>
      </c>
      <c r="C420" s="62" t="s">
        <v>1969</v>
      </c>
      <c r="D420" s="62" t="s">
        <v>1970</v>
      </c>
      <c r="E420" s="62" t="s">
        <v>1971</v>
      </c>
    </row>
    <row r="421" spans="1:5" ht="120" x14ac:dyDescent="0.25">
      <c r="A421" s="62" t="s">
        <v>1972</v>
      </c>
      <c r="B421" s="62" t="s">
        <v>1973</v>
      </c>
      <c r="C421" s="62" t="s">
        <v>1974</v>
      </c>
      <c r="D421" s="62" t="s">
        <v>1975</v>
      </c>
      <c r="E421" s="62" t="s">
        <v>1976</v>
      </c>
    </row>
    <row r="422" spans="1:5" ht="30" x14ac:dyDescent="0.25">
      <c r="A422" s="62" t="s">
        <v>1977</v>
      </c>
      <c r="B422" s="62" t="s">
        <v>1978</v>
      </c>
      <c r="C422" s="62"/>
      <c r="D422" s="62"/>
      <c r="E422" s="62"/>
    </row>
    <row r="423" spans="1:5" ht="30" x14ac:dyDescent="0.25">
      <c r="A423" s="62" t="s">
        <v>1979</v>
      </c>
      <c r="B423" s="62" t="s">
        <v>1980</v>
      </c>
      <c r="C423" s="62"/>
      <c r="D423" s="62"/>
      <c r="E423" s="62"/>
    </row>
    <row r="424" spans="1:5" ht="120" x14ac:dyDescent="0.25">
      <c r="A424" s="62" t="s">
        <v>1981</v>
      </c>
      <c r="B424" s="62" t="s">
        <v>1982</v>
      </c>
      <c r="C424" s="62" t="s">
        <v>1983</v>
      </c>
      <c r="D424" s="62" t="s">
        <v>1984</v>
      </c>
      <c r="E424" s="62"/>
    </row>
    <row r="425" spans="1:5" ht="75" x14ac:dyDescent="0.25">
      <c r="A425" s="62" t="s">
        <v>1985</v>
      </c>
      <c r="B425" s="62" t="s">
        <v>1986</v>
      </c>
      <c r="C425" s="62" t="s">
        <v>1987</v>
      </c>
      <c r="D425" s="62" t="s">
        <v>1988</v>
      </c>
      <c r="E425" s="62" t="s">
        <v>1989</v>
      </c>
    </row>
    <row r="426" spans="1:5" ht="75" x14ac:dyDescent="0.25">
      <c r="A426" s="62" t="s">
        <v>1990</v>
      </c>
      <c r="B426" s="62" t="s">
        <v>1991</v>
      </c>
      <c r="C426" s="62" t="s">
        <v>1992</v>
      </c>
      <c r="D426" s="62" t="s">
        <v>1993</v>
      </c>
      <c r="E426" s="62"/>
    </row>
    <row r="427" spans="1:5" ht="105" x14ac:dyDescent="0.25">
      <c r="A427" s="62" t="s">
        <v>1994</v>
      </c>
      <c r="B427" s="62" t="s">
        <v>1995</v>
      </c>
      <c r="C427" s="62" t="s">
        <v>1996</v>
      </c>
      <c r="D427" s="62" t="s">
        <v>1997</v>
      </c>
      <c r="E427" s="62" t="s">
        <v>1998</v>
      </c>
    </row>
    <row r="428" spans="1:5" ht="60" x14ac:dyDescent="0.25">
      <c r="A428" s="62" t="s">
        <v>1999</v>
      </c>
      <c r="B428" s="62" t="s">
        <v>2000</v>
      </c>
      <c r="C428" s="62" t="s">
        <v>2001</v>
      </c>
      <c r="D428" s="62" t="s">
        <v>2002</v>
      </c>
      <c r="E428" s="62" t="s">
        <v>2003</v>
      </c>
    </row>
    <row r="429" spans="1:5" ht="195" x14ac:dyDescent="0.25">
      <c r="A429" s="62" t="s">
        <v>2004</v>
      </c>
      <c r="B429" s="62" t="s">
        <v>2005</v>
      </c>
      <c r="C429" s="62" t="s">
        <v>2006</v>
      </c>
      <c r="D429" s="62" t="s">
        <v>2007</v>
      </c>
      <c r="E429" s="62" t="s">
        <v>2008</v>
      </c>
    </row>
    <row r="430" spans="1:5" ht="30" x14ac:dyDescent="0.25">
      <c r="A430" s="62" t="s">
        <v>2009</v>
      </c>
      <c r="B430" s="62" t="s">
        <v>2010</v>
      </c>
      <c r="C430" s="62"/>
      <c r="D430" s="62"/>
      <c r="E430" s="62"/>
    </row>
    <row r="431" spans="1:5" ht="120" x14ac:dyDescent="0.25">
      <c r="A431" s="62" t="s">
        <v>2011</v>
      </c>
      <c r="B431" s="62" t="s">
        <v>2012</v>
      </c>
      <c r="C431" s="62" t="s">
        <v>2013</v>
      </c>
      <c r="D431" s="62" t="s">
        <v>2014</v>
      </c>
      <c r="E431" s="62" t="s">
        <v>585</v>
      </c>
    </row>
    <row r="432" spans="1:5" ht="45" x14ac:dyDescent="0.25">
      <c r="A432" s="62" t="s">
        <v>2015</v>
      </c>
      <c r="B432" s="62" t="s">
        <v>2016</v>
      </c>
      <c r="C432" s="62" t="s">
        <v>2017</v>
      </c>
      <c r="D432" s="62" t="s">
        <v>2018</v>
      </c>
      <c r="E432" s="62"/>
    </row>
    <row r="433" spans="1:5" ht="45" x14ac:dyDescent="0.25">
      <c r="A433" s="62" t="s">
        <v>2019</v>
      </c>
      <c r="B433" s="62" t="s">
        <v>2020</v>
      </c>
      <c r="C433" s="62" t="s">
        <v>2021</v>
      </c>
      <c r="D433" s="62" t="s">
        <v>2022</v>
      </c>
      <c r="E433" s="62"/>
    </row>
    <row r="434" spans="1:5" ht="90" x14ac:dyDescent="0.25">
      <c r="A434" s="62" t="s">
        <v>2023</v>
      </c>
      <c r="B434" s="62" t="s">
        <v>2024</v>
      </c>
      <c r="C434" s="62" t="s">
        <v>2025</v>
      </c>
      <c r="D434" s="62" t="s">
        <v>2026</v>
      </c>
      <c r="E434" s="62"/>
    </row>
    <row r="435" spans="1:5" ht="60" x14ac:dyDescent="0.25">
      <c r="A435" s="62" t="s">
        <v>2027</v>
      </c>
      <c r="B435" s="62" t="s">
        <v>2028</v>
      </c>
      <c r="C435" s="62" t="s">
        <v>2029</v>
      </c>
      <c r="D435" s="62" t="s">
        <v>2030</v>
      </c>
      <c r="E435" s="62" t="s">
        <v>2031</v>
      </c>
    </row>
    <row r="436" spans="1:5" ht="105" x14ac:dyDescent="0.25">
      <c r="A436" s="62" t="s">
        <v>2032</v>
      </c>
      <c r="B436" s="62" t="s">
        <v>2033</v>
      </c>
      <c r="C436" s="62" t="s">
        <v>2034</v>
      </c>
      <c r="D436" s="62" t="s">
        <v>2035</v>
      </c>
      <c r="E436" s="62" t="s">
        <v>585</v>
      </c>
    </row>
    <row r="437" spans="1:5" ht="120" x14ac:dyDescent="0.25">
      <c r="A437" s="62" t="s">
        <v>2036</v>
      </c>
      <c r="B437" s="62" t="s">
        <v>2037</v>
      </c>
      <c r="C437" s="62" t="s">
        <v>2038</v>
      </c>
      <c r="D437" s="62" t="s">
        <v>2039</v>
      </c>
      <c r="E437" s="62"/>
    </row>
    <row r="438" spans="1:5" ht="150" x14ac:dyDescent="0.25">
      <c r="A438" s="62" t="s">
        <v>1971</v>
      </c>
      <c r="B438" s="62" t="s">
        <v>2040</v>
      </c>
      <c r="C438" s="62" t="s">
        <v>2041</v>
      </c>
      <c r="D438" s="62" t="s">
        <v>2042</v>
      </c>
      <c r="E438" s="62" t="s">
        <v>321</v>
      </c>
    </row>
    <row r="439" spans="1:5" ht="45" x14ac:dyDescent="0.25">
      <c r="A439" s="62" t="s">
        <v>2043</v>
      </c>
      <c r="B439" s="62" t="s">
        <v>2044</v>
      </c>
      <c r="C439" s="62" t="s">
        <v>2045</v>
      </c>
      <c r="D439" s="62" t="s">
        <v>2046</v>
      </c>
      <c r="E439" s="62" t="s">
        <v>2047</v>
      </c>
    </row>
    <row r="440" spans="1:5" ht="135" x14ac:dyDescent="0.25">
      <c r="A440" s="62" t="s">
        <v>2048</v>
      </c>
      <c r="B440" s="62" t="s">
        <v>2049</v>
      </c>
      <c r="C440" s="62" t="s">
        <v>2050</v>
      </c>
      <c r="D440" s="62" t="s">
        <v>2051</v>
      </c>
      <c r="E440" s="62" t="s">
        <v>2052</v>
      </c>
    </row>
    <row r="441" spans="1:5" ht="75" x14ac:dyDescent="0.25">
      <c r="A441" s="62" t="s">
        <v>2053</v>
      </c>
      <c r="B441" s="62" t="s">
        <v>2054</v>
      </c>
      <c r="C441" s="62" t="s">
        <v>2055</v>
      </c>
      <c r="D441" s="62" t="s">
        <v>2056</v>
      </c>
      <c r="E441" s="62" t="s">
        <v>2057</v>
      </c>
    </row>
    <row r="442" spans="1:5" ht="120" x14ac:dyDescent="0.25">
      <c r="A442" s="62" t="s">
        <v>2058</v>
      </c>
      <c r="B442" s="62" t="s">
        <v>2059</v>
      </c>
      <c r="C442" s="62" t="s">
        <v>2060</v>
      </c>
      <c r="D442" s="62" t="s">
        <v>2061</v>
      </c>
      <c r="E442" s="62"/>
    </row>
    <row r="443" spans="1:5" ht="30" x14ac:dyDescent="0.25">
      <c r="A443" s="62" t="s">
        <v>2062</v>
      </c>
      <c r="B443" s="62" t="s">
        <v>2063</v>
      </c>
      <c r="C443" s="62"/>
      <c r="D443" s="62"/>
      <c r="E443" s="62"/>
    </row>
    <row r="444" spans="1:5" ht="90" x14ac:dyDescent="0.25">
      <c r="A444" s="62" t="s">
        <v>2064</v>
      </c>
      <c r="B444" s="62" t="s">
        <v>2065</v>
      </c>
      <c r="C444" s="62" t="s">
        <v>2066</v>
      </c>
      <c r="D444" s="62" t="s">
        <v>2067</v>
      </c>
      <c r="E444" s="62"/>
    </row>
    <row r="445" spans="1:5" ht="195" x14ac:dyDescent="0.25">
      <c r="A445" s="62" t="s">
        <v>2068</v>
      </c>
      <c r="B445" s="62" t="s">
        <v>2069</v>
      </c>
      <c r="C445" s="62" t="s">
        <v>2070</v>
      </c>
      <c r="D445" s="62" t="s">
        <v>2071</v>
      </c>
      <c r="E445" s="62"/>
    </row>
    <row r="446" spans="1:5" ht="60" x14ac:dyDescent="0.25">
      <c r="A446" s="62" t="s">
        <v>2072</v>
      </c>
      <c r="B446" s="62" t="s">
        <v>2073</v>
      </c>
      <c r="C446" s="62" t="s">
        <v>2074</v>
      </c>
      <c r="D446" s="62" t="s">
        <v>2075</v>
      </c>
      <c r="E446" s="62"/>
    </row>
    <row r="447" spans="1:5" ht="135" x14ac:dyDescent="0.25">
      <c r="A447" s="62" t="s">
        <v>2076</v>
      </c>
      <c r="B447" s="62" t="s">
        <v>2077</v>
      </c>
      <c r="C447" s="62" t="s">
        <v>2078</v>
      </c>
      <c r="D447" s="62" t="s">
        <v>2079</v>
      </c>
      <c r="E447" s="62" t="s">
        <v>2080</v>
      </c>
    </row>
    <row r="448" spans="1:5" ht="30" x14ac:dyDescent="0.25">
      <c r="A448" s="62" t="s">
        <v>2081</v>
      </c>
      <c r="B448" s="62" t="s">
        <v>2082</v>
      </c>
      <c r="C448" s="62"/>
      <c r="D448" s="62"/>
      <c r="E448" s="62"/>
    </row>
    <row r="449" spans="1:5" ht="30" x14ac:dyDescent="0.25">
      <c r="A449" s="62" t="s">
        <v>2083</v>
      </c>
      <c r="B449" s="62" t="s">
        <v>2084</v>
      </c>
      <c r="C449" s="62"/>
      <c r="D449" s="62"/>
      <c r="E449" s="62"/>
    </row>
    <row r="450" spans="1:5" ht="195" x14ac:dyDescent="0.25">
      <c r="A450" s="62" t="s">
        <v>2085</v>
      </c>
      <c r="B450" s="62" t="s">
        <v>2086</v>
      </c>
      <c r="C450" s="62" t="s">
        <v>2087</v>
      </c>
      <c r="D450" s="62" t="s">
        <v>2088</v>
      </c>
      <c r="E450" s="62" t="s">
        <v>2089</v>
      </c>
    </row>
    <row r="451" spans="1:5" ht="75" x14ac:dyDescent="0.25">
      <c r="A451" s="62" t="s">
        <v>2090</v>
      </c>
      <c r="B451" s="62" t="s">
        <v>2091</v>
      </c>
      <c r="C451" s="62" t="s">
        <v>2092</v>
      </c>
      <c r="D451" s="62" t="s">
        <v>2093</v>
      </c>
      <c r="E451" s="62" t="s">
        <v>2094</v>
      </c>
    </row>
    <row r="452" spans="1:5" ht="120" x14ac:dyDescent="0.25">
      <c r="A452" s="62" t="s">
        <v>2031</v>
      </c>
      <c r="B452" s="62" t="s">
        <v>2095</v>
      </c>
      <c r="C452" s="62" t="s">
        <v>2096</v>
      </c>
      <c r="D452" s="62" t="s">
        <v>2097</v>
      </c>
      <c r="E452" s="62" t="s">
        <v>2098</v>
      </c>
    </row>
    <row r="453" spans="1:5" ht="75" x14ac:dyDescent="0.25">
      <c r="A453" s="62" t="s">
        <v>2099</v>
      </c>
      <c r="B453" s="62" t="s">
        <v>2100</v>
      </c>
      <c r="C453" s="62" t="s">
        <v>2101</v>
      </c>
      <c r="D453" s="62" t="s">
        <v>2102</v>
      </c>
      <c r="E453" s="62"/>
    </row>
    <row r="454" spans="1:5" ht="75" x14ac:dyDescent="0.25">
      <c r="A454" s="62" t="s">
        <v>2103</v>
      </c>
      <c r="B454" s="62" t="s">
        <v>2104</v>
      </c>
      <c r="C454" s="62" t="s">
        <v>2105</v>
      </c>
      <c r="D454" s="62" t="s">
        <v>2106</v>
      </c>
      <c r="E454" s="62"/>
    </row>
    <row r="455" spans="1:5" ht="120" x14ac:dyDescent="0.25">
      <c r="A455" s="62" t="s">
        <v>2107</v>
      </c>
      <c r="B455" s="62" t="s">
        <v>2108</v>
      </c>
      <c r="C455" s="62" t="s">
        <v>2109</v>
      </c>
      <c r="D455" s="62" t="s">
        <v>2110</v>
      </c>
      <c r="E455" s="62"/>
    </row>
    <row r="456" spans="1:5" ht="60" x14ac:dyDescent="0.25">
      <c r="A456" s="62" t="s">
        <v>2111</v>
      </c>
      <c r="B456" s="62" t="s">
        <v>2112</v>
      </c>
      <c r="C456" s="62" t="s">
        <v>2113</v>
      </c>
      <c r="D456" s="62" t="s">
        <v>2114</v>
      </c>
      <c r="E456" s="62"/>
    </row>
    <row r="457" spans="1:5" ht="120" x14ac:dyDescent="0.25">
      <c r="A457" s="62" t="s">
        <v>2115</v>
      </c>
      <c r="B457" s="62" t="s">
        <v>2116</v>
      </c>
      <c r="C457" s="62" t="s">
        <v>2117</v>
      </c>
      <c r="D457" s="62" t="s">
        <v>2118</v>
      </c>
      <c r="E457" s="62" t="s">
        <v>2031</v>
      </c>
    </row>
    <row r="458" spans="1:5" ht="90" x14ac:dyDescent="0.25">
      <c r="A458" s="62" t="s">
        <v>2119</v>
      </c>
      <c r="B458" s="62" t="s">
        <v>2120</v>
      </c>
      <c r="C458" s="62" t="s">
        <v>2121</v>
      </c>
      <c r="D458" s="62" t="s">
        <v>2122</v>
      </c>
      <c r="E458" s="62" t="s">
        <v>2123</v>
      </c>
    </row>
    <row r="459" spans="1:5" ht="270" x14ac:dyDescent="0.25">
      <c r="A459" s="62" t="s">
        <v>2124</v>
      </c>
      <c r="B459" s="62" t="s">
        <v>257</v>
      </c>
      <c r="C459" s="62" t="s">
        <v>2125</v>
      </c>
      <c r="D459" s="62" t="s">
        <v>2126</v>
      </c>
      <c r="E459" s="62" t="s">
        <v>881</v>
      </c>
    </row>
    <row r="460" spans="1:5" ht="195" x14ac:dyDescent="0.25">
      <c r="A460" s="62" t="s">
        <v>2127</v>
      </c>
      <c r="B460" s="62" t="s">
        <v>2128</v>
      </c>
      <c r="C460" s="62" t="s">
        <v>2129</v>
      </c>
      <c r="D460" s="62" t="s">
        <v>2130</v>
      </c>
      <c r="E460" s="62" t="s">
        <v>2131</v>
      </c>
    </row>
    <row r="461" spans="1:5" ht="75" x14ac:dyDescent="0.25">
      <c r="A461" s="62" t="s">
        <v>2132</v>
      </c>
      <c r="B461" s="62" t="s">
        <v>2133</v>
      </c>
      <c r="C461" s="62" t="s">
        <v>2134</v>
      </c>
      <c r="D461" s="62" t="s">
        <v>2135</v>
      </c>
      <c r="E461" s="62"/>
    </row>
    <row r="462" spans="1:5" ht="60" x14ac:dyDescent="0.25">
      <c r="A462" s="62" t="s">
        <v>2136</v>
      </c>
      <c r="B462" s="62" t="s">
        <v>2137</v>
      </c>
      <c r="C462" s="62" t="s">
        <v>2138</v>
      </c>
      <c r="D462" s="62" t="s">
        <v>2139</v>
      </c>
      <c r="E462" s="62"/>
    </row>
    <row r="463" spans="1:5" ht="135" x14ac:dyDescent="0.25">
      <c r="A463" s="62" t="s">
        <v>2140</v>
      </c>
      <c r="B463" s="62" t="s">
        <v>2141</v>
      </c>
      <c r="C463" s="62" t="s">
        <v>2142</v>
      </c>
      <c r="D463" s="62" t="s">
        <v>2143</v>
      </c>
      <c r="E463" s="62"/>
    </row>
    <row r="464" spans="1:5" ht="105" x14ac:dyDescent="0.25">
      <c r="A464" s="62" t="s">
        <v>2144</v>
      </c>
      <c r="B464" s="62" t="s">
        <v>2145</v>
      </c>
      <c r="C464" s="62" t="s">
        <v>2146</v>
      </c>
      <c r="D464" s="62" t="s">
        <v>2147</v>
      </c>
      <c r="E464" s="62" t="s">
        <v>2148</v>
      </c>
    </row>
    <row r="465" spans="1:5" ht="60" x14ac:dyDescent="0.25">
      <c r="A465" s="62" t="s">
        <v>2149</v>
      </c>
      <c r="B465" s="62" t="s">
        <v>2150</v>
      </c>
      <c r="C465" s="62" t="s">
        <v>2151</v>
      </c>
      <c r="D465" s="62" t="s">
        <v>2152</v>
      </c>
      <c r="E465" s="62"/>
    </row>
    <row r="466" spans="1:5" ht="45" x14ac:dyDescent="0.25">
      <c r="A466" s="62" t="s">
        <v>2153</v>
      </c>
      <c r="B466" s="62" t="s">
        <v>2154</v>
      </c>
      <c r="C466" s="62" t="s">
        <v>2155</v>
      </c>
      <c r="D466" s="62" t="s">
        <v>2156</v>
      </c>
      <c r="E466" s="62"/>
    </row>
    <row r="467" spans="1:5" ht="75" x14ac:dyDescent="0.25">
      <c r="A467" s="62" t="s">
        <v>2157</v>
      </c>
      <c r="B467" s="62" t="s">
        <v>2158</v>
      </c>
      <c r="C467" s="62" t="s">
        <v>2159</v>
      </c>
      <c r="D467" s="62" t="s">
        <v>2160</v>
      </c>
      <c r="E467" s="62"/>
    </row>
    <row r="468" spans="1:5" ht="300" x14ac:dyDescent="0.25">
      <c r="A468" s="62" t="s">
        <v>2161</v>
      </c>
      <c r="B468" s="62" t="s">
        <v>2162</v>
      </c>
      <c r="C468" s="62" t="s">
        <v>2163</v>
      </c>
      <c r="D468" s="62" t="s">
        <v>2164</v>
      </c>
      <c r="E468" s="62" t="s">
        <v>2165</v>
      </c>
    </row>
    <row r="469" spans="1:5" ht="45" x14ac:dyDescent="0.25">
      <c r="A469" s="62" t="s">
        <v>2166</v>
      </c>
      <c r="B469" s="62" t="s">
        <v>2167</v>
      </c>
      <c r="C469" s="62" t="s">
        <v>2168</v>
      </c>
      <c r="D469" s="62" t="s">
        <v>2169</v>
      </c>
      <c r="E469" s="62"/>
    </row>
    <row r="470" spans="1:5" ht="120" x14ac:dyDescent="0.25">
      <c r="A470" s="62" t="s">
        <v>2170</v>
      </c>
      <c r="B470" s="62" t="s">
        <v>2171</v>
      </c>
      <c r="C470" s="62" t="s">
        <v>2172</v>
      </c>
      <c r="D470" s="62" t="s">
        <v>2173</v>
      </c>
      <c r="E470" s="62" t="s">
        <v>2174</v>
      </c>
    </row>
    <row r="471" spans="1:5" ht="120" x14ac:dyDescent="0.25">
      <c r="A471" s="62" t="s">
        <v>2175</v>
      </c>
      <c r="B471" s="62" t="s">
        <v>2176</v>
      </c>
      <c r="C471" s="62" t="s">
        <v>2177</v>
      </c>
      <c r="D471" s="62" t="s">
        <v>2178</v>
      </c>
      <c r="E471" s="62"/>
    </row>
    <row r="472" spans="1:5" ht="45" x14ac:dyDescent="0.25">
      <c r="A472" s="62" t="s">
        <v>2179</v>
      </c>
      <c r="B472" s="62" t="s">
        <v>2180</v>
      </c>
      <c r="C472" s="62" t="s">
        <v>2181</v>
      </c>
      <c r="D472" s="62" t="s">
        <v>2182</v>
      </c>
      <c r="E472" s="62"/>
    </row>
    <row r="473" spans="1:5" ht="90" x14ac:dyDescent="0.25">
      <c r="A473" s="62" t="s">
        <v>2183</v>
      </c>
      <c r="B473" s="62" t="s">
        <v>2184</v>
      </c>
      <c r="C473" s="62" t="s">
        <v>2185</v>
      </c>
      <c r="D473" s="62" t="s">
        <v>2186</v>
      </c>
      <c r="E473" s="62"/>
    </row>
    <row r="474" spans="1:5" ht="45" x14ac:dyDescent="0.25">
      <c r="A474" s="62" t="s">
        <v>2187</v>
      </c>
      <c r="B474" s="62" t="s">
        <v>2188</v>
      </c>
      <c r="C474" s="62" t="s">
        <v>2189</v>
      </c>
      <c r="D474" s="62" t="s">
        <v>2190</v>
      </c>
      <c r="E474" s="62"/>
    </row>
    <row r="475" spans="1:5" ht="105" x14ac:dyDescent="0.25">
      <c r="A475" s="62" t="s">
        <v>2191</v>
      </c>
      <c r="B475" s="62" t="s">
        <v>2192</v>
      </c>
      <c r="C475" s="62" t="s">
        <v>2193</v>
      </c>
      <c r="D475" s="62" t="s">
        <v>2194</v>
      </c>
      <c r="E475" s="62"/>
    </row>
    <row r="476" spans="1:5" ht="90" x14ac:dyDescent="0.25">
      <c r="A476" s="62" t="s">
        <v>2195</v>
      </c>
      <c r="B476" s="62" t="s">
        <v>2196</v>
      </c>
      <c r="C476" s="62" t="s">
        <v>2197</v>
      </c>
      <c r="D476" s="62" t="s">
        <v>2198</v>
      </c>
      <c r="E476" s="62" t="s">
        <v>2199</v>
      </c>
    </row>
    <row r="477" spans="1:5" ht="60" x14ac:dyDescent="0.25">
      <c r="A477" s="62" t="s">
        <v>2200</v>
      </c>
      <c r="B477" s="62" t="s">
        <v>2201</v>
      </c>
      <c r="C477" s="62" t="s">
        <v>2202</v>
      </c>
      <c r="D477" s="62" t="s">
        <v>2203</v>
      </c>
      <c r="E477" s="62"/>
    </row>
    <row r="478" spans="1:5" ht="135" x14ac:dyDescent="0.25">
      <c r="A478" s="62" t="s">
        <v>2204</v>
      </c>
      <c r="B478" s="62" t="s">
        <v>2205</v>
      </c>
      <c r="C478" s="62" t="s">
        <v>2206</v>
      </c>
      <c r="D478" s="62" t="s">
        <v>2207</v>
      </c>
      <c r="E478" s="62" t="s">
        <v>2208</v>
      </c>
    </row>
    <row r="479" spans="1:5" ht="330" x14ac:dyDescent="0.25">
      <c r="A479" s="62" t="s">
        <v>2209</v>
      </c>
      <c r="B479" s="62" t="s">
        <v>2210</v>
      </c>
      <c r="C479" s="62" t="s">
        <v>2211</v>
      </c>
      <c r="D479" s="62" t="s">
        <v>2212</v>
      </c>
      <c r="E479" s="62" t="s">
        <v>914</v>
      </c>
    </row>
    <row r="480" spans="1:5" ht="75" x14ac:dyDescent="0.25">
      <c r="A480" s="62" t="s">
        <v>2213</v>
      </c>
      <c r="B480" s="62" t="s">
        <v>2214</v>
      </c>
      <c r="C480" s="62" t="s">
        <v>2215</v>
      </c>
      <c r="D480" s="62" t="s">
        <v>2216</v>
      </c>
      <c r="E480" s="62"/>
    </row>
    <row r="481" spans="1:5" ht="105" x14ac:dyDescent="0.25">
      <c r="A481" s="62" t="s">
        <v>2217</v>
      </c>
      <c r="B481" s="62" t="s">
        <v>2218</v>
      </c>
      <c r="C481" s="62" t="s">
        <v>2219</v>
      </c>
      <c r="D481" s="62" t="s">
        <v>2220</v>
      </c>
      <c r="E481" s="62"/>
    </row>
    <row r="482" spans="1:5" ht="225" x14ac:dyDescent="0.25">
      <c r="A482" s="62" t="s">
        <v>2221</v>
      </c>
      <c r="B482" s="62" t="s">
        <v>2222</v>
      </c>
      <c r="C482" s="62" t="s">
        <v>2223</v>
      </c>
      <c r="D482" s="62" t="s">
        <v>2224</v>
      </c>
      <c r="E482" s="62"/>
    </row>
    <row r="483" spans="1:5" ht="105" x14ac:dyDescent="0.25">
      <c r="A483" s="62" t="s">
        <v>2225</v>
      </c>
      <c r="B483" s="62" t="s">
        <v>2226</v>
      </c>
      <c r="C483" s="62" t="s">
        <v>2227</v>
      </c>
      <c r="D483" s="62" t="s">
        <v>2228</v>
      </c>
      <c r="E483" s="62"/>
    </row>
    <row r="484" spans="1:5" ht="105" x14ac:dyDescent="0.25">
      <c r="A484" s="62" t="s">
        <v>2229</v>
      </c>
      <c r="B484" s="62" t="s">
        <v>2230</v>
      </c>
      <c r="C484" s="62" t="s">
        <v>2231</v>
      </c>
      <c r="D484" s="62" t="s">
        <v>2232</v>
      </c>
      <c r="E484" s="62" t="s">
        <v>2233</v>
      </c>
    </row>
    <row r="485" spans="1:5" ht="45" x14ac:dyDescent="0.25">
      <c r="A485" s="62" t="s">
        <v>2234</v>
      </c>
      <c r="B485" s="62" t="s">
        <v>2235</v>
      </c>
      <c r="C485" s="62" t="s">
        <v>2236</v>
      </c>
      <c r="D485" s="62" t="s">
        <v>2237</v>
      </c>
      <c r="E485" s="62" t="s">
        <v>2238</v>
      </c>
    </row>
    <row r="486" spans="1:5" ht="75" x14ac:dyDescent="0.25">
      <c r="A486" s="62" t="s">
        <v>2239</v>
      </c>
      <c r="B486" s="62" t="s">
        <v>2240</v>
      </c>
      <c r="C486" s="62" t="s">
        <v>2241</v>
      </c>
      <c r="D486" s="62" t="s">
        <v>2242</v>
      </c>
      <c r="E486" s="62" t="s">
        <v>2243</v>
      </c>
    </row>
    <row r="487" spans="1:5" ht="45" x14ac:dyDescent="0.25">
      <c r="A487" s="62" t="s">
        <v>2244</v>
      </c>
      <c r="B487" s="62" t="s">
        <v>2245</v>
      </c>
      <c r="C487" s="62" t="s">
        <v>2246</v>
      </c>
      <c r="D487" s="62" t="s">
        <v>2247</v>
      </c>
      <c r="E487" s="62" t="s">
        <v>2248</v>
      </c>
    </row>
    <row r="488" spans="1:5" ht="75" x14ac:dyDescent="0.25">
      <c r="A488" s="62" t="s">
        <v>2249</v>
      </c>
      <c r="B488" s="62" t="s">
        <v>2250</v>
      </c>
      <c r="C488" s="62" t="s">
        <v>2251</v>
      </c>
      <c r="D488" s="62" t="s">
        <v>2252</v>
      </c>
      <c r="E488" s="62"/>
    </row>
    <row r="489" spans="1:5" ht="135" x14ac:dyDescent="0.25">
      <c r="A489" s="62" t="s">
        <v>2253</v>
      </c>
      <c r="B489" s="62" t="s">
        <v>2254</v>
      </c>
      <c r="C489" s="62" t="s">
        <v>2255</v>
      </c>
      <c r="D489" s="62" t="s">
        <v>2256</v>
      </c>
      <c r="E489" s="62" t="s">
        <v>2257</v>
      </c>
    </row>
    <row r="490" spans="1:5" ht="45" x14ac:dyDescent="0.25">
      <c r="A490" s="62" t="s">
        <v>2248</v>
      </c>
      <c r="B490" s="62" t="s">
        <v>2258</v>
      </c>
      <c r="C490" s="62" t="s">
        <v>2259</v>
      </c>
      <c r="D490" s="62" t="s">
        <v>2260</v>
      </c>
      <c r="E490" s="62" t="s">
        <v>2261</v>
      </c>
    </row>
    <row r="491" spans="1:5" ht="75" x14ac:dyDescent="0.25">
      <c r="A491" s="62" t="s">
        <v>2262</v>
      </c>
      <c r="B491" s="62" t="s">
        <v>2263</v>
      </c>
      <c r="C491" s="62" t="s">
        <v>2264</v>
      </c>
      <c r="D491" s="62" t="s">
        <v>2265</v>
      </c>
      <c r="E491" s="62"/>
    </row>
    <row r="492" spans="1:5" ht="90" x14ac:dyDescent="0.25">
      <c r="A492" s="62" t="s">
        <v>2266</v>
      </c>
      <c r="B492" s="62" t="s">
        <v>2267</v>
      </c>
      <c r="C492" s="62" t="s">
        <v>2268</v>
      </c>
      <c r="D492" s="62" t="s">
        <v>2269</v>
      </c>
      <c r="E492" s="62"/>
    </row>
    <row r="493" spans="1:5" ht="405" x14ac:dyDescent="0.25">
      <c r="A493" s="62" t="s">
        <v>2270</v>
      </c>
      <c r="B493" s="62" t="s">
        <v>2271</v>
      </c>
      <c r="C493" s="62" t="s">
        <v>2272</v>
      </c>
      <c r="D493" s="62" t="s">
        <v>2273</v>
      </c>
      <c r="E493" s="62" t="s">
        <v>2274</v>
      </c>
    </row>
    <row r="494" spans="1:5" ht="120" x14ac:dyDescent="0.25">
      <c r="A494" s="62" t="s">
        <v>2275</v>
      </c>
      <c r="B494" s="62" t="s">
        <v>2276</v>
      </c>
      <c r="C494" s="62" t="s">
        <v>2277</v>
      </c>
      <c r="D494" s="62" t="s">
        <v>2278</v>
      </c>
      <c r="E494" s="62" t="s">
        <v>2279</v>
      </c>
    </row>
    <row r="495" spans="1:5" ht="180" x14ac:dyDescent="0.25">
      <c r="A495" s="62" t="s">
        <v>2280</v>
      </c>
      <c r="B495" s="62" t="s">
        <v>2281</v>
      </c>
      <c r="C495" s="62" t="s">
        <v>2282</v>
      </c>
      <c r="D495" s="62" t="s">
        <v>2283</v>
      </c>
      <c r="E495" s="62" t="s">
        <v>2284</v>
      </c>
    </row>
    <row r="496" spans="1:5" ht="30" x14ac:dyDescent="0.25">
      <c r="A496" s="62" t="s">
        <v>2285</v>
      </c>
      <c r="B496" s="62" t="s">
        <v>2286</v>
      </c>
      <c r="C496" s="62"/>
      <c r="D496" s="62"/>
      <c r="E496" s="62"/>
    </row>
    <row r="497" spans="1:5" ht="60" x14ac:dyDescent="0.25">
      <c r="A497" s="62" t="s">
        <v>2287</v>
      </c>
      <c r="B497" s="62" t="s">
        <v>2288</v>
      </c>
      <c r="C497" s="62" t="s">
        <v>2289</v>
      </c>
      <c r="D497" s="62" t="s">
        <v>2290</v>
      </c>
      <c r="E497" s="62" t="s">
        <v>2291</v>
      </c>
    </row>
    <row r="498" spans="1:5" ht="60" x14ac:dyDescent="0.25">
      <c r="A498" s="62" t="s">
        <v>2292</v>
      </c>
      <c r="B498" s="62" t="s">
        <v>2293</v>
      </c>
      <c r="C498" s="62" t="s">
        <v>2294</v>
      </c>
      <c r="D498" s="62" t="s">
        <v>2295</v>
      </c>
      <c r="E498" s="62"/>
    </row>
    <row r="499" spans="1:5" ht="60" x14ac:dyDescent="0.25">
      <c r="A499" s="62" t="s">
        <v>2296</v>
      </c>
      <c r="B499" s="62" t="s">
        <v>2297</v>
      </c>
      <c r="C499" s="62" t="s">
        <v>2298</v>
      </c>
      <c r="D499" s="62" t="s">
        <v>2299</v>
      </c>
      <c r="E499" s="62"/>
    </row>
    <row r="500" spans="1:5" x14ac:dyDescent="0.25">
      <c r="A500" s="62" t="s">
        <v>2300</v>
      </c>
      <c r="B500" s="62" t="s">
        <v>2301</v>
      </c>
      <c r="C500" s="62"/>
      <c r="D500" s="62"/>
      <c r="E500" s="62"/>
    </row>
    <row r="501" spans="1:5" ht="270" x14ac:dyDescent="0.25">
      <c r="A501" s="62" t="s">
        <v>2302</v>
      </c>
      <c r="B501" s="62" t="s">
        <v>257</v>
      </c>
      <c r="C501" s="62" t="s">
        <v>2303</v>
      </c>
      <c r="D501" s="62" t="s">
        <v>2304</v>
      </c>
      <c r="E501" s="62" t="s">
        <v>881</v>
      </c>
    </row>
    <row r="502" spans="1:5" ht="240" x14ac:dyDescent="0.25">
      <c r="A502" s="62" t="s">
        <v>2305</v>
      </c>
      <c r="B502" s="62" t="s">
        <v>2306</v>
      </c>
      <c r="C502" s="62" t="s">
        <v>2307</v>
      </c>
      <c r="D502" s="62" t="s">
        <v>2308</v>
      </c>
      <c r="E502" s="62" t="s">
        <v>2309</v>
      </c>
    </row>
    <row r="503" spans="1:5" x14ac:dyDescent="0.25">
      <c r="A503" s="62" t="s">
        <v>2310</v>
      </c>
      <c r="B503" s="62" t="s">
        <v>2311</v>
      </c>
      <c r="C503" s="62"/>
      <c r="D503" s="62"/>
      <c r="E503" s="62"/>
    </row>
    <row r="504" spans="1:5" ht="60" x14ac:dyDescent="0.25">
      <c r="A504" s="62" t="s">
        <v>2312</v>
      </c>
      <c r="B504" s="62" t="s">
        <v>2313</v>
      </c>
      <c r="C504" s="62" t="s">
        <v>2314</v>
      </c>
      <c r="D504" s="62" t="s">
        <v>2315</v>
      </c>
      <c r="E504" s="62" t="s">
        <v>2316</v>
      </c>
    </row>
    <row r="505" spans="1:5" ht="240" x14ac:dyDescent="0.25">
      <c r="A505" s="62" t="s">
        <v>2316</v>
      </c>
      <c r="B505" s="62" t="s">
        <v>2317</v>
      </c>
      <c r="C505" s="62" t="s">
        <v>2318</v>
      </c>
      <c r="D505" s="62" t="s">
        <v>2319</v>
      </c>
      <c r="E505" s="62" t="s">
        <v>2320</v>
      </c>
    </row>
    <row r="506" spans="1:5" ht="75" x14ac:dyDescent="0.25">
      <c r="A506" s="62" t="s">
        <v>2321</v>
      </c>
      <c r="B506" s="62" t="s">
        <v>2322</v>
      </c>
      <c r="C506" s="62" t="s">
        <v>2323</v>
      </c>
      <c r="D506" s="62" t="s">
        <v>2324</v>
      </c>
      <c r="E506" s="62" t="s">
        <v>1585</v>
      </c>
    </row>
    <row r="507" spans="1:5" ht="45" x14ac:dyDescent="0.25">
      <c r="A507" s="62" t="s">
        <v>2325</v>
      </c>
      <c r="B507" s="62" t="s">
        <v>2326</v>
      </c>
      <c r="C507" s="62" t="s">
        <v>2327</v>
      </c>
      <c r="D507" s="62" t="s">
        <v>2328</v>
      </c>
      <c r="E507" s="62" t="s">
        <v>459</v>
      </c>
    </row>
    <row r="508" spans="1:5" ht="105" x14ac:dyDescent="0.25">
      <c r="A508" s="62" t="s">
        <v>2329</v>
      </c>
      <c r="B508" s="62" t="s">
        <v>2330</v>
      </c>
      <c r="C508" s="62" t="s">
        <v>2331</v>
      </c>
      <c r="D508" s="62" t="s">
        <v>2332</v>
      </c>
      <c r="E508" s="62" t="s">
        <v>498</v>
      </c>
    </row>
    <row r="509" spans="1:5" ht="30" x14ac:dyDescent="0.25">
      <c r="A509" s="62" t="s">
        <v>2333</v>
      </c>
      <c r="B509" s="62" t="s">
        <v>2334</v>
      </c>
      <c r="C509" s="62" t="s">
        <v>2335</v>
      </c>
      <c r="D509" s="62" t="s">
        <v>2336</v>
      </c>
      <c r="E509" s="62" t="s">
        <v>2337</v>
      </c>
    </row>
    <row r="510" spans="1:5" ht="45" x14ac:dyDescent="0.25">
      <c r="A510" s="62" t="s">
        <v>2338</v>
      </c>
      <c r="B510" s="62" t="s">
        <v>2339</v>
      </c>
      <c r="C510" s="62" t="s">
        <v>2340</v>
      </c>
      <c r="D510" s="62" t="s">
        <v>2341</v>
      </c>
      <c r="E510" s="62" t="s">
        <v>2342</v>
      </c>
    </row>
    <row r="511" spans="1:5" ht="30" x14ac:dyDescent="0.25">
      <c r="A511" s="62" t="s">
        <v>2343</v>
      </c>
      <c r="B511" s="62" t="s">
        <v>2344</v>
      </c>
      <c r="C511" s="62" t="s">
        <v>2345</v>
      </c>
      <c r="D511" s="62" t="s">
        <v>2346</v>
      </c>
      <c r="E511" s="62" t="s">
        <v>2342</v>
      </c>
    </row>
    <row r="512" spans="1:5" ht="165" x14ac:dyDescent="0.25">
      <c r="A512" s="62" t="s">
        <v>2347</v>
      </c>
      <c r="B512" s="62" t="s">
        <v>2348</v>
      </c>
      <c r="C512" s="62" t="s">
        <v>2349</v>
      </c>
      <c r="D512" s="62" t="s">
        <v>2350</v>
      </c>
      <c r="E512" s="62" t="s">
        <v>2351</v>
      </c>
    </row>
    <row r="513" spans="1:5" ht="60" x14ac:dyDescent="0.25">
      <c r="A513" s="62" t="s">
        <v>2352</v>
      </c>
      <c r="B513" s="62" t="s">
        <v>2353</v>
      </c>
      <c r="C513" s="62" t="s">
        <v>2354</v>
      </c>
      <c r="D513" s="62" t="s">
        <v>2355</v>
      </c>
      <c r="E513" s="62" t="s">
        <v>2356</v>
      </c>
    </row>
    <row r="514" spans="1:5" ht="30" x14ac:dyDescent="0.25">
      <c r="A514" s="62" t="s">
        <v>2357</v>
      </c>
      <c r="B514" s="62" t="s">
        <v>2358</v>
      </c>
      <c r="C514" s="62" t="s">
        <v>2359</v>
      </c>
      <c r="D514" s="62"/>
      <c r="E514" s="62"/>
    </row>
    <row r="515" spans="1:5" ht="105" x14ac:dyDescent="0.25">
      <c r="A515" s="62" t="s">
        <v>2360</v>
      </c>
      <c r="B515" s="62" t="s">
        <v>2361</v>
      </c>
      <c r="C515" s="62" t="s">
        <v>2362</v>
      </c>
      <c r="D515" s="62" t="s">
        <v>2363</v>
      </c>
      <c r="E515" s="62" t="s">
        <v>2364</v>
      </c>
    </row>
    <row r="516" spans="1:5" ht="105" x14ac:dyDescent="0.25">
      <c r="A516" s="62" t="s">
        <v>2365</v>
      </c>
      <c r="B516" s="62" t="s">
        <v>2366</v>
      </c>
      <c r="C516" s="62" t="s">
        <v>2367</v>
      </c>
      <c r="D516" s="62" t="s">
        <v>2368</v>
      </c>
      <c r="E516" s="62"/>
    </row>
    <row r="517" spans="1:5" ht="60" x14ac:dyDescent="0.25">
      <c r="A517" s="62" t="s">
        <v>2369</v>
      </c>
      <c r="B517" s="62" t="s">
        <v>2370</v>
      </c>
      <c r="C517" s="62" t="s">
        <v>2371</v>
      </c>
      <c r="D517" s="62" t="s">
        <v>2372</v>
      </c>
      <c r="E517" s="62"/>
    </row>
    <row r="518" spans="1:5" ht="90" x14ac:dyDescent="0.25">
      <c r="A518" s="62" t="s">
        <v>2373</v>
      </c>
      <c r="B518" s="62" t="s">
        <v>2374</v>
      </c>
      <c r="C518" s="62" t="s">
        <v>2375</v>
      </c>
      <c r="D518" s="62" t="s">
        <v>2376</v>
      </c>
      <c r="E518" s="62" t="s">
        <v>732</v>
      </c>
    </row>
    <row r="519" spans="1:5" ht="45" x14ac:dyDescent="0.25">
      <c r="A519" s="62" t="s">
        <v>2377</v>
      </c>
      <c r="B519" s="62" t="s">
        <v>2378</v>
      </c>
      <c r="C519" s="62" t="s">
        <v>2379</v>
      </c>
      <c r="D519" s="62" t="s">
        <v>2380</v>
      </c>
      <c r="E519" s="62" t="s">
        <v>645</v>
      </c>
    </row>
    <row r="520" spans="1:5" ht="180" x14ac:dyDescent="0.25">
      <c r="A520" s="62" t="s">
        <v>2381</v>
      </c>
      <c r="B520" s="62" t="s">
        <v>2382</v>
      </c>
      <c r="C520" s="62" t="s">
        <v>2383</v>
      </c>
      <c r="D520" s="62" t="s">
        <v>2384</v>
      </c>
      <c r="E520" s="62" t="s">
        <v>2385</v>
      </c>
    </row>
    <row r="521" spans="1:5" ht="225" x14ac:dyDescent="0.25">
      <c r="A521" s="62" t="s">
        <v>2386</v>
      </c>
      <c r="B521" s="62" t="s">
        <v>2387</v>
      </c>
      <c r="C521" s="62" t="s">
        <v>2388</v>
      </c>
      <c r="D521" s="62" t="s">
        <v>2389</v>
      </c>
      <c r="E521" s="62" t="s">
        <v>2390</v>
      </c>
    </row>
    <row r="522" spans="1:5" ht="75" x14ac:dyDescent="0.25">
      <c r="A522" s="62" t="s">
        <v>2391</v>
      </c>
      <c r="B522" s="62" t="s">
        <v>2392</v>
      </c>
      <c r="C522" s="62" t="s">
        <v>2393</v>
      </c>
      <c r="D522" s="62" t="s">
        <v>2394</v>
      </c>
      <c r="E522" s="62" t="s">
        <v>2395</v>
      </c>
    </row>
    <row r="523" spans="1:5" ht="60" x14ac:dyDescent="0.25">
      <c r="A523" s="62" t="s">
        <v>2396</v>
      </c>
      <c r="B523" s="62" t="s">
        <v>2397</v>
      </c>
      <c r="C523" s="62" t="s">
        <v>2398</v>
      </c>
      <c r="D523" s="62" t="s">
        <v>2399</v>
      </c>
      <c r="E523" s="62" t="s">
        <v>2395</v>
      </c>
    </row>
    <row r="524" spans="1:5" ht="120" x14ac:dyDescent="0.25">
      <c r="A524" s="62" t="s">
        <v>2400</v>
      </c>
      <c r="B524" s="62" t="s">
        <v>2401</v>
      </c>
      <c r="C524" s="62" t="s">
        <v>2402</v>
      </c>
      <c r="D524" s="62" t="s">
        <v>2403</v>
      </c>
      <c r="E524" s="62" t="s">
        <v>2395</v>
      </c>
    </row>
    <row r="525" spans="1:5" ht="45" x14ac:dyDescent="0.25">
      <c r="A525" s="62" t="s">
        <v>2404</v>
      </c>
      <c r="B525" s="62" t="s">
        <v>2405</v>
      </c>
      <c r="C525" s="62" t="s">
        <v>2406</v>
      </c>
      <c r="D525" s="62" t="s">
        <v>2407</v>
      </c>
      <c r="E525" s="62"/>
    </row>
    <row r="526" spans="1:5" ht="60" x14ac:dyDescent="0.25">
      <c r="A526" s="62" t="s">
        <v>2408</v>
      </c>
      <c r="B526" s="62" t="s">
        <v>2409</v>
      </c>
      <c r="C526" s="62" t="s">
        <v>2410</v>
      </c>
      <c r="D526" s="62" t="s">
        <v>2411</v>
      </c>
      <c r="E526" s="62" t="s">
        <v>2412</v>
      </c>
    </row>
    <row r="527" spans="1:5" ht="180" x14ac:dyDescent="0.25">
      <c r="A527" s="62" t="s">
        <v>2413</v>
      </c>
      <c r="B527" s="62" t="s">
        <v>2414</v>
      </c>
      <c r="C527" s="62" t="s">
        <v>2415</v>
      </c>
      <c r="D527" s="62" t="s">
        <v>2416</v>
      </c>
      <c r="E527" s="62"/>
    </row>
    <row r="528" spans="1:5" ht="165" x14ac:dyDescent="0.25">
      <c r="A528" s="62" t="s">
        <v>2417</v>
      </c>
      <c r="B528" s="62" t="s">
        <v>2418</v>
      </c>
      <c r="C528" s="62" t="s">
        <v>2419</v>
      </c>
      <c r="D528" s="62" t="s">
        <v>2420</v>
      </c>
      <c r="E528" s="62"/>
    </row>
    <row r="529" spans="1:5" ht="45" x14ac:dyDescent="0.25">
      <c r="A529" s="62" t="s">
        <v>2421</v>
      </c>
      <c r="B529" s="62" t="s">
        <v>2422</v>
      </c>
      <c r="C529" s="62" t="s">
        <v>2423</v>
      </c>
      <c r="D529" s="62" t="s">
        <v>2424</v>
      </c>
      <c r="E529" s="62"/>
    </row>
    <row r="530" spans="1:5" ht="120" x14ac:dyDescent="0.25">
      <c r="A530" s="62" t="s">
        <v>2425</v>
      </c>
      <c r="B530" s="62" t="s">
        <v>2426</v>
      </c>
      <c r="C530" s="62" t="s">
        <v>2427</v>
      </c>
      <c r="D530" s="62" t="s">
        <v>2428</v>
      </c>
      <c r="E530" s="62" t="s">
        <v>2429</v>
      </c>
    </row>
    <row r="531" spans="1:5" ht="270" x14ac:dyDescent="0.25">
      <c r="A531" s="62" t="s">
        <v>2430</v>
      </c>
      <c r="B531" s="62" t="s">
        <v>257</v>
      </c>
      <c r="C531" s="62" t="s">
        <v>2431</v>
      </c>
      <c r="D531" s="62" t="s">
        <v>2432</v>
      </c>
      <c r="E531" s="62" t="s">
        <v>881</v>
      </c>
    </row>
    <row r="532" spans="1:5" ht="120" x14ac:dyDescent="0.25">
      <c r="A532" s="62" t="s">
        <v>2433</v>
      </c>
      <c r="B532" s="62" t="s">
        <v>2434</v>
      </c>
      <c r="C532" s="62" t="s">
        <v>2435</v>
      </c>
      <c r="D532" s="62" t="s">
        <v>2436</v>
      </c>
      <c r="E532" s="62" t="s">
        <v>2437</v>
      </c>
    </row>
    <row r="533" spans="1:5" x14ac:dyDescent="0.25">
      <c r="A533" s="62" t="s">
        <v>2438</v>
      </c>
      <c r="B533" s="62" t="s">
        <v>2439</v>
      </c>
      <c r="C533" s="62"/>
      <c r="D533" s="62"/>
      <c r="E533" s="62"/>
    </row>
    <row r="534" spans="1:5" x14ac:dyDescent="0.25">
      <c r="A534" s="62" t="s">
        <v>2440</v>
      </c>
      <c r="B534" s="62" t="s">
        <v>2441</v>
      </c>
      <c r="C534" s="62"/>
      <c r="D534" s="62"/>
      <c r="E534" s="62"/>
    </row>
    <row r="535" spans="1:5" ht="165" x14ac:dyDescent="0.25">
      <c r="A535" s="62" t="s">
        <v>2442</v>
      </c>
      <c r="B535" s="62" t="s">
        <v>2443</v>
      </c>
      <c r="C535" s="62" t="s">
        <v>2444</v>
      </c>
      <c r="D535" s="62" t="s">
        <v>2445</v>
      </c>
      <c r="E535" s="62" t="s">
        <v>2446</v>
      </c>
    </row>
    <row r="536" spans="1:5" ht="210" x14ac:dyDescent="0.25">
      <c r="A536" s="62" t="s">
        <v>2447</v>
      </c>
      <c r="B536" s="62" t="s">
        <v>2448</v>
      </c>
      <c r="C536" s="62" t="s">
        <v>2449</v>
      </c>
      <c r="D536" s="62" t="s">
        <v>2450</v>
      </c>
      <c r="E536" s="62" t="s">
        <v>2451</v>
      </c>
    </row>
    <row r="537" spans="1:5" x14ac:dyDescent="0.25">
      <c r="A537" s="62" t="s">
        <v>2452</v>
      </c>
      <c r="B537" s="62" t="s">
        <v>2453</v>
      </c>
      <c r="C537" s="62"/>
      <c r="D537" s="62"/>
      <c r="E537" s="62"/>
    </row>
    <row r="538" spans="1:5" ht="30" x14ac:dyDescent="0.25">
      <c r="A538" s="62" t="s">
        <v>2454</v>
      </c>
      <c r="B538" s="62" t="s">
        <v>2455</v>
      </c>
      <c r="C538" s="62" t="s">
        <v>2456</v>
      </c>
      <c r="D538" s="62" t="s">
        <v>2457</v>
      </c>
      <c r="E538" s="62" t="s">
        <v>2458</v>
      </c>
    </row>
    <row r="539" spans="1:5" ht="285" x14ac:dyDescent="0.25">
      <c r="A539" s="62" t="s">
        <v>2459</v>
      </c>
      <c r="B539" s="62" t="s">
        <v>2460</v>
      </c>
      <c r="C539" s="62" t="s">
        <v>2461</v>
      </c>
      <c r="D539" s="62" t="s">
        <v>2462</v>
      </c>
      <c r="E539" s="62" t="s">
        <v>2463</v>
      </c>
    </row>
    <row r="540" spans="1:5" ht="30" x14ac:dyDescent="0.25">
      <c r="A540" s="62" t="s">
        <v>2464</v>
      </c>
      <c r="B540" s="62" t="s">
        <v>2465</v>
      </c>
      <c r="C540" s="62"/>
      <c r="D540" s="62"/>
      <c r="E540" s="62"/>
    </row>
    <row r="541" spans="1:5" x14ac:dyDescent="0.25">
      <c r="A541" s="62" t="s">
        <v>2466</v>
      </c>
      <c r="B541" s="62" t="s">
        <v>2467</v>
      </c>
      <c r="C541" s="62"/>
      <c r="D541" s="62"/>
      <c r="E541" s="62"/>
    </row>
    <row r="542" spans="1:5" ht="60" x14ac:dyDescent="0.25">
      <c r="A542" s="62" t="s">
        <v>2468</v>
      </c>
      <c r="B542" s="62" t="s">
        <v>2469</v>
      </c>
      <c r="C542" s="62" t="s">
        <v>2470</v>
      </c>
      <c r="D542" s="62" t="s">
        <v>2471</v>
      </c>
      <c r="E542" s="62"/>
    </row>
    <row r="543" spans="1:5" x14ac:dyDescent="0.25">
      <c r="A543" s="62" t="s">
        <v>2472</v>
      </c>
      <c r="B543" s="62" t="s">
        <v>2473</v>
      </c>
      <c r="C543" s="62"/>
      <c r="D543" s="62"/>
      <c r="E543" s="62"/>
    </row>
    <row r="544" spans="1:5" ht="315" x14ac:dyDescent="0.25">
      <c r="A544" s="62" t="s">
        <v>498</v>
      </c>
      <c r="B544" s="62" t="s">
        <v>2474</v>
      </c>
      <c r="C544" s="62" t="s">
        <v>2475</v>
      </c>
      <c r="D544" s="62" t="s">
        <v>2476</v>
      </c>
      <c r="E544" s="62" t="s">
        <v>2477</v>
      </c>
    </row>
    <row r="545" spans="1:5" ht="105" x14ac:dyDescent="0.25">
      <c r="A545" s="62" t="s">
        <v>2478</v>
      </c>
      <c r="B545" s="62" t="s">
        <v>2479</v>
      </c>
      <c r="C545" s="62" t="s">
        <v>2480</v>
      </c>
      <c r="D545" s="62" t="s">
        <v>2481</v>
      </c>
      <c r="E545" s="62"/>
    </row>
    <row r="546" spans="1:5" ht="30" x14ac:dyDescent="0.25">
      <c r="A546" s="62" t="s">
        <v>2482</v>
      </c>
      <c r="B546" s="62" t="s">
        <v>2483</v>
      </c>
      <c r="C546" s="62" t="s">
        <v>2484</v>
      </c>
      <c r="D546" s="62" t="s">
        <v>2485</v>
      </c>
      <c r="E546" s="62"/>
    </row>
    <row r="547" spans="1:5" ht="150" x14ac:dyDescent="0.25">
      <c r="A547" s="62" t="s">
        <v>2486</v>
      </c>
      <c r="B547" s="62" t="s">
        <v>2487</v>
      </c>
      <c r="C547" s="62" t="s">
        <v>2488</v>
      </c>
      <c r="D547" s="62" t="s">
        <v>2489</v>
      </c>
      <c r="E547" s="62"/>
    </row>
    <row r="548" spans="1:5" ht="30" x14ac:dyDescent="0.25">
      <c r="A548" s="62" t="s">
        <v>2490</v>
      </c>
      <c r="B548" s="62" t="s">
        <v>2491</v>
      </c>
      <c r="C548" s="62"/>
      <c r="D548" s="62"/>
      <c r="E548" s="62"/>
    </row>
    <row r="549" spans="1:5" x14ac:dyDescent="0.25">
      <c r="A549" s="62" t="s">
        <v>2492</v>
      </c>
      <c r="B549" s="62" t="s">
        <v>2493</v>
      </c>
      <c r="C549" s="62"/>
      <c r="D549" s="62"/>
      <c r="E549" s="62"/>
    </row>
    <row r="550" spans="1:5" x14ac:dyDescent="0.25">
      <c r="A550" s="62" t="s">
        <v>2494</v>
      </c>
      <c r="B550" s="62" t="s">
        <v>2495</v>
      </c>
      <c r="C550" s="62"/>
      <c r="D550" s="62"/>
      <c r="E550" s="62"/>
    </row>
    <row r="551" spans="1:5" ht="135" x14ac:dyDescent="0.25">
      <c r="A551" s="62" t="s">
        <v>2496</v>
      </c>
      <c r="B551" s="62" t="s">
        <v>2497</v>
      </c>
      <c r="C551" s="62" t="s">
        <v>2498</v>
      </c>
      <c r="D551" s="62" t="s">
        <v>2499</v>
      </c>
      <c r="E551" s="62" t="s">
        <v>2500</v>
      </c>
    </row>
    <row r="552" spans="1:5" ht="105" x14ac:dyDescent="0.25">
      <c r="A552" s="62" t="s">
        <v>2501</v>
      </c>
      <c r="B552" s="62" t="s">
        <v>2502</v>
      </c>
      <c r="C552" s="62" t="s">
        <v>2503</v>
      </c>
      <c r="D552" s="62" t="s">
        <v>2504</v>
      </c>
      <c r="E552" s="62"/>
    </row>
    <row r="553" spans="1:5" ht="285" x14ac:dyDescent="0.25">
      <c r="A553" s="62" t="s">
        <v>2505</v>
      </c>
      <c r="B553" s="62" t="s">
        <v>2506</v>
      </c>
      <c r="C553" s="62" t="s">
        <v>2507</v>
      </c>
      <c r="D553" s="62" t="s">
        <v>2508</v>
      </c>
      <c r="E553" s="62" t="s">
        <v>2509</v>
      </c>
    </row>
    <row r="554" spans="1:5" x14ac:dyDescent="0.25">
      <c r="A554" s="62" t="s">
        <v>2510</v>
      </c>
      <c r="B554" s="62" t="s">
        <v>2511</v>
      </c>
      <c r="C554" s="62"/>
      <c r="D554" s="62"/>
      <c r="E554" s="62"/>
    </row>
    <row r="555" spans="1:5" ht="90" x14ac:dyDescent="0.25">
      <c r="A555" s="62" t="s">
        <v>2512</v>
      </c>
      <c r="B555" s="62" t="s">
        <v>2513</v>
      </c>
      <c r="C555" s="62" t="s">
        <v>2514</v>
      </c>
      <c r="D555" s="62" t="s">
        <v>2515</v>
      </c>
      <c r="E555" s="62" t="s">
        <v>498</v>
      </c>
    </row>
    <row r="556" spans="1:5" ht="135" x14ac:dyDescent="0.25">
      <c r="A556" s="62" t="s">
        <v>2516</v>
      </c>
      <c r="B556" s="62" t="s">
        <v>2517</v>
      </c>
      <c r="C556" s="62" t="s">
        <v>2518</v>
      </c>
      <c r="D556" s="62" t="s">
        <v>2519</v>
      </c>
      <c r="E556" s="62"/>
    </row>
    <row r="557" spans="1:5" ht="60" x14ac:dyDescent="0.25">
      <c r="A557" s="62" t="s">
        <v>2520</v>
      </c>
      <c r="B557" s="62" t="s">
        <v>2521</v>
      </c>
      <c r="C557" s="62" t="s">
        <v>2522</v>
      </c>
      <c r="D557" s="62" t="s">
        <v>2523</v>
      </c>
      <c r="E557" s="62"/>
    </row>
    <row r="558" spans="1:5" ht="30" x14ac:dyDescent="0.25">
      <c r="A558" s="62" t="s">
        <v>2524</v>
      </c>
      <c r="B558" s="62" t="s">
        <v>2525</v>
      </c>
      <c r="C558" s="62" t="s">
        <v>2526</v>
      </c>
      <c r="D558" s="62" t="s">
        <v>801</v>
      </c>
      <c r="E558" s="62"/>
    </row>
    <row r="559" spans="1:5" ht="30" x14ac:dyDescent="0.25">
      <c r="A559" s="62" t="s">
        <v>2527</v>
      </c>
      <c r="B559" s="62" t="s">
        <v>2528</v>
      </c>
      <c r="C559" s="62" t="s">
        <v>2529</v>
      </c>
      <c r="D559" s="62" t="s">
        <v>2530</v>
      </c>
      <c r="E559" s="62"/>
    </row>
    <row r="560" spans="1:5" ht="45" x14ac:dyDescent="0.25">
      <c r="A560" s="62" t="s">
        <v>2531</v>
      </c>
      <c r="B560" s="62" t="s">
        <v>2532</v>
      </c>
      <c r="C560" s="62" t="s">
        <v>2533</v>
      </c>
      <c r="D560" s="62" t="s">
        <v>2534</v>
      </c>
      <c r="E560" s="62"/>
    </row>
    <row r="561" spans="1:5" ht="285" x14ac:dyDescent="0.25">
      <c r="A561" s="62" t="s">
        <v>2535</v>
      </c>
      <c r="B561" s="62" t="s">
        <v>257</v>
      </c>
      <c r="C561" s="62" t="s">
        <v>2536</v>
      </c>
      <c r="D561" s="62" t="s">
        <v>2537</v>
      </c>
      <c r="E561" s="62" t="s">
        <v>2538</v>
      </c>
    </row>
    <row r="562" spans="1:5" ht="105" x14ac:dyDescent="0.25">
      <c r="A562" s="62" t="s">
        <v>2539</v>
      </c>
      <c r="B562" s="62" t="s">
        <v>2540</v>
      </c>
      <c r="C562" s="62" t="s">
        <v>2541</v>
      </c>
      <c r="D562" s="62" t="s">
        <v>2542</v>
      </c>
      <c r="E562" s="62" t="s">
        <v>2543</v>
      </c>
    </row>
    <row r="563" spans="1:5" ht="30" x14ac:dyDescent="0.25">
      <c r="A563" s="62" t="s">
        <v>2544</v>
      </c>
      <c r="B563" s="62" t="s">
        <v>2545</v>
      </c>
      <c r="C563" s="62" t="s">
        <v>2546</v>
      </c>
      <c r="D563" s="62" t="s">
        <v>2547</v>
      </c>
      <c r="E563" s="62" t="s">
        <v>2548</v>
      </c>
    </row>
    <row r="564" spans="1:5" ht="60" x14ac:dyDescent="0.25">
      <c r="A564" s="62" t="s">
        <v>2549</v>
      </c>
      <c r="B564" s="62" t="s">
        <v>2550</v>
      </c>
      <c r="C564" s="62" t="s">
        <v>2551</v>
      </c>
      <c r="D564" s="62" t="s">
        <v>2552</v>
      </c>
      <c r="E564" s="62" t="s">
        <v>2553</v>
      </c>
    </row>
    <row r="565" spans="1:5" ht="90" x14ac:dyDescent="0.25">
      <c r="A565" s="62" t="s">
        <v>2554</v>
      </c>
      <c r="B565" s="62" t="s">
        <v>2555</v>
      </c>
      <c r="C565" s="62" t="s">
        <v>2556</v>
      </c>
      <c r="D565" s="62" t="s">
        <v>2557</v>
      </c>
      <c r="E565" s="62" t="s">
        <v>2558</v>
      </c>
    </row>
    <row r="566" spans="1:5" ht="285" x14ac:dyDescent="0.25">
      <c r="A566" s="62" t="s">
        <v>2057</v>
      </c>
      <c r="B566" s="62" t="s">
        <v>2559</v>
      </c>
      <c r="C566" s="62" t="s">
        <v>2560</v>
      </c>
      <c r="D566" s="62" t="s">
        <v>2561</v>
      </c>
      <c r="E566" s="62" t="s">
        <v>2562</v>
      </c>
    </row>
    <row r="567" spans="1:5" ht="45" x14ac:dyDescent="0.25">
      <c r="A567" s="62" t="s">
        <v>2563</v>
      </c>
      <c r="B567" s="62" t="s">
        <v>2564</v>
      </c>
      <c r="C567" s="62" t="s">
        <v>2565</v>
      </c>
      <c r="D567" s="62" t="s">
        <v>2566</v>
      </c>
      <c r="E567" s="62"/>
    </row>
    <row r="568" spans="1:5" ht="45" x14ac:dyDescent="0.25">
      <c r="A568" s="62" t="s">
        <v>2567</v>
      </c>
      <c r="B568" s="62" t="s">
        <v>2568</v>
      </c>
      <c r="C568" s="62" t="s">
        <v>2569</v>
      </c>
      <c r="D568" s="62" t="s">
        <v>2570</v>
      </c>
      <c r="E568" s="62" t="s">
        <v>2571</v>
      </c>
    </row>
    <row r="569" spans="1:5" ht="45" x14ac:dyDescent="0.25">
      <c r="A569" s="62" t="s">
        <v>2572</v>
      </c>
      <c r="B569" s="62" t="s">
        <v>2573</v>
      </c>
      <c r="C569" s="62" t="s">
        <v>2574</v>
      </c>
      <c r="D569" s="62" t="s">
        <v>2575</v>
      </c>
      <c r="E569" s="62" t="s">
        <v>2576</v>
      </c>
    </row>
    <row r="570" spans="1:5" ht="105" x14ac:dyDescent="0.25">
      <c r="A570" s="62" t="s">
        <v>2577</v>
      </c>
      <c r="B570" s="62" t="s">
        <v>2578</v>
      </c>
      <c r="C570" s="62" t="s">
        <v>2579</v>
      </c>
      <c r="D570" s="62" t="s">
        <v>2580</v>
      </c>
      <c r="E570" s="62"/>
    </row>
    <row r="571" spans="1:5" ht="90" x14ac:dyDescent="0.25">
      <c r="A571" s="62" t="s">
        <v>2581</v>
      </c>
      <c r="B571" s="62" t="s">
        <v>2582</v>
      </c>
      <c r="C571" s="62" t="s">
        <v>2583</v>
      </c>
      <c r="D571" s="62" t="s">
        <v>2584</v>
      </c>
      <c r="E571" s="62" t="s">
        <v>2585</v>
      </c>
    </row>
    <row r="572" spans="1:5" x14ac:dyDescent="0.25">
      <c r="A572" s="62" t="s">
        <v>2586</v>
      </c>
      <c r="B572" s="62" t="s">
        <v>2587</v>
      </c>
      <c r="C572" s="62"/>
      <c r="D572" s="62"/>
      <c r="E572" s="62"/>
    </row>
    <row r="573" spans="1:5" ht="30" x14ac:dyDescent="0.25">
      <c r="A573" s="62" t="s">
        <v>2588</v>
      </c>
      <c r="B573" s="62" t="s">
        <v>2589</v>
      </c>
      <c r="C573" s="62" t="s">
        <v>2590</v>
      </c>
      <c r="D573" s="62" t="s">
        <v>2591</v>
      </c>
      <c r="E573" s="62"/>
    </row>
    <row r="574" spans="1:5" ht="150" x14ac:dyDescent="0.25">
      <c r="A574" s="62" t="s">
        <v>2592</v>
      </c>
      <c r="B574" s="62" t="s">
        <v>2593</v>
      </c>
      <c r="C574" s="62" t="s">
        <v>2594</v>
      </c>
      <c r="D574" s="62" t="s">
        <v>2595</v>
      </c>
      <c r="E574" s="62"/>
    </row>
    <row r="575" spans="1:5" ht="90" x14ac:dyDescent="0.25">
      <c r="A575" s="62" t="s">
        <v>2596</v>
      </c>
      <c r="B575" s="62" t="s">
        <v>2597</v>
      </c>
      <c r="C575" s="62" t="s">
        <v>2598</v>
      </c>
      <c r="D575" s="62" t="s">
        <v>2599</v>
      </c>
      <c r="E575" s="62" t="s">
        <v>2600</v>
      </c>
    </row>
    <row r="576" spans="1:5" ht="90" x14ac:dyDescent="0.25">
      <c r="A576" s="62" t="s">
        <v>2601</v>
      </c>
      <c r="B576" s="62" t="s">
        <v>2602</v>
      </c>
      <c r="C576" s="62" t="s">
        <v>2603</v>
      </c>
      <c r="D576" s="62" t="s">
        <v>2604</v>
      </c>
      <c r="E576" s="62" t="s">
        <v>2605</v>
      </c>
    </row>
    <row r="577" spans="1:5" ht="30" x14ac:dyDescent="0.25">
      <c r="A577" s="62" t="s">
        <v>2606</v>
      </c>
      <c r="B577" s="62" t="s">
        <v>2607</v>
      </c>
      <c r="C577" s="62"/>
      <c r="D577" s="62"/>
      <c r="E577" s="62"/>
    </row>
    <row r="578" spans="1:5" ht="60" x14ac:dyDescent="0.25">
      <c r="A578" s="62" t="s">
        <v>2608</v>
      </c>
      <c r="B578" s="62" t="s">
        <v>2609</v>
      </c>
      <c r="C578" s="62" t="s">
        <v>2610</v>
      </c>
      <c r="D578" s="62" t="s">
        <v>2611</v>
      </c>
      <c r="E578" s="62"/>
    </row>
    <row r="579" spans="1:5" ht="30" x14ac:dyDescent="0.25">
      <c r="A579" s="62" t="s">
        <v>2612</v>
      </c>
      <c r="B579" s="62" t="s">
        <v>2613</v>
      </c>
      <c r="C579" s="62"/>
      <c r="D579" s="62"/>
      <c r="E579" s="62"/>
    </row>
    <row r="580" spans="1:5" ht="165" x14ac:dyDescent="0.25">
      <c r="A580" s="62" t="s">
        <v>2614</v>
      </c>
      <c r="B580" s="62" t="s">
        <v>2615</v>
      </c>
      <c r="C580" s="62" t="s">
        <v>2616</v>
      </c>
      <c r="D580" s="62" t="s">
        <v>2617</v>
      </c>
      <c r="E580" s="62" t="s">
        <v>2618</v>
      </c>
    </row>
    <row r="581" spans="1:5" ht="105" x14ac:dyDescent="0.25">
      <c r="A581" s="62" t="s">
        <v>2619</v>
      </c>
      <c r="B581" s="62" t="s">
        <v>2620</v>
      </c>
      <c r="C581" s="62" t="s">
        <v>2621</v>
      </c>
      <c r="D581" s="62" t="s">
        <v>2622</v>
      </c>
      <c r="E581" s="62"/>
    </row>
    <row r="582" spans="1:5" ht="90" x14ac:dyDescent="0.25">
      <c r="A582" s="62" t="s">
        <v>2623</v>
      </c>
      <c r="B582" s="62" t="s">
        <v>2624</v>
      </c>
      <c r="C582" s="62" t="s">
        <v>2625</v>
      </c>
      <c r="D582" s="62" t="s">
        <v>2626</v>
      </c>
      <c r="E582" s="62" t="s">
        <v>409</v>
      </c>
    </row>
    <row r="583" spans="1:5" ht="90" x14ac:dyDescent="0.25">
      <c r="A583" s="62" t="s">
        <v>2627</v>
      </c>
      <c r="B583" s="62" t="s">
        <v>2628</v>
      </c>
      <c r="C583" s="62" t="s">
        <v>2629</v>
      </c>
      <c r="D583" s="62" t="s">
        <v>2630</v>
      </c>
      <c r="E583" s="62"/>
    </row>
    <row r="584" spans="1:5" ht="75" x14ac:dyDescent="0.25">
      <c r="A584" s="62" t="s">
        <v>2631</v>
      </c>
      <c r="B584" s="62" t="s">
        <v>2632</v>
      </c>
      <c r="C584" s="62" t="s">
        <v>2633</v>
      </c>
      <c r="D584" s="62" t="s">
        <v>2634</v>
      </c>
      <c r="E584" s="62"/>
    </row>
    <row r="585" spans="1:5" x14ac:dyDescent="0.25">
      <c r="A585" s="62" t="s">
        <v>2635</v>
      </c>
      <c r="B585" s="62" t="s">
        <v>2636</v>
      </c>
      <c r="C585" s="62"/>
      <c r="D585" s="62"/>
      <c r="E585" s="62"/>
    </row>
    <row r="586" spans="1:5" ht="90" x14ac:dyDescent="0.25">
      <c r="A586" s="62" t="s">
        <v>2637</v>
      </c>
      <c r="B586" s="62" t="s">
        <v>2638</v>
      </c>
      <c r="C586" s="62" t="s">
        <v>2639</v>
      </c>
      <c r="D586" s="62" t="s">
        <v>2640</v>
      </c>
      <c r="E586" s="62" t="s">
        <v>2641</v>
      </c>
    </row>
    <row r="587" spans="1:5" ht="60" x14ac:dyDescent="0.25">
      <c r="A587" s="62" t="s">
        <v>2642</v>
      </c>
      <c r="B587" s="62" t="s">
        <v>2643</v>
      </c>
      <c r="C587" s="62" t="s">
        <v>2644</v>
      </c>
      <c r="D587" s="62" t="s">
        <v>2645</v>
      </c>
      <c r="E587" s="62"/>
    </row>
    <row r="588" spans="1:5" x14ac:dyDescent="0.25">
      <c r="A588" s="62" t="s">
        <v>2646</v>
      </c>
      <c r="B588" s="62" t="s">
        <v>2647</v>
      </c>
      <c r="C588" s="62"/>
      <c r="D588" s="62"/>
      <c r="E588" s="62"/>
    </row>
    <row r="589" spans="1:5" ht="60" x14ac:dyDescent="0.25">
      <c r="A589" s="62" t="s">
        <v>2648</v>
      </c>
      <c r="B589" s="62" t="s">
        <v>2649</v>
      </c>
      <c r="C589" s="62" t="s">
        <v>2650</v>
      </c>
      <c r="D589" s="62" t="s">
        <v>2651</v>
      </c>
      <c r="E589" s="62" t="s">
        <v>2652</v>
      </c>
    </row>
    <row r="590" spans="1:5" ht="90" x14ac:dyDescent="0.25">
      <c r="A590" s="62" t="s">
        <v>2653</v>
      </c>
      <c r="B590" s="62" t="s">
        <v>2654</v>
      </c>
      <c r="C590" s="62" t="s">
        <v>2655</v>
      </c>
      <c r="D590" s="62" t="s">
        <v>2656</v>
      </c>
      <c r="E590" s="62" t="s">
        <v>2596</v>
      </c>
    </row>
    <row r="591" spans="1:5" ht="30" x14ac:dyDescent="0.25">
      <c r="A591" s="62" t="s">
        <v>2657</v>
      </c>
      <c r="B591" s="62" t="s">
        <v>2658</v>
      </c>
      <c r="C591" s="62" t="s">
        <v>2659</v>
      </c>
      <c r="D591" s="62" t="s">
        <v>2660</v>
      </c>
      <c r="E591" s="62"/>
    </row>
    <row r="592" spans="1:5" ht="30" x14ac:dyDescent="0.25">
      <c r="A592" s="62" t="s">
        <v>2661</v>
      </c>
      <c r="B592" s="62" t="s">
        <v>2662</v>
      </c>
      <c r="C592" s="62" t="s">
        <v>2663</v>
      </c>
      <c r="D592" s="62" t="s">
        <v>2664</v>
      </c>
      <c r="E592" s="62"/>
    </row>
    <row r="593" spans="1:5" ht="90" x14ac:dyDescent="0.25">
      <c r="A593" s="62" t="s">
        <v>2665</v>
      </c>
      <c r="B593" s="62" t="s">
        <v>2666</v>
      </c>
      <c r="C593" s="62" t="s">
        <v>2667</v>
      </c>
      <c r="D593" s="62" t="s">
        <v>2668</v>
      </c>
      <c r="E593" s="62" t="s">
        <v>2669</v>
      </c>
    </row>
    <row r="594" spans="1:5" ht="30" x14ac:dyDescent="0.25">
      <c r="A594" s="62" t="s">
        <v>2670</v>
      </c>
      <c r="B594" s="62" t="s">
        <v>2671</v>
      </c>
      <c r="C594" s="62"/>
      <c r="D594" s="62"/>
      <c r="E594" s="62"/>
    </row>
    <row r="595" spans="1:5" ht="150" x14ac:dyDescent="0.25">
      <c r="A595" s="62" t="s">
        <v>2672</v>
      </c>
      <c r="B595" s="62" t="s">
        <v>2673</v>
      </c>
      <c r="C595" s="62" t="s">
        <v>2674</v>
      </c>
      <c r="D595" s="62" t="s">
        <v>2675</v>
      </c>
      <c r="E595" s="62" t="s">
        <v>2676</v>
      </c>
    </row>
    <row r="596" spans="1:5" ht="45" x14ac:dyDescent="0.25">
      <c r="A596" s="62" t="s">
        <v>2677</v>
      </c>
      <c r="B596" s="62" t="s">
        <v>2678</v>
      </c>
      <c r="C596" s="62" t="s">
        <v>2679</v>
      </c>
      <c r="D596" s="62" t="s">
        <v>2680</v>
      </c>
      <c r="E596" s="62"/>
    </row>
    <row r="597" spans="1:5" ht="90" x14ac:dyDescent="0.25">
      <c r="A597" s="62" t="s">
        <v>2681</v>
      </c>
      <c r="B597" s="62" t="s">
        <v>2682</v>
      </c>
      <c r="C597" s="62" t="s">
        <v>2683</v>
      </c>
      <c r="D597" s="62" t="s">
        <v>2684</v>
      </c>
      <c r="E597" s="62"/>
    </row>
    <row r="598" spans="1:5" ht="90" x14ac:dyDescent="0.25">
      <c r="A598" s="62" t="s">
        <v>2685</v>
      </c>
      <c r="B598" s="62" t="s">
        <v>2686</v>
      </c>
      <c r="C598" s="62" t="s">
        <v>2687</v>
      </c>
      <c r="D598" s="62" t="s">
        <v>2688</v>
      </c>
      <c r="E598" s="62" t="s">
        <v>2689</v>
      </c>
    </row>
    <row r="599" spans="1:5" ht="30" x14ac:dyDescent="0.25">
      <c r="A599" s="62" t="s">
        <v>2690</v>
      </c>
      <c r="B599" s="62" t="s">
        <v>2691</v>
      </c>
      <c r="C599" s="62" t="s">
        <v>2692</v>
      </c>
      <c r="D599" s="62" t="s">
        <v>2693</v>
      </c>
      <c r="E599" s="62"/>
    </row>
    <row r="600" spans="1:5" ht="105" x14ac:dyDescent="0.25">
      <c r="A600" s="62" t="s">
        <v>2694</v>
      </c>
      <c r="B600" s="62" t="s">
        <v>2695</v>
      </c>
      <c r="C600" s="62" t="s">
        <v>2696</v>
      </c>
      <c r="D600" s="62" t="s">
        <v>2697</v>
      </c>
      <c r="E600" s="62" t="s">
        <v>914</v>
      </c>
    </row>
    <row r="601" spans="1:5" ht="90" x14ac:dyDescent="0.25">
      <c r="A601" s="62" t="s">
        <v>2698</v>
      </c>
      <c r="B601" s="62" t="s">
        <v>2699</v>
      </c>
      <c r="C601" s="62" t="s">
        <v>2700</v>
      </c>
      <c r="D601" s="62" t="s">
        <v>2701</v>
      </c>
      <c r="E601" s="62"/>
    </row>
    <row r="602" spans="1:5" ht="90" x14ac:dyDescent="0.25">
      <c r="A602" s="62" t="s">
        <v>2702</v>
      </c>
      <c r="B602" s="62" t="s">
        <v>2703</v>
      </c>
      <c r="C602" s="62" t="s">
        <v>2704</v>
      </c>
      <c r="D602" s="62" t="s">
        <v>2705</v>
      </c>
      <c r="E602" s="62"/>
    </row>
    <row r="603" spans="1:5" x14ac:dyDescent="0.25">
      <c r="A603" s="62" t="s">
        <v>2706</v>
      </c>
      <c r="B603" s="62" t="s">
        <v>2707</v>
      </c>
      <c r="C603" s="62"/>
      <c r="D603" s="62"/>
      <c r="E603" s="62"/>
    </row>
    <row r="604" spans="1:5" ht="60" x14ac:dyDescent="0.25">
      <c r="A604" s="62" t="s">
        <v>2708</v>
      </c>
      <c r="B604" s="62" t="s">
        <v>2709</v>
      </c>
      <c r="C604" s="62" t="s">
        <v>2710</v>
      </c>
      <c r="D604" s="62" t="s">
        <v>2711</v>
      </c>
      <c r="E604" s="62"/>
    </row>
    <row r="605" spans="1:5" ht="90" x14ac:dyDescent="0.25">
      <c r="A605" s="62" t="s">
        <v>2712</v>
      </c>
      <c r="B605" s="62" t="s">
        <v>2713</v>
      </c>
      <c r="C605" s="62" t="s">
        <v>2714</v>
      </c>
      <c r="D605" s="62" t="s">
        <v>2715</v>
      </c>
      <c r="E605" s="62" t="s">
        <v>2716</v>
      </c>
    </row>
    <row r="606" spans="1:5" ht="45" x14ac:dyDescent="0.25">
      <c r="A606" s="62" t="s">
        <v>2717</v>
      </c>
      <c r="B606" s="62" t="s">
        <v>2718</v>
      </c>
      <c r="C606" s="62" t="s">
        <v>2719</v>
      </c>
      <c r="D606" s="62" t="s">
        <v>2720</v>
      </c>
      <c r="E606" s="62"/>
    </row>
    <row r="607" spans="1:5" ht="60" x14ac:dyDescent="0.25">
      <c r="A607" s="62" t="s">
        <v>2721</v>
      </c>
      <c r="B607" s="62" t="s">
        <v>2722</v>
      </c>
      <c r="C607" s="62" t="s">
        <v>2723</v>
      </c>
      <c r="D607" s="62" t="s">
        <v>2724</v>
      </c>
      <c r="E607" s="62"/>
    </row>
    <row r="608" spans="1:5" ht="75" x14ac:dyDescent="0.25">
      <c r="A608" s="62" t="s">
        <v>2669</v>
      </c>
      <c r="B608" s="62" t="s">
        <v>2725</v>
      </c>
      <c r="C608" s="62" t="s">
        <v>2726</v>
      </c>
      <c r="D608" s="62" t="s">
        <v>2727</v>
      </c>
      <c r="E608" s="62" t="s">
        <v>2728</v>
      </c>
    </row>
    <row r="609" spans="1:5" ht="45" x14ac:dyDescent="0.25">
      <c r="A609" s="62" t="s">
        <v>2729</v>
      </c>
      <c r="B609" s="62" t="s">
        <v>2730</v>
      </c>
      <c r="C609" s="62" t="s">
        <v>2731</v>
      </c>
      <c r="D609" s="62" t="s">
        <v>2732</v>
      </c>
      <c r="E609" s="62"/>
    </row>
    <row r="610" spans="1:5" ht="45" x14ac:dyDescent="0.25">
      <c r="A610" s="62" t="s">
        <v>2733</v>
      </c>
      <c r="B610" s="62" t="s">
        <v>2734</v>
      </c>
      <c r="C610" s="62" t="s">
        <v>2735</v>
      </c>
      <c r="D610" s="62" t="s">
        <v>2736</v>
      </c>
      <c r="E610" s="62" t="s">
        <v>2737</v>
      </c>
    </row>
    <row r="611" spans="1:5" ht="120" x14ac:dyDescent="0.25">
      <c r="A611" s="62" t="s">
        <v>2738</v>
      </c>
      <c r="B611" s="62" t="s">
        <v>2739</v>
      </c>
      <c r="C611" s="62" t="s">
        <v>2740</v>
      </c>
      <c r="D611" s="62" t="s">
        <v>2741</v>
      </c>
      <c r="E611" s="62" t="s">
        <v>2742</v>
      </c>
    </row>
    <row r="612" spans="1:5" ht="105" x14ac:dyDescent="0.25">
      <c r="A612" s="62" t="s">
        <v>2743</v>
      </c>
      <c r="B612" s="62" t="s">
        <v>2744</v>
      </c>
      <c r="C612" s="62" t="s">
        <v>2745</v>
      </c>
      <c r="D612" s="62" t="s">
        <v>2746</v>
      </c>
      <c r="E612" s="62" t="s">
        <v>2747</v>
      </c>
    </row>
    <row r="613" spans="1:5" x14ac:dyDescent="0.25">
      <c r="A613" s="62" t="s">
        <v>2748</v>
      </c>
      <c r="B613" s="62" t="s">
        <v>2749</v>
      </c>
      <c r="C613" s="62"/>
      <c r="D613" s="62"/>
      <c r="E613" s="62"/>
    </row>
    <row r="614" spans="1:5" ht="75" x14ac:dyDescent="0.25">
      <c r="A614" s="62" t="s">
        <v>786</v>
      </c>
      <c r="B614" s="62" t="s">
        <v>2750</v>
      </c>
      <c r="C614" s="62" t="s">
        <v>2751</v>
      </c>
      <c r="D614" s="62" t="s">
        <v>2752</v>
      </c>
      <c r="E614" s="62" t="s">
        <v>2753</v>
      </c>
    </row>
    <row r="615" spans="1:5" ht="45" x14ac:dyDescent="0.25">
      <c r="A615" s="62" t="s">
        <v>2754</v>
      </c>
      <c r="B615" s="62" t="s">
        <v>2755</v>
      </c>
      <c r="C615" s="62" t="s">
        <v>2756</v>
      </c>
      <c r="D615" s="62" t="s">
        <v>2757</v>
      </c>
      <c r="E615" s="62"/>
    </row>
    <row r="616" spans="1:5" ht="75" x14ac:dyDescent="0.25">
      <c r="A616" s="62" t="s">
        <v>2758</v>
      </c>
      <c r="B616" s="62" t="s">
        <v>2759</v>
      </c>
      <c r="C616" s="62" t="s">
        <v>2760</v>
      </c>
      <c r="D616" s="62" t="s">
        <v>2761</v>
      </c>
      <c r="E616" s="62" t="s">
        <v>2762</v>
      </c>
    </row>
    <row r="617" spans="1:5" ht="90" x14ac:dyDescent="0.25">
      <c r="A617" s="62" t="s">
        <v>2763</v>
      </c>
      <c r="B617" s="62" t="s">
        <v>2764</v>
      </c>
      <c r="C617" s="62" t="s">
        <v>2765</v>
      </c>
      <c r="D617" s="62" t="s">
        <v>2766</v>
      </c>
      <c r="E617" s="62" t="s">
        <v>2767</v>
      </c>
    </row>
    <row r="618" spans="1:5" ht="225" x14ac:dyDescent="0.25">
      <c r="A618" s="62" t="s">
        <v>2768</v>
      </c>
      <c r="B618" s="62" t="s">
        <v>2769</v>
      </c>
      <c r="C618" s="62" t="s">
        <v>2770</v>
      </c>
      <c r="D618" s="62" t="s">
        <v>2771</v>
      </c>
      <c r="E618" s="62" t="s">
        <v>2772</v>
      </c>
    </row>
    <row r="619" spans="1:5" ht="60" x14ac:dyDescent="0.25">
      <c r="A619" s="62" t="s">
        <v>2773</v>
      </c>
      <c r="B619" s="62" t="s">
        <v>2774</v>
      </c>
      <c r="C619" s="62" t="s">
        <v>2775</v>
      </c>
      <c r="D619" s="62" t="s">
        <v>2776</v>
      </c>
      <c r="E619" s="62" t="s">
        <v>2777</v>
      </c>
    </row>
    <row r="620" spans="1:5" ht="270" x14ac:dyDescent="0.25">
      <c r="A620" s="62" t="s">
        <v>2778</v>
      </c>
      <c r="B620" s="62" t="s">
        <v>257</v>
      </c>
      <c r="C620" s="62" t="s">
        <v>2779</v>
      </c>
      <c r="D620" s="62" t="s">
        <v>2780</v>
      </c>
      <c r="E620" s="62" t="s">
        <v>881</v>
      </c>
    </row>
    <row r="621" spans="1:5" ht="409.5" x14ac:dyDescent="0.25">
      <c r="A621" s="62" t="s">
        <v>2781</v>
      </c>
      <c r="B621" s="62" t="s">
        <v>2782</v>
      </c>
      <c r="C621" s="62" t="s">
        <v>2783</v>
      </c>
      <c r="D621" s="62" t="s">
        <v>2784</v>
      </c>
      <c r="E621" s="62" t="s">
        <v>2785</v>
      </c>
    </row>
    <row r="622" spans="1:5" ht="30" x14ac:dyDescent="0.25">
      <c r="A622" s="62" t="s">
        <v>2786</v>
      </c>
      <c r="B622" s="62" t="s">
        <v>2787</v>
      </c>
      <c r="C622" s="62"/>
      <c r="D622" s="62"/>
      <c r="E622" s="62"/>
    </row>
    <row r="623" spans="1:5" ht="30" x14ac:dyDescent="0.25">
      <c r="A623" s="62" t="s">
        <v>2788</v>
      </c>
      <c r="B623" s="62" t="s">
        <v>2789</v>
      </c>
      <c r="C623" s="62"/>
      <c r="D623" s="62"/>
      <c r="E623" s="62"/>
    </row>
    <row r="624" spans="1:5" ht="30" x14ac:dyDescent="0.25">
      <c r="A624" s="62" t="s">
        <v>2790</v>
      </c>
      <c r="B624" s="62" t="s">
        <v>2791</v>
      </c>
      <c r="C624" s="62"/>
      <c r="D624" s="62"/>
      <c r="E624" s="62"/>
    </row>
    <row r="625" spans="1:5" x14ac:dyDescent="0.25">
      <c r="A625" s="62" t="s">
        <v>2792</v>
      </c>
      <c r="B625" s="62" t="s">
        <v>2793</v>
      </c>
      <c r="C625" s="62"/>
      <c r="D625" s="62"/>
      <c r="E625" s="62"/>
    </row>
    <row r="626" spans="1:5" ht="225" x14ac:dyDescent="0.25">
      <c r="A626" s="62" t="s">
        <v>2794</v>
      </c>
      <c r="B626" s="62" t="s">
        <v>2795</v>
      </c>
      <c r="C626" s="62" t="s">
        <v>2796</v>
      </c>
      <c r="D626" s="62" t="s">
        <v>2797</v>
      </c>
      <c r="E626" s="62" t="s">
        <v>2798</v>
      </c>
    </row>
    <row r="627" spans="1:5" ht="150" x14ac:dyDescent="0.25">
      <c r="A627" s="62" t="s">
        <v>2799</v>
      </c>
      <c r="B627" s="62" t="s">
        <v>2800</v>
      </c>
      <c r="C627" s="62" t="s">
        <v>2801</v>
      </c>
      <c r="D627" s="62" t="s">
        <v>2802</v>
      </c>
      <c r="E627" s="62" t="s">
        <v>2803</v>
      </c>
    </row>
    <row r="628" spans="1:5" x14ac:dyDescent="0.25">
      <c r="A628" s="62" t="s">
        <v>2804</v>
      </c>
      <c r="B628" s="62" t="s">
        <v>2805</v>
      </c>
      <c r="C628" s="62"/>
      <c r="D628" s="62"/>
      <c r="E628" s="62"/>
    </row>
    <row r="629" spans="1:5" x14ac:dyDescent="0.25">
      <c r="A629" s="62" t="s">
        <v>2806</v>
      </c>
      <c r="B629" s="62" t="s">
        <v>2807</v>
      </c>
      <c r="C629" s="62"/>
      <c r="D629" s="62"/>
      <c r="E629" s="62"/>
    </row>
    <row r="630" spans="1:5" ht="135" x14ac:dyDescent="0.25">
      <c r="A630" s="62" t="s">
        <v>2808</v>
      </c>
      <c r="B630" s="62" t="s">
        <v>2809</v>
      </c>
      <c r="C630" s="62" t="s">
        <v>2810</v>
      </c>
      <c r="D630" s="62" t="s">
        <v>2811</v>
      </c>
      <c r="E630" s="62" t="s">
        <v>2812</v>
      </c>
    </row>
    <row r="631" spans="1:5" ht="409.5" x14ac:dyDescent="0.25">
      <c r="A631" s="62" t="s">
        <v>2813</v>
      </c>
      <c r="B631" s="62" t="s">
        <v>2814</v>
      </c>
      <c r="C631" s="62" t="s">
        <v>2815</v>
      </c>
      <c r="D631" s="62" t="s">
        <v>2816</v>
      </c>
      <c r="E631" s="62" t="s">
        <v>2817</v>
      </c>
    </row>
    <row r="632" spans="1:5" ht="195" x14ac:dyDescent="0.25">
      <c r="A632" s="62" t="s">
        <v>2818</v>
      </c>
      <c r="B632" s="62" t="s">
        <v>2819</v>
      </c>
      <c r="C632" s="62" t="s">
        <v>2820</v>
      </c>
      <c r="D632" s="62" t="s">
        <v>2821</v>
      </c>
      <c r="E632" s="62" t="s">
        <v>2822</v>
      </c>
    </row>
    <row r="633" spans="1:5" ht="150" x14ac:dyDescent="0.25">
      <c r="A633" s="62" t="s">
        <v>2823</v>
      </c>
      <c r="B633" s="62" t="s">
        <v>2824</v>
      </c>
      <c r="C633" s="62" t="s">
        <v>2825</v>
      </c>
      <c r="D633" s="62" t="s">
        <v>2826</v>
      </c>
      <c r="E633" s="62" t="s">
        <v>2827</v>
      </c>
    </row>
    <row r="634" spans="1:5" ht="405" x14ac:dyDescent="0.25">
      <c r="A634" s="62" t="s">
        <v>2828</v>
      </c>
      <c r="B634" s="62" t="s">
        <v>2829</v>
      </c>
      <c r="C634" s="62" t="s">
        <v>2830</v>
      </c>
      <c r="D634" s="62" t="s">
        <v>2831</v>
      </c>
      <c r="E634" s="62" t="s">
        <v>2832</v>
      </c>
    </row>
    <row r="635" spans="1:5" ht="315" x14ac:dyDescent="0.25">
      <c r="A635" s="62" t="s">
        <v>2833</v>
      </c>
      <c r="B635" s="62" t="s">
        <v>2834</v>
      </c>
      <c r="C635" s="62" t="s">
        <v>2835</v>
      </c>
      <c r="D635" s="62" t="s">
        <v>2836</v>
      </c>
      <c r="E635" s="62" t="s">
        <v>2837</v>
      </c>
    </row>
    <row r="636" spans="1:5" ht="255" x14ac:dyDescent="0.25">
      <c r="A636" s="62" t="s">
        <v>2838</v>
      </c>
      <c r="B636" s="62" t="s">
        <v>2839</v>
      </c>
      <c r="C636" s="62" t="s">
        <v>2840</v>
      </c>
      <c r="D636" s="62" t="s">
        <v>2841</v>
      </c>
      <c r="E636" s="62" t="s">
        <v>2842</v>
      </c>
    </row>
    <row r="637" spans="1:5" ht="409.5" x14ac:dyDescent="0.25">
      <c r="A637" s="62" t="s">
        <v>2843</v>
      </c>
      <c r="B637" s="62" t="s">
        <v>2844</v>
      </c>
      <c r="C637" s="62" t="s">
        <v>2845</v>
      </c>
      <c r="D637" s="62" t="s">
        <v>2846</v>
      </c>
      <c r="E637" s="62" t="s">
        <v>2847</v>
      </c>
    </row>
    <row r="638" spans="1:5" ht="75" x14ac:dyDescent="0.25">
      <c r="A638" s="62" t="s">
        <v>2848</v>
      </c>
      <c r="B638" s="62" t="s">
        <v>2849</v>
      </c>
      <c r="C638" s="62" t="s">
        <v>2850</v>
      </c>
      <c r="D638" s="62" t="s">
        <v>2851</v>
      </c>
      <c r="E638" s="62"/>
    </row>
    <row r="639" spans="1:5" ht="120" x14ac:dyDescent="0.25">
      <c r="A639" s="62" t="s">
        <v>2852</v>
      </c>
      <c r="B639" s="62" t="s">
        <v>2853</v>
      </c>
      <c r="C639" s="62" t="s">
        <v>2854</v>
      </c>
      <c r="D639" s="62" t="s">
        <v>2855</v>
      </c>
      <c r="E639" s="62" t="s">
        <v>2856</v>
      </c>
    </row>
    <row r="640" spans="1:5" ht="180" x14ac:dyDescent="0.25">
      <c r="A640" s="62" t="s">
        <v>2857</v>
      </c>
      <c r="B640" s="62" t="s">
        <v>2858</v>
      </c>
      <c r="C640" s="62" t="s">
        <v>2859</v>
      </c>
      <c r="D640" s="62" t="s">
        <v>2860</v>
      </c>
      <c r="E640" s="62" t="s">
        <v>2861</v>
      </c>
    </row>
    <row r="641" spans="1:5" ht="45" x14ac:dyDescent="0.25">
      <c r="A641" s="62" t="s">
        <v>2862</v>
      </c>
      <c r="B641" s="62" t="s">
        <v>2863</v>
      </c>
      <c r="C641" s="62" t="s">
        <v>2864</v>
      </c>
      <c r="D641" s="62" t="s">
        <v>2865</v>
      </c>
      <c r="E641" s="62"/>
    </row>
    <row r="642" spans="1:5" ht="105" x14ac:dyDescent="0.25">
      <c r="A642" s="62" t="s">
        <v>2866</v>
      </c>
      <c r="B642" s="62" t="s">
        <v>2867</v>
      </c>
      <c r="C642" s="62" t="s">
        <v>2868</v>
      </c>
      <c r="D642" s="62" t="s">
        <v>2869</v>
      </c>
      <c r="E642" s="62" t="s">
        <v>2870</v>
      </c>
    </row>
    <row r="643" spans="1:5" ht="75" x14ac:dyDescent="0.25">
      <c r="A643" s="62" t="s">
        <v>2871</v>
      </c>
      <c r="B643" s="62" t="s">
        <v>2872</v>
      </c>
      <c r="C643" s="62" t="s">
        <v>2873</v>
      </c>
      <c r="D643" s="62" t="s">
        <v>2874</v>
      </c>
      <c r="E643" s="62" t="s">
        <v>2875</v>
      </c>
    </row>
    <row r="644" spans="1:5" ht="195" x14ac:dyDescent="0.25">
      <c r="A644" s="62" t="s">
        <v>1027</v>
      </c>
      <c r="B644" s="62" t="s">
        <v>2876</v>
      </c>
      <c r="C644" s="62" t="s">
        <v>2877</v>
      </c>
      <c r="D644" s="62" t="s">
        <v>2878</v>
      </c>
      <c r="E644" s="62" t="s">
        <v>2879</v>
      </c>
    </row>
    <row r="645" spans="1:5" ht="150" x14ac:dyDescent="0.25">
      <c r="A645" s="62" t="s">
        <v>2880</v>
      </c>
      <c r="B645" s="62" t="s">
        <v>2881</v>
      </c>
      <c r="C645" s="62" t="s">
        <v>2882</v>
      </c>
      <c r="D645" s="62" t="s">
        <v>2883</v>
      </c>
      <c r="E645" s="62" t="s">
        <v>2884</v>
      </c>
    </row>
    <row r="646" spans="1:5" ht="60" x14ac:dyDescent="0.25">
      <c r="A646" s="62" t="s">
        <v>2885</v>
      </c>
      <c r="B646" s="62" t="s">
        <v>2886</v>
      </c>
      <c r="C646" s="62" t="s">
        <v>2887</v>
      </c>
      <c r="D646" s="62" t="s">
        <v>2888</v>
      </c>
      <c r="E646" s="62" t="s">
        <v>2889</v>
      </c>
    </row>
    <row r="647" spans="1:5" ht="210" x14ac:dyDescent="0.25">
      <c r="A647" s="62" t="s">
        <v>2890</v>
      </c>
      <c r="B647" s="62" t="s">
        <v>2891</v>
      </c>
      <c r="C647" s="62" t="s">
        <v>2892</v>
      </c>
      <c r="D647" s="62" t="s">
        <v>2893</v>
      </c>
      <c r="E647" s="62" t="s">
        <v>2894</v>
      </c>
    </row>
    <row r="648" spans="1:5" ht="135" x14ac:dyDescent="0.25">
      <c r="A648" s="62" t="s">
        <v>2895</v>
      </c>
      <c r="B648" s="62" t="s">
        <v>2896</v>
      </c>
      <c r="C648" s="62" t="s">
        <v>2897</v>
      </c>
      <c r="D648" s="62" t="s">
        <v>2898</v>
      </c>
      <c r="E648" s="62" t="s">
        <v>2899</v>
      </c>
    </row>
    <row r="649" spans="1:5" ht="300" x14ac:dyDescent="0.25">
      <c r="A649" s="62" t="s">
        <v>2900</v>
      </c>
      <c r="B649" s="62" t="s">
        <v>2901</v>
      </c>
      <c r="C649" s="62" t="s">
        <v>2902</v>
      </c>
      <c r="D649" s="62" t="s">
        <v>2903</v>
      </c>
      <c r="E649" s="62" t="s">
        <v>2904</v>
      </c>
    </row>
    <row r="650" spans="1:5" ht="405" x14ac:dyDescent="0.25">
      <c r="A650" s="62" t="s">
        <v>896</v>
      </c>
      <c r="B650" s="62" t="s">
        <v>2905</v>
      </c>
      <c r="C650" s="62" t="s">
        <v>2906</v>
      </c>
      <c r="D650" s="62" t="s">
        <v>2907</v>
      </c>
      <c r="E650" s="62" t="s">
        <v>2908</v>
      </c>
    </row>
    <row r="651" spans="1:5" ht="210" x14ac:dyDescent="0.25">
      <c r="A651" s="62" t="s">
        <v>2909</v>
      </c>
      <c r="B651" s="62" t="s">
        <v>2910</v>
      </c>
      <c r="C651" s="62" t="s">
        <v>2911</v>
      </c>
      <c r="D651" s="62" t="s">
        <v>2912</v>
      </c>
      <c r="E651" s="62" t="s">
        <v>2913</v>
      </c>
    </row>
    <row r="652" spans="1:5" ht="165" x14ac:dyDescent="0.25">
      <c r="A652" s="62" t="s">
        <v>2914</v>
      </c>
      <c r="B652" s="62" t="s">
        <v>2915</v>
      </c>
      <c r="C652" s="62" t="s">
        <v>2916</v>
      </c>
      <c r="D652" s="62" t="s">
        <v>2917</v>
      </c>
      <c r="E652" s="62" t="s">
        <v>2918</v>
      </c>
    </row>
    <row r="653" spans="1:5" ht="135" x14ac:dyDescent="0.25">
      <c r="A653" s="62" t="s">
        <v>2919</v>
      </c>
      <c r="B653" s="62" t="s">
        <v>2920</v>
      </c>
      <c r="C653" s="62" t="s">
        <v>2921</v>
      </c>
      <c r="D653" s="62" t="s">
        <v>2922</v>
      </c>
      <c r="E653" s="62" t="s">
        <v>2923</v>
      </c>
    </row>
    <row r="654" spans="1:5" ht="180" x14ac:dyDescent="0.25">
      <c r="A654" s="62" t="s">
        <v>1535</v>
      </c>
      <c r="B654" s="62" t="s">
        <v>2924</v>
      </c>
      <c r="C654" s="62" t="s">
        <v>2925</v>
      </c>
      <c r="D654" s="62" t="s">
        <v>2926</v>
      </c>
      <c r="E654" s="62" t="s">
        <v>2927</v>
      </c>
    </row>
    <row r="655" spans="1:5" ht="75" x14ac:dyDescent="0.25">
      <c r="A655" s="62" t="s">
        <v>2928</v>
      </c>
      <c r="B655" s="62" t="s">
        <v>2929</v>
      </c>
      <c r="C655" s="62" t="s">
        <v>2930</v>
      </c>
      <c r="D655" s="62" t="s">
        <v>2931</v>
      </c>
      <c r="E655" s="62"/>
    </row>
    <row r="656" spans="1:5" ht="90" x14ac:dyDescent="0.25">
      <c r="A656" s="62" t="s">
        <v>2932</v>
      </c>
      <c r="B656" s="62" t="s">
        <v>2933</v>
      </c>
      <c r="C656" s="62" t="s">
        <v>2934</v>
      </c>
      <c r="D656" s="62" t="s">
        <v>2935</v>
      </c>
      <c r="E656" s="62" t="s">
        <v>2936</v>
      </c>
    </row>
    <row r="657" spans="1:5" ht="405" x14ac:dyDescent="0.25">
      <c r="A657" s="62" t="s">
        <v>2937</v>
      </c>
      <c r="B657" s="62" t="s">
        <v>2938</v>
      </c>
      <c r="C657" s="62" t="s">
        <v>2939</v>
      </c>
      <c r="D657" s="62" t="s">
        <v>2940</v>
      </c>
      <c r="E657" s="62" t="s">
        <v>2941</v>
      </c>
    </row>
    <row r="658" spans="1:5" ht="90" x14ac:dyDescent="0.25">
      <c r="A658" s="62" t="s">
        <v>2942</v>
      </c>
      <c r="B658" s="62" t="s">
        <v>2943</v>
      </c>
      <c r="C658" s="62" t="s">
        <v>2944</v>
      </c>
      <c r="D658" s="62" t="s">
        <v>2945</v>
      </c>
      <c r="E658" s="62" t="s">
        <v>2946</v>
      </c>
    </row>
    <row r="659" spans="1:5" ht="120" x14ac:dyDescent="0.25">
      <c r="A659" s="62" t="s">
        <v>2947</v>
      </c>
      <c r="B659" s="62" t="s">
        <v>2948</v>
      </c>
      <c r="C659" s="62" t="s">
        <v>2949</v>
      </c>
      <c r="D659" s="62" t="s">
        <v>2950</v>
      </c>
      <c r="E659" s="62" t="s">
        <v>2951</v>
      </c>
    </row>
    <row r="660" spans="1:5" ht="135" x14ac:dyDescent="0.25">
      <c r="A660" s="62" t="s">
        <v>2952</v>
      </c>
      <c r="B660" s="62" t="s">
        <v>2953</v>
      </c>
      <c r="C660" s="62" t="s">
        <v>2954</v>
      </c>
      <c r="D660" s="62" t="s">
        <v>2955</v>
      </c>
      <c r="E660" s="62"/>
    </row>
    <row r="661" spans="1:5" ht="225" x14ac:dyDescent="0.25">
      <c r="A661" s="62" t="s">
        <v>2956</v>
      </c>
      <c r="B661" s="62" t="s">
        <v>2957</v>
      </c>
      <c r="C661" s="62" t="s">
        <v>2958</v>
      </c>
      <c r="D661" s="62" t="s">
        <v>2959</v>
      </c>
      <c r="E661" s="62" t="s">
        <v>2960</v>
      </c>
    </row>
    <row r="662" spans="1:5" ht="409.5" x14ac:dyDescent="0.25">
      <c r="A662" s="62" t="s">
        <v>2961</v>
      </c>
      <c r="B662" s="62" t="s">
        <v>2962</v>
      </c>
      <c r="C662" s="62" t="s">
        <v>2963</v>
      </c>
      <c r="D662" s="62" t="s">
        <v>2964</v>
      </c>
      <c r="E662" s="62" t="s">
        <v>2965</v>
      </c>
    </row>
    <row r="663" spans="1:5" ht="240" x14ac:dyDescent="0.25">
      <c r="A663" s="62" t="s">
        <v>2966</v>
      </c>
      <c r="B663" s="62" t="s">
        <v>2967</v>
      </c>
      <c r="C663" s="62" t="s">
        <v>2968</v>
      </c>
      <c r="D663" s="62" t="s">
        <v>2969</v>
      </c>
      <c r="E663" s="62" t="s">
        <v>2970</v>
      </c>
    </row>
    <row r="664" spans="1:5" ht="150" x14ac:dyDescent="0.25">
      <c r="A664" s="62" t="s">
        <v>2971</v>
      </c>
      <c r="B664" s="62" t="s">
        <v>2972</v>
      </c>
      <c r="C664" s="62" t="s">
        <v>2973</v>
      </c>
      <c r="D664" s="62" t="s">
        <v>2974</v>
      </c>
      <c r="E664" s="62" t="s">
        <v>2975</v>
      </c>
    </row>
    <row r="665" spans="1:5" ht="120" x14ac:dyDescent="0.25">
      <c r="A665" s="62" t="s">
        <v>2976</v>
      </c>
      <c r="B665" s="62" t="s">
        <v>2977</v>
      </c>
      <c r="C665" s="62" t="s">
        <v>2978</v>
      </c>
      <c r="D665" s="62" t="s">
        <v>2979</v>
      </c>
      <c r="E665" s="62" t="s">
        <v>2980</v>
      </c>
    </row>
    <row r="666" spans="1:5" ht="150" x14ac:dyDescent="0.25">
      <c r="A666" s="62" t="s">
        <v>2981</v>
      </c>
      <c r="B666" s="62" t="s">
        <v>2982</v>
      </c>
      <c r="C666" s="62" t="s">
        <v>2983</v>
      </c>
      <c r="D666" s="62" t="s">
        <v>2984</v>
      </c>
      <c r="E666" s="62" t="s">
        <v>2985</v>
      </c>
    </row>
    <row r="667" spans="1:5" ht="165" x14ac:dyDescent="0.25">
      <c r="A667" s="62" t="s">
        <v>2986</v>
      </c>
      <c r="B667" s="62" t="s">
        <v>2987</v>
      </c>
      <c r="C667" s="62" t="s">
        <v>2988</v>
      </c>
      <c r="D667" s="62" t="s">
        <v>2989</v>
      </c>
      <c r="E667" s="62" t="s">
        <v>2990</v>
      </c>
    </row>
    <row r="668" spans="1:5" ht="135" x14ac:dyDescent="0.25">
      <c r="A668" s="62" t="s">
        <v>2991</v>
      </c>
      <c r="B668" s="62" t="s">
        <v>2992</v>
      </c>
      <c r="C668" s="62" t="s">
        <v>2993</v>
      </c>
      <c r="D668" s="62" t="s">
        <v>2994</v>
      </c>
      <c r="E668" s="62" t="s">
        <v>2995</v>
      </c>
    </row>
    <row r="669" spans="1:5" ht="75" x14ac:dyDescent="0.25">
      <c r="A669" s="62" t="s">
        <v>2996</v>
      </c>
      <c r="B669" s="62" t="s">
        <v>2997</v>
      </c>
      <c r="C669" s="62" t="s">
        <v>2998</v>
      </c>
      <c r="D669" s="62" t="s">
        <v>2999</v>
      </c>
      <c r="E669" s="62" t="s">
        <v>3000</v>
      </c>
    </row>
    <row r="670" spans="1:5" ht="225" x14ac:dyDescent="0.25">
      <c r="A670" s="62" t="s">
        <v>3001</v>
      </c>
      <c r="B670" s="62" t="s">
        <v>3002</v>
      </c>
      <c r="C670" s="62" t="s">
        <v>3003</v>
      </c>
      <c r="D670" s="62" t="s">
        <v>3004</v>
      </c>
      <c r="E670" s="62" t="s">
        <v>3005</v>
      </c>
    </row>
    <row r="671" spans="1:5" ht="90" x14ac:dyDescent="0.25">
      <c r="A671" s="62" t="s">
        <v>3006</v>
      </c>
      <c r="B671" s="62" t="s">
        <v>3007</v>
      </c>
      <c r="C671" s="62" t="s">
        <v>3008</v>
      </c>
      <c r="D671" s="62" t="s">
        <v>3009</v>
      </c>
      <c r="E671" s="62" t="s">
        <v>3010</v>
      </c>
    </row>
    <row r="672" spans="1:5" ht="300" x14ac:dyDescent="0.25">
      <c r="A672" s="62" t="s">
        <v>3011</v>
      </c>
      <c r="B672" s="62" t="s">
        <v>3012</v>
      </c>
      <c r="C672" s="62" t="s">
        <v>3013</v>
      </c>
      <c r="D672" s="62" t="s">
        <v>3014</v>
      </c>
      <c r="E672" s="62" t="s">
        <v>3015</v>
      </c>
    </row>
    <row r="673" spans="1:5" ht="120" x14ac:dyDescent="0.25">
      <c r="A673" s="62" t="s">
        <v>3016</v>
      </c>
      <c r="B673" s="62" t="s">
        <v>3017</v>
      </c>
      <c r="C673" s="62" t="s">
        <v>3018</v>
      </c>
      <c r="D673" s="62" t="s">
        <v>3019</v>
      </c>
      <c r="E673" s="62" t="s">
        <v>3020</v>
      </c>
    </row>
    <row r="674" spans="1:5" ht="270" x14ac:dyDescent="0.25">
      <c r="A674" s="62" t="s">
        <v>3021</v>
      </c>
      <c r="B674" s="62" t="s">
        <v>257</v>
      </c>
      <c r="C674" s="62" t="s">
        <v>3022</v>
      </c>
      <c r="D674" s="62" t="s">
        <v>3023</v>
      </c>
      <c r="E674" s="62" t="s">
        <v>881</v>
      </c>
    </row>
    <row r="675" spans="1:5" ht="255" x14ac:dyDescent="0.25">
      <c r="A675" s="62" t="s">
        <v>3024</v>
      </c>
      <c r="B675" s="62" t="s">
        <v>3025</v>
      </c>
      <c r="C675" s="62" t="s">
        <v>3026</v>
      </c>
      <c r="D675" s="62" t="s">
        <v>3027</v>
      </c>
      <c r="E675" s="62" t="s">
        <v>3028</v>
      </c>
    </row>
    <row r="676" spans="1:5" ht="90" x14ac:dyDescent="0.25">
      <c r="A676" s="62" t="s">
        <v>2395</v>
      </c>
      <c r="B676" s="62" t="s">
        <v>3029</v>
      </c>
      <c r="C676" s="62" t="s">
        <v>3030</v>
      </c>
      <c r="D676" s="62" t="s">
        <v>3031</v>
      </c>
      <c r="E676" s="62" t="s">
        <v>3032</v>
      </c>
    </row>
    <row r="677" spans="1:5" ht="75" x14ac:dyDescent="0.25">
      <c r="A677" s="62" t="s">
        <v>3033</v>
      </c>
      <c r="B677" s="62" t="s">
        <v>3034</v>
      </c>
      <c r="C677" s="62" t="s">
        <v>3035</v>
      </c>
      <c r="D677" s="62" t="s">
        <v>3036</v>
      </c>
      <c r="E677" s="62" t="s">
        <v>3037</v>
      </c>
    </row>
    <row r="678" spans="1:5" ht="45" x14ac:dyDescent="0.25">
      <c r="A678" s="62" t="s">
        <v>3038</v>
      </c>
      <c r="B678" s="62" t="s">
        <v>3039</v>
      </c>
      <c r="C678" s="62" t="s">
        <v>3040</v>
      </c>
      <c r="D678" s="62" t="s">
        <v>3041</v>
      </c>
      <c r="E678" s="62" t="s">
        <v>3037</v>
      </c>
    </row>
    <row r="679" spans="1:5" ht="75" x14ac:dyDescent="0.25">
      <c r="A679" s="62" t="s">
        <v>3042</v>
      </c>
      <c r="B679" s="62" t="s">
        <v>3043</v>
      </c>
      <c r="C679" s="62" t="s">
        <v>3044</v>
      </c>
      <c r="D679" s="62" t="s">
        <v>3045</v>
      </c>
      <c r="E679" s="62"/>
    </row>
    <row r="680" spans="1:5" ht="45" x14ac:dyDescent="0.25">
      <c r="A680" s="62" t="s">
        <v>3046</v>
      </c>
      <c r="B680" s="62" t="s">
        <v>3047</v>
      </c>
      <c r="C680" s="62" t="s">
        <v>3048</v>
      </c>
      <c r="D680" s="62" t="s">
        <v>801</v>
      </c>
      <c r="E680" s="62"/>
    </row>
    <row r="681" spans="1:5" ht="180" x14ac:dyDescent="0.25">
      <c r="A681" s="62" t="s">
        <v>3049</v>
      </c>
      <c r="B681" s="62" t="s">
        <v>3050</v>
      </c>
      <c r="C681" s="62" t="s">
        <v>3051</v>
      </c>
      <c r="D681" s="62" t="s">
        <v>3052</v>
      </c>
      <c r="E681" s="62" t="s">
        <v>3053</v>
      </c>
    </row>
    <row r="682" spans="1:5" ht="60" x14ac:dyDescent="0.25">
      <c r="A682" s="62" t="s">
        <v>3054</v>
      </c>
      <c r="B682" s="62" t="s">
        <v>3055</v>
      </c>
      <c r="C682" s="62" t="s">
        <v>3056</v>
      </c>
      <c r="D682" s="62" t="s">
        <v>3057</v>
      </c>
      <c r="E682" s="62"/>
    </row>
    <row r="683" spans="1:5" ht="120" x14ac:dyDescent="0.25">
      <c r="A683" s="62" t="s">
        <v>3058</v>
      </c>
      <c r="B683" s="62" t="s">
        <v>3059</v>
      </c>
      <c r="C683" s="62" t="s">
        <v>3060</v>
      </c>
      <c r="D683" s="62" t="s">
        <v>3061</v>
      </c>
      <c r="E683" s="62"/>
    </row>
    <row r="684" spans="1:5" ht="135" x14ac:dyDescent="0.25">
      <c r="A684" s="62" t="s">
        <v>3062</v>
      </c>
      <c r="B684" s="62" t="s">
        <v>3063</v>
      </c>
      <c r="C684" s="62" t="s">
        <v>3064</v>
      </c>
      <c r="D684" s="62" t="s">
        <v>3065</v>
      </c>
      <c r="E684" s="62" t="s">
        <v>3066</v>
      </c>
    </row>
    <row r="685" spans="1:5" ht="105" x14ac:dyDescent="0.25">
      <c r="A685" s="62" t="s">
        <v>1998</v>
      </c>
      <c r="B685" s="62" t="s">
        <v>3067</v>
      </c>
      <c r="C685" s="62" t="s">
        <v>3068</v>
      </c>
      <c r="D685" s="62" t="s">
        <v>3069</v>
      </c>
      <c r="E685" s="62" t="s">
        <v>3070</v>
      </c>
    </row>
    <row r="686" spans="1:5" ht="30" x14ac:dyDescent="0.25">
      <c r="A686" s="62" t="s">
        <v>3071</v>
      </c>
      <c r="B686" s="62" t="s">
        <v>3072</v>
      </c>
      <c r="C686" s="62"/>
      <c r="D686" s="62"/>
      <c r="E686" s="62"/>
    </row>
    <row r="687" spans="1:5" ht="90" x14ac:dyDescent="0.25">
      <c r="A687" s="62" t="s">
        <v>3073</v>
      </c>
      <c r="B687" s="62" t="s">
        <v>3074</v>
      </c>
      <c r="C687" s="62" t="s">
        <v>3075</v>
      </c>
      <c r="D687" s="62" t="s">
        <v>3076</v>
      </c>
      <c r="E687" s="62"/>
    </row>
    <row r="688" spans="1:5" ht="60" x14ac:dyDescent="0.25">
      <c r="A688" s="62" t="s">
        <v>3077</v>
      </c>
      <c r="B688" s="62" t="s">
        <v>3078</v>
      </c>
      <c r="C688" s="62" t="s">
        <v>3079</v>
      </c>
      <c r="D688" s="62" t="s">
        <v>3057</v>
      </c>
      <c r="E688" s="62" t="s">
        <v>3049</v>
      </c>
    </row>
    <row r="689" spans="1:5" ht="180" x14ac:dyDescent="0.25">
      <c r="A689" s="62" t="s">
        <v>3080</v>
      </c>
      <c r="B689" s="62" t="s">
        <v>3081</v>
      </c>
      <c r="C689" s="62" t="s">
        <v>3082</v>
      </c>
      <c r="D689" s="62" t="s">
        <v>3083</v>
      </c>
      <c r="E689" s="62" t="s">
        <v>3084</v>
      </c>
    </row>
    <row r="690" spans="1:5" ht="75" x14ac:dyDescent="0.25">
      <c r="A690" s="62" t="s">
        <v>3085</v>
      </c>
      <c r="B690" s="62" t="s">
        <v>3086</v>
      </c>
      <c r="C690" s="62" t="s">
        <v>3087</v>
      </c>
      <c r="D690" s="62" t="s">
        <v>3088</v>
      </c>
      <c r="E690" s="62" t="s">
        <v>3089</v>
      </c>
    </row>
    <row r="691" spans="1:5" ht="60" x14ac:dyDescent="0.25">
      <c r="A691" s="62" t="s">
        <v>3090</v>
      </c>
      <c r="B691" s="62" t="s">
        <v>3091</v>
      </c>
      <c r="C691" s="62" t="s">
        <v>3092</v>
      </c>
      <c r="D691" s="62" t="s">
        <v>3093</v>
      </c>
      <c r="E691" s="62"/>
    </row>
    <row r="692" spans="1:5" ht="300" x14ac:dyDescent="0.25">
      <c r="A692" s="62" t="s">
        <v>3094</v>
      </c>
      <c r="B692" s="62" t="s">
        <v>257</v>
      </c>
      <c r="C692" s="62" t="s">
        <v>3095</v>
      </c>
      <c r="D692" s="62" t="s">
        <v>3096</v>
      </c>
      <c r="E692" s="62"/>
    </row>
    <row r="693" spans="1:5" ht="409.5" x14ac:dyDescent="0.25">
      <c r="A693" s="62" t="s">
        <v>3097</v>
      </c>
      <c r="B693" s="62" t="s">
        <v>3098</v>
      </c>
      <c r="C693" s="62" t="s">
        <v>3099</v>
      </c>
      <c r="D693" s="62" t="s">
        <v>3100</v>
      </c>
      <c r="E693" s="62" t="s">
        <v>3101</v>
      </c>
    </row>
    <row r="694" spans="1:5" ht="60" x14ac:dyDescent="0.25">
      <c r="A694" s="62" t="s">
        <v>3102</v>
      </c>
      <c r="B694" s="62" t="s">
        <v>3103</v>
      </c>
      <c r="C694" s="62" t="s">
        <v>3104</v>
      </c>
      <c r="D694" s="62" t="s">
        <v>3105</v>
      </c>
      <c r="E694" s="62" t="s">
        <v>3106</v>
      </c>
    </row>
    <row r="695" spans="1:5" ht="45" x14ac:dyDescent="0.25">
      <c r="A695" s="62" t="s">
        <v>3107</v>
      </c>
      <c r="B695" s="62" t="s">
        <v>3108</v>
      </c>
      <c r="C695" s="62" t="s">
        <v>3109</v>
      </c>
      <c r="D695" s="62" t="s">
        <v>3110</v>
      </c>
      <c r="E695" s="62" t="s">
        <v>3111</v>
      </c>
    </row>
    <row r="696" spans="1:5" ht="405" x14ac:dyDescent="0.25">
      <c r="A696" s="62" t="s">
        <v>3112</v>
      </c>
      <c r="B696" s="62" t="s">
        <v>3113</v>
      </c>
      <c r="C696" s="62" t="s">
        <v>3114</v>
      </c>
      <c r="D696" s="62" t="s">
        <v>3115</v>
      </c>
      <c r="E696" s="62" t="s">
        <v>3116</v>
      </c>
    </row>
    <row r="697" spans="1:5" ht="105" x14ac:dyDescent="0.25">
      <c r="A697" s="62" t="s">
        <v>3117</v>
      </c>
      <c r="B697" s="62" t="s">
        <v>3118</v>
      </c>
      <c r="C697" s="62" t="s">
        <v>3119</v>
      </c>
      <c r="D697" s="62" t="s">
        <v>3120</v>
      </c>
      <c r="E697" s="62" t="s">
        <v>3121</v>
      </c>
    </row>
    <row r="698" spans="1:5" ht="30" x14ac:dyDescent="0.25">
      <c r="A698" s="62" t="s">
        <v>3122</v>
      </c>
      <c r="B698" s="62" t="s">
        <v>3123</v>
      </c>
      <c r="C698" s="62" t="s">
        <v>3124</v>
      </c>
      <c r="D698" s="62" t="s">
        <v>3125</v>
      </c>
      <c r="E698" s="62" t="s">
        <v>3121</v>
      </c>
    </row>
    <row r="699" spans="1:5" ht="270" x14ac:dyDescent="0.25">
      <c r="A699" s="62" t="s">
        <v>3126</v>
      </c>
      <c r="B699" s="62" t="s">
        <v>3127</v>
      </c>
      <c r="C699" s="62" t="s">
        <v>3128</v>
      </c>
      <c r="D699" s="62" t="s">
        <v>3129</v>
      </c>
      <c r="E699" s="62" t="s">
        <v>3130</v>
      </c>
    </row>
    <row r="700" spans="1:5" ht="90" x14ac:dyDescent="0.25">
      <c r="A700" s="62" t="s">
        <v>3131</v>
      </c>
      <c r="B700" s="62" t="s">
        <v>3132</v>
      </c>
      <c r="C700" s="62" t="s">
        <v>3133</v>
      </c>
      <c r="D700" s="62" t="s">
        <v>3134</v>
      </c>
      <c r="E700" s="62" t="s">
        <v>3097</v>
      </c>
    </row>
    <row r="701" spans="1:5" ht="135" x14ac:dyDescent="0.25">
      <c r="A701" s="62" t="s">
        <v>3135</v>
      </c>
      <c r="B701" s="62" t="s">
        <v>3136</v>
      </c>
      <c r="C701" s="62" t="s">
        <v>3137</v>
      </c>
      <c r="D701" s="62" t="s">
        <v>3138</v>
      </c>
      <c r="E701" s="62" t="s">
        <v>3097</v>
      </c>
    </row>
    <row r="702" spans="1:5" ht="45" x14ac:dyDescent="0.25">
      <c r="A702" s="62" t="s">
        <v>3139</v>
      </c>
      <c r="B702" s="62" t="s">
        <v>3140</v>
      </c>
      <c r="C702" s="62" t="s">
        <v>3141</v>
      </c>
      <c r="D702" s="62" t="s">
        <v>3142</v>
      </c>
      <c r="E702" s="62" t="s">
        <v>3097</v>
      </c>
    </row>
    <row r="703" spans="1:5" ht="270" x14ac:dyDescent="0.25">
      <c r="A703" s="62" t="s">
        <v>3143</v>
      </c>
      <c r="B703" s="62" t="s">
        <v>3144</v>
      </c>
      <c r="C703" s="62" t="s">
        <v>3145</v>
      </c>
      <c r="D703" s="62" t="s">
        <v>3146</v>
      </c>
      <c r="E703" s="62" t="s">
        <v>3147</v>
      </c>
    </row>
    <row r="704" spans="1:5" ht="210" x14ac:dyDescent="0.25">
      <c r="A704" s="62" t="s">
        <v>3148</v>
      </c>
      <c r="B704" s="62" t="s">
        <v>3149</v>
      </c>
      <c r="C704" s="62" t="s">
        <v>3150</v>
      </c>
      <c r="D704" s="62" t="s">
        <v>3151</v>
      </c>
      <c r="E704" s="62" t="s">
        <v>2956</v>
      </c>
    </row>
    <row r="705" spans="1:5" ht="255" x14ac:dyDescent="0.25">
      <c r="A705" s="62" t="s">
        <v>3152</v>
      </c>
      <c r="B705" s="62" t="s">
        <v>3153</v>
      </c>
      <c r="C705" s="62" t="s">
        <v>3154</v>
      </c>
      <c r="D705" s="62" t="s">
        <v>3155</v>
      </c>
      <c r="E705" s="62" t="s">
        <v>3156</v>
      </c>
    </row>
    <row r="706" spans="1:5" ht="165" x14ac:dyDescent="0.25">
      <c r="A706" s="62" t="s">
        <v>3156</v>
      </c>
      <c r="B706" s="62" t="s">
        <v>3157</v>
      </c>
      <c r="C706" s="62" t="s">
        <v>3158</v>
      </c>
      <c r="D706" s="62" t="s">
        <v>3159</v>
      </c>
      <c r="E706" s="62" t="s">
        <v>3160</v>
      </c>
    </row>
    <row r="707" spans="1:5" ht="150" x14ac:dyDescent="0.25">
      <c r="A707" s="62" t="s">
        <v>3161</v>
      </c>
      <c r="B707" s="62" t="s">
        <v>3162</v>
      </c>
      <c r="C707" s="62" t="s">
        <v>3163</v>
      </c>
      <c r="D707" s="62" t="s">
        <v>3164</v>
      </c>
      <c r="E707" s="62"/>
    </row>
    <row r="708" spans="1:5" ht="120" x14ac:dyDescent="0.25">
      <c r="A708" s="62" t="s">
        <v>3165</v>
      </c>
      <c r="B708" s="62" t="s">
        <v>3166</v>
      </c>
      <c r="C708" s="62" t="s">
        <v>3167</v>
      </c>
      <c r="D708" s="62" t="s">
        <v>3168</v>
      </c>
      <c r="E708" s="62"/>
    </row>
    <row r="709" spans="1:5" ht="120" x14ac:dyDescent="0.25">
      <c r="A709" s="62" t="s">
        <v>3169</v>
      </c>
      <c r="B709" s="62" t="s">
        <v>3170</v>
      </c>
      <c r="C709" s="62" t="s">
        <v>3171</v>
      </c>
      <c r="D709" s="62" t="s">
        <v>3172</v>
      </c>
      <c r="E709" s="62" t="s">
        <v>3173</v>
      </c>
    </row>
    <row r="710" spans="1:5" ht="120" x14ac:dyDescent="0.25">
      <c r="A710" s="62" t="s">
        <v>3174</v>
      </c>
      <c r="B710" s="62" t="s">
        <v>3175</v>
      </c>
      <c r="C710" s="62" t="s">
        <v>3176</v>
      </c>
      <c r="D710" s="62" t="s">
        <v>3177</v>
      </c>
      <c r="E710" s="62" t="s">
        <v>1925</v>
      </c>
    </row>
    <row r="711" spans="1:5" ht="60" x14ac:dyDescent="0.25">
      <c r="A711" s="62" t="s">
        <v>3178</v>
      </c>
      <c r="B711" s="62" t="s">
        <v>3179</v>
      </c>
      <c r="C711" s="62" t="s">
        <v>3180</v>
      </c>
      <c r="D711" s="62" t="s">
        <v>3181</v>
      </c>
      <c r="E711" s="62"/>
    </row>
    <row r="712" spans="1:5" ht="150" x14ac:dyDescent="0.25">
      <c r="A712" s="62" t="s">
        <v>3182</v>
      </c>
      <c r="B712" s="62" t="s">
        <v>3183</v>
      </c>
      <c r="C712" s="62" t="s">
        <v>3184</v>
      </c>
      <c r="D712" s="62" t="s">
        <v>3185</v>
      </c>
      <c r="E712" s="62" t="s">
        <v>2971</v>
      </c>
    </row>
    <row r="713" spans="1:5" ht="270" x14ac:dyDescent="0.25">
      <c r="A713" s="62" t="s">
        <v>3186</v>
      </c>
      <c r="B713" s="62" t="s">
        <v>257</v>
      </c>
      <c r="C713" s="62" t="s">
        <v>3187</v>
      </c>
      <c r="D713" s="62" t="s">
        <v>3188</v>
      </c>
      <c r="E713" s="62" t="s">
        <v>881</v>
      </c>
    </row>
    <row r="714" spans="1:5" ht="300" x14ac:dyDescent="0.25">
      <c r="A714" s="62" t="s">
        <v>1989</v>
      </c>
      <c r="B714" s="62" t="s">
        <v>3189</v>
      </c>
      <c r="C714" s="62" t="s">
        <v>3190</v>
      </c>
      <c r="D714" s="62" t="s">
        <v>3191</v>
      </c>
      <c r="E714" s="62" t="s">
        <v>3192</v>
      </c>
    </row>
    <row r="715" spans="1:5" ht="255" x14ac:dyDescent="0.25">
      <c r="A715" s="62" t="s">
        <v>3193</v>
      </c>
      <c r="B715" s="62" t="s">
        <v>3194</v>
      </c>
      <c r="C715" s="62" t="s">
        <v>3195</v>
      </c>
      <c r="D715" s="62" t="s">
        <v>3196</v>
      </c>
      <c r="E715" s="62"/>
    </row>
    <row r="716" spans="1:5" ht="300" x14ac:dyDescent="0.25">
      <c r="A716" s="62" t="s">
        <v>913</v>
      </c>
      <c r="B716" s="62" t="s">
        <v>3197</v>
      </c>
      <c r="C716" s="62" t="s">
        <v>3198</v>
      </c>
      <c r="D716" s="62" t="s">
        <v>3199</v>
      </c>
      <c r="E716" s="62" t="s">
        <v>3200</v>
      </c>
    </row>
    <row r="717" spans="1:5" ht="150" x14ac:dyDescent="0.25">
      <c r="A717" s="62" t="s">
        <v>3201</v>
      </c>
      <c r="B717" s="62" t="s">
        <v>3202</v>
      </c>
      <c r="C717" s="62" t="s">
        <v>3203</v>
      </c>
      <c r="D717" s="62" t="s">
        <v>3204</v>
      </c>
      <c r="E717" s="62" t="s">
        <v>3205</v>
      </c>
    </row>
    <row r="718" spans="1:5" ht="150" x14ac:dyDescent="0.25">
      <c r="A718" s="62" t="s">
        <v>3206</v>
      </c>
      <c r="B718" s="62" t="s">
        <v>3207</v>
      </c>
      <c r="C718" s="62" t="s">
        <v>3208</v>
      </c>
      <c r="D718" s="62" t="s">
        <v>3209</v>
      </c>
      <c r="E718" s="62"/>
    </row>
    <row r="719" spans="1:5" ht="75" x14ac:dyDescent="0.25">
      <c r="A719" s="62" t="s">
        <v>3210</v>
      </c>
      <c r="B719" s="62" t="s">
        <v>3211</v>
      </c>
      <c r="C719" s="62" t="s">
        <v>3212</v>
      </c>
      <c r="D719" s="62" t="s">
        <v>3213</v>
      </c>
      <c r="E719" s="62" t="s">
        <v>882</v>
      </c>
    </row>
    <row r="720" spans="1:5" ht="180" x14ac:dyDescent="0.25">
      <c r="A720" s="62" t="s">
        <v>3214</v>
      </c>
      <c r="B720" s="62" t="s">
        <v>3215</v>
      </c>
      <c r="C720" s="62" t="s">
        <v>3216</v>
      </c>
      <c r="D720" s="62" t="s">
        <v>3217</v>
      </c>
      <c r="E720" s="62"/>
    </row>
    <row r="721" spans="1:5" x14ac:dyDescent="0.25">
      <c r="A721" s="62" t="s">
        <v>3218</v>
      </c>
      <c r="B721" s="62" t="s">
        <v>3219</v>
      </c>
      <c r="C721" s="62"/>
      <c r="D721" s="62"/>
      <c r="E721" s="62"/>
    </row>
    <row r="722" spans="1:5" ht="409.5" x14ac:dyDescent="0.25">
      <c r="A722" s="62" t="s">
        <v>3220</v>
      </c>
      <c r="B722" s="62" t="s">
        <v>3221</v>
      </c>
      <c r="C722" s="62" t="s">
        <v>3222</v>
      </c>
      <c r="D722" s="62" t="s">
        <v>3223</v>
      </c>
      <c r="E722" s="62" t="s">
        <v>3224</v>
      </c>
    </row>
    <row r="723" spans="1:5" ht="30" x14ac:dyDescent="0.25">
      <c r="A723" s="62" t="s">
        <v>3225</v>
      </c>
      <c r="B723" s="62" t="s">
        <v>3226</v>
      </c>
      <c r="C723" s="62"/>
      <c r="D723" s="62"/>
      <c r="E723" s="62"/>
    </row>
    <row r="724" spans="1:5" ht="60" x14ac:dyDescent="0.25">
      <c r="A724" s="62" t="s">
        <v>3227</v>
      </c>
      <c r="B724" s="62" t="s">
        <v>3228</v>
      </c>
      <c r="C724" s="62" t="s">
        <v>3229</v>
      </c>
      <c r="D724" s="62" t="s">
        <v>3230</v>
      </c>
      <c r="E724" s="62" t="s">
        <v>3231</v>
      </c>
    </row>
    <row r="725" spans="1:5" ht="150" x14ac:dyDescent="0.25">
      <c r="A725" s="62" t="s">
        <v>3232</v>
      </c>
      <c r="B725" s="62" t="s">
        <v>3233</v>
      </c>
      <c r="C725" s="62" t="s">
        <v>3234</v>
      </c>
      <c r="D725" s="62" t="s">
        <v>3235</v>
      </c>
      <c r="E725" s="62"/>
    </row>
    <row r="726" spans="1:5" ht="120" x14ac:dyDescent="0.25">
      <c r="A726" s="62" t="s">
        <v>3236</v>
      </c>
      <c r="B726" s="62" t="s">
        <v>3237</v>
      </c>
      <c r="C726" s="62" t="s">
        <v>3238</v>
      </c>
      <c r="D726" s="62" t="s">
        <v>3239</v>
      </c>
      <c r="E726" s="62" t="s">
        <v>3240</v>
      </c>
    </row>
    <row r="727" spans="1:5" ht="75" x14ac:dyDescent="0.25">
      <c r="A727" s="62" t="s">
        <v>3241</v>
      </c>
      <c r="B727" s="62" t="s">
        <v>3242</v>
      </c>
      <c r="C727" s="62" t="s">
        <v>3243</v>
      </c>
      <c r="D727" s="62" t="s">
        <v>3244</v>
      </c>
      <c r="E727" s="62"/>
    </row>
    <row r="728" spans="1:5" ht="30" x14ac:dyDescent="0.25">
      <c r="A728" s="62" t="s">
        <v>3245</v>
      </c>
      <c r="B728" s="62" t="s">
        <v>3246</v>
      </c>
      <c r="C728" s="62" t="s">
        <v>3247</v>
      </c>
      <c r="D728" s="62" t="s">
        <v>3248</v>
      </c>
      <c r="E728" s="62"/>
    </row>
    <row r="729" spans="1:5" ht="45" x14ac:dyDescent="0.25">
      <c r="A729" s="62" t="s">
        <v>3249</v>
      </c>
      <c r="B729" s="62" t="s">
        <v>3250</v>
      </c>
      <c r="C729" s="62"/>
      <c r="D729" s="62"/>
      <c r="E729" s="62"/>
    </row>
    <row r="730" spans="1:5" ht="90" x14ac:dyDescent="0.25">
      <c r="A730" s="62" t="s">
        <v>3251</v>
      </c>
      <c r="B730" s="62" t="s">
        <v>3252</v>
      </c>
      <c r="C730" s="62" t="s">
        <v>3253</v>
      </c>
      <c r="D730" s="62" t="s">
        <v>3254</v>
      </c>
      <c r="E730" s="62" t="s">
        <v>3255</v>
      </c>
    </row>
    <row r="731" spans="1:5" ht="30" x14ac:dyDescent="0.25">
      <c r="A731" s="62" t="s">
        <v>3256</v>
      </c>
      <c r="B731" s="62" t="s">
        <v>3257</v>
      </c>
      <c r="C731" s="62"/>
      <c r="D731" s="62"/>
      <c r="E731" s="62"/>
    </row>
    <row r="732" spans="1:5" ht="165" x14ac:dyDescent="0.25">
      <c r="A732" s="62" t="s">
        <v>3258</v>
      </c>
      <c r="B732" s="62" t="s">
        <v>3259</v>
      </c>
      <c r="C732" s="62" t="s">
        <v>3260</v>
      </c>
      <c r="D732" s="62" t="s">
        <v>3261</v>
      </c>
      <c r="E732" s="62"/>
    </row>
    <row r="733" spans="1:5" ht="75" x14ac:dyDescent="0.25">
      <c r="A733" s="62" t="s">
        <v>3262</v>
      </c>
      <c r="B733" s="62" t="s">
        <v>3263</v>
      </c>
      <c r="C733" s="62" t="s">
        <v>3264</v>
      </c>
      <c r="D733" s="62" t="s">
        <v>3265</v>
      </c>
      <c r="E733" s="62"/>
    </row>
    <row r="734" spans="1:5" ht="120" x14ac:dyDescent="0.25">
      <c r="A734" s="62" t="s">
        <v>3266</v>
      </c>
      <c r="B734" s="62" t="s">
        <v>3267</v>
      </c>
      <c r="C734" s="62" t="s">
        <v>3268</v>
      </c>
      <c r="D734" s="62" t="s">
        <v>3269</v>
      </c>
      <c r="E734" s="62"/>
    </row>
    <row r="735" spans="1:5" ht="150" x14ac:dyDescent="0.25">
      <c r="A735" s="62" t="s">
        <v>3270</v>
      </c>
      <c r="B735" s="62" t="s">
        <v>3271</v>
      </c>
      <c r="C735" s="62" t="s">
        <v>3272</v>
      </c>
      <c r="D735" s="62" t="s">
        <v>3273</v>
      </c>
      <c r="E735" s="62" t="s">
        <v>3274</v>
      </c>
    </row>
    <row r="736" spans="1:5" ht="409.5" x14ac:dyDescent="0.25">
      <c r="A736" s="62" t="s">
        <v>3275</v>
      </c>
      <c r="B736" s="62" t="s">
        <v>3276</v>
      </c>
      <c r="C736" s="62" t="s">
        <v>3277</v>
      </c>
      <c r="D736" s="62" t="s">
        <v>3278</v>
      </c>
      <c r="E736" s="62" t="s">
        <v>3279</v>
      </c>
    </row>
    <row r="737" spans="1:5" ht="409.5" x14ac:dyDescent="0.25">
      <c r="A737" s="62" t="s">
        <v>3280</v>
      </c>
      <c r="B737" s="62" t="s">
        <v>3281</v>
      </c>
      <c r="C737" s="62" t="s">
        <v>3282</v>
      </c>
      <c r="D737" s="62" t="s">
        <v>3283</v>
      </c>
      <c r="E737" s="62" t="s">
        <v>3284</v>
      </c>
    </row>
    <row r="738" spans="1:5" ht="180" x14ac:dyDescent="0.25">
      <c r="A738" s="62" t="s">
        <v>3285</v>
      </c>
      <c r="B738" s="62" t="s">
        <v>3286</v>
      </c>
      <c r="C738" s="62" t="s">
        <v>3287</v>
      </c>
      <c r="D738" s="62" t="s">
        <v>3288</v>
      </c>
      <c r="E738" s="62" t="s">
        <v>3289</v>
      </c>
    </row>
    <row r="739" spans="1:5" ht="285" x14ac:dyDescent="0.25">
      <c r="A739" s="62" t="s">
        <v>3290</v>
      </c>
      <c r="B739" s="62" t="s">
        <v>257</v>
      </c>
      <c r="C739" s="62" t="s">
        <v>3291</v>
      </c>
      <c r="D739" s="62" t="s">
        <v>3292</v>
      </c>
      <c r="E739" s="62" t="s">
        <v>1350</v>
      </c>
    </row>
    <row r="740" spans="1:5" ht="105" x14ac:dyDescent="0.25">
      <c r="A740" s="62" t="s">
        <v>3293</v>
      </c>
      <c r="B740" s="62" t="s">
        <v>3294</v>
      </c>
      <c r="C740" s="62" t="s">
        <v>3295</v>
      </c>
      <c r="D740" s="62" t="s">
        <v>3296</v>
      </c>
      <c r="E740" s="62" t="s">
        <v>3297</v>
      </c>
    </row>
    <row r="741" spans="1:5" ht="390" x14ac:dyDescent="0.25">
      <c r="A741" s="62" t="s">
        <v>3298</v>
      </c>
      <c r="B741" s="62" t="s">
        <v>3299</v>
      </c>
      <c r="C741" s="62" t="s">
        <v>3300</v>
      </c>
      <c r="D741" s="62" t="s">
        <v>3301</v>
      </c>
      <c r="E741" s="62" t="s">
        <v>3302</v>
      </c>
    </row>
    <row r="742" spans="1:5" ht="75" x14ac:dyDescent="0.25">
      <c r="A742" s="62" t="s">
        <v>3303</v>
      </c>
      <c r="B742" s="62" t="s">
        <v>3304</v>
      </c>
      <c r="C742" s="62" t="s">
        <v>3305</v>
      </c>
      <c r="D742" s="62" t="s">
        <v>3306</v>
      </c>
      <c r="E742" s="62" t="s">
        <v>3307</v>
      </c>
    </row>
    <row r="743" spans="1:5" ht="150" x14ac:dyDescent="0.25">
      <c r="A743" s="62" t="s">
        <v>3308</v>
      </c>
      <c r="B743" s="62" t="s">
        <v>3309</v>
      </c>
      <c r="C743" s="62" t="s">
        <v>3310</v>
      </c>
      <c r="D743" s="62" t="s">
        <v>3311</v>
      </c>
      <c r="E743" s="62" t="s">
        <v>3312</v>
      </c>
    </row>
    <row r="744" spans="1:5" ht="120" x14ac:dyDescent="0.25">
      <c r="A744" s="62" t="s">
        <v>3313</v>
      </c>
      <c r="B744" s="62" t="s">
        <v>3314</v>
      </c>
      <c r="C744" s="62" t="s">
        <v>3315</v>
      </c>
      <c r="D744" s="62" t="s">
        <v>3316</v>
      </c>
      <c r="E744" s="62" t="s">
        <v>2408</v>
      </c>
    </row>
    <row r="745" spans="1:5" ht="409.5" x14ac:dyDescent="0.25">
      <c r="A745" s="62" t="s">
        <v>1244</v>
      </c>
      <c r="B745" s="62" t="s">
        <v>3317</v>
      </c>
      <c r="C745" s="62" t="s">
        <v>3318</v>
      </c>
      <c r="D745" s="62" t="s">
        <v>3319</v>
      </c>
      <c r="E745" s="62" t="s">
        <v>3320</v>
      </c>
    </row>
    <row r="746" spans="1:5" ht="60" x14ac:dyDescent="0.25">
      <c r="A746" s="62" t="s">
        <v>3321</v>
      </c>
      <c r="B746" s="62" t="s">
        <v>3322</v>
      </c>
      <c r="C746" s="62" t="s">
        <v>3323</v>
      </c>
      <c r="D746" s="62" t="s">
        <v>3324</v>
      </c>
      <c r="E746" s="62"/>
    </row>
    <row r="747" spans="1:5" ht="195" x14ac:dyDescent="0.25">
      <c r="A747" s="62" t="s">
        <v>3325</v>
      </c>
      <c r="B747" s="62" t="s">
        <v>3326</v>
      </c>
      <c r="C747" s="62" t="s">
        <v>3327</v>
      </c>
      <c r="D747" s="62" t="s">
        <v>3328</v>
      </c>
      <c r="E747" s="62"/>
    </row>
    <row r="748" spans="1:5" ht="165" x14ac:dyDescent="0.25">
      <c r="A748" s="62" t="s">
        <v>3329</v>
      </c>
      <c r="B748" s="62" t="s">
        <v>3330</v>
      </c>
      <c r="C748" s="62" t="s">
        <v>3331</v>
      </c>
      <c r="D748" s="62" t="s">
        <v>3332</v>
      </c>
      <c r="E748" s="62"/>
    </row>
    <row r="749" spans="1:5" ht="30" x14ac:dyDescent="0.25">
      <c r="A749" s="62" t="s">
        <v>3333</v>
      </c>
      <c r="B749" s="62" t="s">
        <v>3334</v>
      </c>
      <c r="C749" s="62"/>
      <c r="D749" s="62"/>
      <c r="E749" s="62"/>
    </row>
    <row r="750" spans="1:5" ht="75" x14ac:dyDescent="0.25">
      <c r="A750" s="62" t="s">
        <v>3335</v>
      </c>
      <c r="B750" s="62" t="s">
        <v>3336</v>
      </c>
      <c r="C750" s="62" t="s">
        <v>3337</v>
      </c>
      <c r="D750" s="62" t="s">
        <v>3338</v>
      </c>
      <c r="E750" s="62"/>
    </row>
    <row r="751" spans="1:5" ht="105" x14ac:dyDescent="0.25">
      <c r="A751" s="62" t="s">
        <v>3339</v>
      </c>
      <c r="B751" s="62" t="s">
        <v>3340</v>
      </c>
      <c r="C751" s="62" t="s">
        <v>3341</v>
      </c>
      <c r="D751" s="62" t="s">
        <v>3342</v>
      </c>
      <c r="E751" s="62" t="s">
        <v>732</v>
      </c>
    </row>
    <row r="752" spans="1:5" ht="120" x14ac:dyDescent="0.25">
      <c r="A752" s="62" t="s">
        <v>3343</v>
      </c>
      <c r="B752" s="62" t="s">
        <v>3344</v>
      </c>
      <c r="C752" s="62" t="s">
        <v>3345</v>
      </c>
      <c r="D752" s="62" t="s">
        <v>3346</v>
      </c>
      <c r="E752" s="62" t="s">
        <v>3347</v>
      </c>
    </row>
    <row r="753" spans="1:5" ht="120" x14ac:dyDescent="0.25">
      <c r="A753" s="62" t="s">
        <v>3348</v>
      </c>
      <c r="B753" s="62" t="s">
        <v>3349</v>
      </c>
      <c r="C753" s="62" t="s">
        <v>3350</v>
      </c>
      <c r="D753" s="62" t="s">
        <v>3351</v>
      </c>
      <c r="E753" s="62" t="s">
        <v>572</v>
      </c>
    </row>
    <row r="754" spans="1:5" ht="165" x14ac:dyDescent="0.25">
      <c r="A754" s="62" t="s">
        <v>3352</v>
      </c>
      <c r="B754" s="62" t="s">
        <v>3353</v>
      </c>
      <c r="C754" s="62" t="s">
        <v>3354</v>
      </c>
      <c r="D754" s="62" t="s">
        <v>3355</v>
      </c>
      <c r="E754" s="62" t="s">
        <v>3356</v>
      </c>
    </row>
    <row r="755" spans="1:5" ht="45" x14ac:dyDescent="0.25">
      <c r="A755" s="62" t="s">
        <v>3357</v>
      </c>
      <c r="B755" s="62" t="s">
        <v>3358</v>
      </c>
      <c r="C755" s="62" t="s">
        <v>3359</v>
      </c>
      <c r="D755" s="62" t="s">
        <v>3360</v>
      </c>
      <c r="E755" s="62" t="s">
        <v>3361</v>
      </c>
    </row>
    <row r="756" spans="1:5" ht="60" x14ac:dyDescent="0.25">
      <c r="A756" s="62" t="s">
        <v>3362</v>
      </c>
      <c r="B756" s="62" t="s">
        <v>3363</v>
      </c>
      <c r="C756" s="62" t="s">
        <v>3364</v>
      </c>
      <c r="D756" s="62" t="s">
        <v>3365</v>
      </c>
      <c r="E756" s="62" t="s">
        <v>3156</v>
      </c>
    </row>
    <row r="757" spans="1:5" ht="45" x14ac:dyDescent="0.25">
      <c r="A757" s="62" t="s">
        <v>3366</v>
      </c>
      <c r="B757" s="62" t="s">
        <v>3367</v>
      </c>
      <c r="C757" s="62" t="s">
        <v>3368</v>
      </c>
      <c r="D757" s="62" t="s">
        <v>3369</v>
      </c>
      <c r="E757" s="62"/>
    </row>
    <row r="758" spans="1:5" ht="285" x14ac:dyDescent="0.25">
      <c r="A758" s="62" t="s">
        <v>3370</v>
      </c>
      <c r="B758" s="62" t="s">
        <v>3371</v>
      </c>
      <c r="C758" s="62" t="s">
        <v>3372</v>
      </c>
      <c r="D758" s="62" t="s">
        <v>3373</v>
      </c>
      <c r="E758" s="62" t="s">
        <v>3374</v>
      </c>
    </row>
    <row r="759" spans="1:5" ht="30" x14ac:dyDescent="0.25">
      <c r="A759" s="62" t="s">
        <v>3375</v>
      </c>
      <c r="B759" s="62" t="s">
        <v>3376</v>
      </c>
      <c r="C759" s="62"/>
      <c r="D759" s="62"/>
      <c r="E759" s="62"/>
    </row>
    <row r="760" spans="1:5" ht="30" x14ac:dyDescent="0.25">
      <c r="A760" s="62" t="s">
        <v>3377</v>
      </c>
      <c r="B760" s="62" t="s">
        <v>3378</v>
      </c>
      <c r="C760" s="62"/>
      <c r="D760" s="62"/>
      <c r="E760" s="62"/>
    </row>
    <row r="761" spans="1:5" x14ac:dyDescent="0.25">
      <c r="A761" s="62" t="s">
        <v>3379</v>
      </c>
      <c r="B761" s="62" t="s">
        <v>3380</v>
      </c>
      <c r="C761" s="62"/>
      <c r="D761" s="62"/>
      <c r="E761" s="62"/>
    </row>
    <row r="762" spans="1:5" x14ac:dyDescent="0.25">
      <c r="A762" s="62" t="s">
        <v>3381</v>
      </c>
      <c r="B762" s="62" t="s">
        <v>3382</v>
      </c>
      <c r="C762" s="62"/>
      <c r="D762" s="62"/>
      <c r="E762" s="62"/>
    </row>
    <row r="763" spans="1:5" x14ac:dyDescent="0.25">
      <c r="A763" s="62" t="s">
        <v>3383</v>
      </c>
      <c r="B763" s="62" t="s">
        <v>3384</v>
      </c>
      <c r="C763" s="62"/>
      <c r="D763" s="62"/>
      <c r="E763" s="62"/>
    </row>
    <row r="764" spans="1:5" x14ac:dyDescent="0.25">
      <c r="A764" s="62" t="s">
        <v>3385</v>
      </c>
      <c r="B764" s="62" t="s">
        <v>1577</v>
      </c>
      <c r="C764" s="62"/>
      <c r="D764" s="62"/>
      <c r="E764" s="62"/>
    </row>
    <row r="765" spans="1:5" x14ac:dyDescent="0.25">
      <c r="A765" s="62" t="s">
        <v>3386</v>
      </c>
      <c r="B765" s="62" t="s">
        <v>1587</v>
      </c>
      <c r="C765" s="62"/>
      <c r="D765" s="62"/>
      <c r="E765" s="62"/>
    </row>
    <row r="766" spans="1:5" ht="360" x14ac:dyDescent="0.25">
      <c r="A766" s="62" t="s">
        <v>2884</v>
      </c>
      <c r="B766" s="62" t="s">
        <v>3387</v>
      </c>
      <c r="C766" s="62" t="s">
        <v>3388</v>
      </c>
      <c r="D766" s="62" t="s">
        <v>3389</v>
      </c>
      <c r="E766" s="62" t="s">
        <v>3390</v>
      </c>
    </row>
    <row r="767" spans="1:5" ht="180" x14ac:dyDescent="0.25">
      <c r="A767" s="62" t="s">
        <v>3391</v>
      </c>
      <c r="B767" s="62" t="s">
        <v>3392</v>
      </c>
      <c r="C767" s="62" t="s">
        <v>3393</v>
      </c>
      <c r="D767" s="62" t="s">
        <v>3394</v>
      </c>
      <c r="E767" s="62"/>
    </row>
    <row r="768" spans="1:5" ht="180" x14ac:dyDescent="0.25">
      <c r="A768" s="62" t="s">
        <v>3395</v>
      </c>
      <c r="B768" s="62" t="s">
        <v>3396</v>
      </c>
      <c r="C768" s="62" t="s">
        <v>3397</v>
      </c>
      <c r="D768" s="62" t="s">
        <v>3398</v>
      </c>
      <c r="E768" s="62"/>
    </row>
    <row r="769" spans="1:5" ht="210" x14ac:dyDescent="0.25">
      <c r="A769" s="62" t="s">
        <v>3399</v>
      </c>
      <c r="B769" s="62" t="s">
        <v>3400</v>
      </c>
      <c r="C769" s="62" t="s">
        <v>3401</v>
      </c>
      <c r="D769" s="62" t="s">
        <v>3402</v>
      </c>
      <c r="E769" s="62" t="s">
        <v>3403</v>
      </c>
    </row>
    <row r="770" spans="1:5" ht="180" x14ac:dyDescent="0.25">
      <c r="A770" s="62" t="s">
        <v>3404</v>
      </c>
      <c r="B770" s="62" t="s">
        <v>3405</v>
      </c>
      <c r="C770" s="62" t="s">
        <v>3406</v>
      </c>
      <c r="D770" s="62" t="s">
        <v>3407</v>
      </c>
      <c r="E770" s="62"/>
    </row>
    <row r="771" spans="1:5" ht="165" x14ac:dyDescent="0.25">
      <c r="A771" s="62" t="s">
        <v>3408</v>
      </c>
      <c r="B771" s="62" t="s">
        <v>3409</v>
      </c>
      <c r="C771" s="62" t="s">
        <v>3410</v>
      </c>
      <c r="D771" s="62" t="s">
        <v>3411</v>
      </c>
      <c r="E771" s="62" t="s">
        <v>873</v>
      </c>
    </row>
    <row r="772" spans="1:5" ht="225" x14ac:dyDescent="0.25">
      <c r="A772" s="62" t="s">
        <v>3412</v>
      </c>
      <c r="B772" s="62" t="s">
        <v>3413</v>
      </c>
      <c r="C772" s="62" t="s">
        <v>3414</v>
      </c>
      <c r="D772" s="62" t="s">
        <v>3415</v>
      </c>
      <c r="E772" s="62" t="s">
        <v>3416</v>
      </c>
    </row>
    <row r="773" spans="1:5" ht="315" x14ac:dyDescent="0.25">
      <c r="A773" s="62" t="s">
        <v>3417</v>
      </c>
      <c r="B773" s="62" t="s">
        <v>3418</v>
      </c>
      <c r="C773" s="62" t="s">
        <v>3419</v>
      </c>
      <c r="D773" s="62" t="s">
        <v>3420</v>
      </c>
      <c r="E773" s="62"/>
    </row>
    <row r="774" spans="1:5" ht="255" x14ac:dyDescent="0.25">
      <c r="A774" s="62" t="s">
        <v>3421</v>
      </c>
      <c r="B774" s="62" t="s">
        <v>3422</v>
      </c>
      <c r="C774" s="62" t="s">
        <v>3423</v>
      </c>
      <c r="D774" s="62" t="s">
        <v>3424</v>
      </c>
      <c r="E774" s="62" t="s">
        <v>1381</v>
      </c>
    </row>
    <row r="775" spans="1:5" ht="330" x14ac:dyDescent="0.25">
      <c r="A775" s="62" t="s">
        <v>3425</v>
      </c>
      <c r="B775" s="62" t="s">
        <v>3426</v>
      </c>
      <c r="C775" s="62" t="s">
        <v>3427</v>
      </c>
      <c r="D775" s="62" t="s">
        <v>3428</v>
      </c>
      <c r="E775" s="62"/>
    </row>
    <row r="776" spans="1:5" ht="330" x14ac:dyDescent="0.25">
      <c r="A776" s="62" t="s">
        <v>3429</v>
      </c>
      <c r="B776" s="62" t="s">
        <v>3430</v>
      </c>
      <c r="C776" s="62" t="s">
        <v>3431</v>
      </c>
      <c r="D776" s="62" t="s">
        <v>3432</v>
      </c>
      <c r="E776" s="62"/>
    </row>
    <row r="777" spans="1:5" ht="135" x14ac:dyDescent="0.25">
      <c r="A777" s="62" t="s">
        <v>3433</v>
      </c>
      <c r="B777" s="62" t="s">
        <v>3434</v>
      </c>
      <c r="C777" s="62" t="s">
        <v>3435</v>
      </c>
      <c r="D777" s="62" t="s">
        <v>3436</v>
      </c>
      <c r="E777" s="62"/>
    </row>
    <row r="778" spans="1:5" ht="165" x14ac:dyDescent="0.25">
      <c r="A778" s="62" t="s">
        <v>3437</v>
      </c>
      <c r="B778" s="62" t="s">
        <v>3438</v>
      </c>
      <c r="C778" s="62" t="s">
        <v>3439</v>
      </c>
      <c r="D778" s="62" t="s">
        <v>3440</v>
      </c>
      <c r="E778" s="62"/>
    </row>
    <row r="779" spans="1:5" ht="195" x14ac:dyDescent="0.25">
      <c r="A779" s="62" t="s">
        <v>3441</v>
      </c>
      <c r="B779" s="62" t="s">
        <v>3442</v>
      </c>
      <c r="C779" s="62" t="s">
        <v>3443</v>
      </c>
      <c r="D779" s="62" t="s">
        <v>3444</v>
      </c>
      <c r="E779" s="62"/>
    </row>
    <row r="780" spans="1:5" ht="345" x14ac:dyDescent="0.25">
      <c r="A780" s="62" t="s">
        <v>3445</v>
      </c>
      <c r="B780" s="62" t="s">
        <v>3446</v>
      </c>
      <c r="C780" s="62" t="s">
        <v>3447</v>
      </c>
      <c r="D780" s="62" t="s">
        <v>3448</v>
      </c>
      <c r="E780" s="62" t="s">
        <v>3449</v>
      </c>
    </row>
    <row r="781" spans="1:5" ht="180" x14ac:dyDescent="0.25">
      <c r="A781" s="62" t="s">
        <v>3450</v>
      </c>
      <c r="B781" s="62" t="s">
        <v>3451</v>
      </c>
      <c r="C781" s="62" t="s">
        <v>3452</v>
      </c>
      <c r="D781" s="62" t="s">
        <v>3453</v>
      </c>
      <c r="E781" s="62" t="s">
        <v>528</v>
      </c>
    </row>
    <row r="782" spans="1:5" ht="150" x14ac:dyDescent="0.25">
      <c r="A782" s="62" t="s">
        <v>3454</v>
      </c>
      <c r="B782" s="62" t="s">
        <v>3455</v>
      </c>
      <c r="C782" s="62" t="s">
        <v>3456</v>
      </c>
      <c r="D782" s="62" t="s">
        <v>3457</v>
      </c>
      <c r="E782" s="62"/>
    </row>
    <row r="783" spans="1:5" ht="180" x14ac:dyDescent="0.25">
      <c r="A783" s="62" t="s">
        <v>3458</v>
      </c>
      <c r="B783" s="62" t="s">
        <v>3459</v>
      </c>
      <c r="C783" s="62" t="s">
        <v>3460</v>
      </c>
      <c r="D783" s="62" t="s">
        <v>3461</v>
      </c>
      <c r="E783" s="62"/>
    </row>
    <row r="784" spans="1:5" ht="165" x14ac:dyDescent="0.25">
      <c r="A784" s="62" t="s">
        <v>3462</v>
      </c>
      <c r="B784" s="62" t="s">
        <v>3463</v>
      </c>
      <c r="C784" s="62" t="s">
        <v>3464</v>
      </c>
      <c r="D784" s="62" t="s">
        <v>3465</v>
      </c>
      <c r="E784" s="62" t="s">
        <v>732</v>
      </c>
    </row>
    <row r="785" spans="1:5" ht="409.5" x14ac:dyDescent="0.25">
      <c r="A785" s="62" t="s">
        <v>3466</v>
      </c>
      <c r="B785" s="62" t="s">
        <v>3467</v>
      </c>
      <c r="C785" s="62" t="s">
        <v>3468</v>
      </c>
      <c r="D785" s="62" t="s">
        <v>3469</v>
      </c>
      <c r="E785" s="62" t="s">
        <v>873</v>
      </c>
    </row>
    <row r="786" spans="1:5" ht="360" x14ac:dyDescent="0.25">
      <c r="A786" s="62" t="s">
        <v>3470</v>
      </c>
      <c r="B786" s="62" t="s">
        <v>3471</v>
      </c>
      <c r="C786" s="62" t="s">
        <v>3472</v>
      </c>
      <c r="D786" s="62" t="s">
        <v>3473</v>
      </c>
      <c r="E786" s="62"/>
    </row>
    <row r="787" spans="1:5" ht="255" x14ac:dyDescent="0.25">
      <c r="A787" s="62" t="s">
        <v>3474</v>
      </c>
      <c r="B787" s="62" t="s">
        <v>3475</v>
      </c>
      <c r="C787" s="62" t="s">
        <v>3476</v>
      </c>
      <c r="D787" s="62" t="s">
        <v>3477</v>
      </c>
      <c r="E787" s="62" t="s">
        <v>572</v>
      </c>
    </row>
    <row r="788" spans="1:5" ht="270" x14ac:dyDescent="0.25">
      <c r="A788" s="62" t="s">
        <v>3478</v>
      </c>
      <c r="B788" s="62" t="s">
        <v>3479</v>
      </c>
      <c r="C788" s="62" t="s">
        <v>3480</v>
      </c>
      <c r="D788" s="62" t="s">
        <v>3481</v>
      </c>
      <c r="E788" s="62" t="s">
        <v>3482</v>
      </c>
    </row>
    <row r="789" spans="1:5" ht="405" x14ac:dyDescent="0.25">
      <c r="A789" s="62" t="s">
        <v>3483</v>
      </c>
      <c r="B789" s="62" t="s">
        <v>3484</v>
      </c>
      <c r="C789" s="62" t="s">
        <v>3485</v>
      </c>
      <c r="D789" s="62" t="s">
        <v>3486</v>
      </c>
      <c r="E789" s="62" t="s">
        <v>3487</v>
      </c>
    </row>
    <row r="790" spans="1:5" ht="409.5" x14ac:dyDescent="0.25">
      <c r="A790" s="62" t="s">
        <v>3488</v>
      </c>
      <c r="B790" s="62" t="s">
        <v>3489</v>
      </c>
      <c r="C790" s="62" t="s">
        <v>3490</v>
      </c>
      <c r="D790" s="62" t="s">
        <v>3491</v>
      </c>
      <c r="E790" s="62" t="s">
        <v>3492</v>
      </c>
    </row>
    <row r="791" spans="1:5" ht="135" x14ac:dyDescent="0.25">
      <c r="A791" s="62" t="s">
        <v>3493</v>
      </c>
      <c r="B791" s="62" t="s">
        <v>3494</v>
      </c>
      <c r="C791" s="62" t="s">
        <v>3495</v>
      </c>
      <c r="D791" s="62" t="s">
        <v>3496</v>
      </c>
      <c r="E791" s="62" t="s">
        <v>913</v>
      </c>
    </row>
    <row r="792" spans="1:5" ht="375" x14ac:dyDescent="0.25">
      <c r="A792" s="62" t="s">
        <v>3497</v>
      </c>
      <c r="B792" s="62" t="s">
        <v>3498</v>
      </c>
      <c r="C792" s="62" t="s">
        <v>3499</v>
      </c>
      <c r="D792" s="62" t="s">
        <v>3500</v>
      </c>
      <c r="E792" s="62" t="s">
        <v>3501</v>
      </c>
    </row>
    <row r="793" spans="1:5" ht="255" x14ac:dyDescent="0.25">
      <c r="A793" s="62" t="s">
        <v>3502</v>
      </c>
      <c r="B793" s="62" t="s">
        <v>3503</v>
      </c>
      <c r="C793" s="62" t="s">
        <v>3504</v>
      </c>
      <c r="D793" s="62" t="s">
        <v>3505</v>
      </c>
      <c r="E793" s="62"/>
    </row>
    <row r="794" spans="1:5" ht="105" x14ac:dyDescent="0.25">
      <c r="A794" s="62" t="s">
        <v>3506</v>
      </c>
      <c r="B794" s="62" t="s">
        <v>3507</v>
      </c>
      <c r="C794" s="62" t="s">
        <v>3508</v>
      </c>
      <c r="D794" s="62" t="s">
        <v>3509</v>
      </c>
      <c r="E794" s="62"/>
    </row>
    <row r="795" spans="1:5" ht="180" x14ac:dyDescent="0.25">
      <c r="A795" s="62" t="s">
        <v>3510</v>
      </c>
      <c r="B795" s="62" t="s">
        <v>3511</v>
      </c>
      <c r="C795" s="62" t="s">
        <v>3512</v>
      </c>
      <c r="D795" s="62" t="s">
        <v>3513</v>
      </c>
      <c r="E795" s="62" t="s">
        <v>3514</v>
      </c>
    </row>
    <row r="796" spans="1:5" ht="300" x14ac:dyDescent="0.25">
      <c r="A796" s="62" t="s">
        <v>3515</v>
      </c>
      <c r="B796" s="62" t="s">
        <v>3516</v>
      </c>
      <c r="C796" s="62" t="s">
        <v>3517</v>
      </c>
      <c r="D796" s="62" t="s">
        <v>3518</v>
      </c>
      <c r="E796" s="62"/>
    </row>
    <row r="797" spans="1:5" ht="135" x14ac:dyDescent="0.25">
      <c r="A797" s="62" t="s">
        <v>3519</v>
      </c>
      <c r="B797" s="62" t="s">
        <v>3520</v>
      </c>
      <c r="C797" s="62" t="s">
        <v>3521</v>
      </c>
      <c r="D797" s="62" t="s">
        <v>3522</v>
      </c>
      <c r="E797" s="62" t="s">
        <v>3523</v>
      </c>
    </row>
    <row r="798" spans="1:5" ht="195" x14ac:dyDescent="0.25">
      <c r="A798" s="62" t="s">
        <v>3524</v>
      </c>
      <c r="B798" s="62" t="s">
        <v>3525</v>
      </c>
      <c r="C798" s="62" t="s">
        <v>3526</v>
      </c>
      <c r="D798" s="62" t="s">
        <v>3527</v>
      </c>
      <c r="E798" s="62" t="s">
        <v>3528</v>
      </c>
    </row>
    <row r="799" spans="1:5" ht="90" x14ac:dyDescent="0.25">
      <c r="A799" s="62" t="s">
        <v>3529</v>
      </c>
      <c r="B799" s="62" t="s">
        <v>3530</v>
      </c>
      <c r="C799" s="62" t="s">
        <v>3531</v>
      </c>
      <c r="D799" s="62" t="s">
        <v>3532</v>
      </c>
      <c r="E799" s="62" t="s">
        <v>3533</v>
      </c>
    </row>
    <row r="800" spans="1:5" ht="255" x14ac:dyDescent="0.25">
      <c r="A800" s="62" t="s">
        <v>1656</v>
      </c>
      <c r="B800" s="62" t="s">
        <v>3534</v>
      </c>
      <c r="C800" s="62" t="s">
        <v>3535</v>
      </c>
      <c r="D800" s="62" t="s">
        <v>3536</v>
      </c>
      <c r="E800" s="62" t="s">
        <v>3537</v>
      </c>
    </row>
    <row r="801" spans="1:5" ht="60" x14ac:dyDescent="0.25">
      <c r="A801" s="62" t="s">
        <v>3538</v>
      </c>
      <c r="B801" s="62" t="s">
        <v>3539</v>
      </c>
      <c r="C801" s="62" t="s">
        <v>3540</v>
      </c>
      <c r="D801" s="62" t="s">
        <v>3541</v>
      </c>
      <c r="E801" s="62" t="s">
        <v>3542</v>
      </c>
    </row>
    <row r="802" spans="1:5" ht="60" x14ac:dyDescent="0.25">
      <c r="A802" s="62" t="s">
        <v>3543</v>
      </c>
      <c r="B802" s="62" t="s">
        <v>3544</v>
      </c>
      <c r="C802" s="62" t="s">
        <v>3545</v>
      </c>
      <c r="D802" s="62" t="s">
        <v>3546</v>
      </c>
      <c r="E802" s="62" t="s">
        <v>3547</v>
      </c>
    </row>
    <row r="803" spans="1:5" ht="195" x14ac:dyDescent="0.25">
      <c r="A803" s="62" t="s">
        <v>3548</v>
      </c>
      <c r="B803" s="62" t="s">
        <v>3549</v>
      </c>
      <c r="C803" s="62" t="s">
        <v>3550</v>
      </c>
      <c r="D803" s="62" t="s">
        <v>3551</v>
      </c>
      <c r="E803" s="62" t="s">
        <v>3552</v>
      </c>
    </row>
    <row r="804" spans="1:5" ht="150" x14ac:dyDescent="0.25">
      <c r="A804" s="62" t="s">
        <v>3553</v>
      </c>
      <c r="B804" s="62" t="s">
        <v>3554</v>
      </c>
      <c r="C804" s="62" t="s">
        <v>3555</v>
      </c>
      <c r="D804" s="62" t="s">
        <v>3556</v>
      </c>
      <c r="E804" s="62"/>
    </row>
    <row r="805" spans="1:5" ht="165" x14ac:dyDescent="0.25">
      <c r="A805" s="62" t="s">
        <v>3557</v>
      </c>
      <c r="B805" s="62" t="s">
        <v>3558</v>
      </c>
      <c r="C805" s="62" t="s">
        <v>3559</v>
      </c>
      <c r="D805" s="62" t="s">
        <v>3560</v>
      </c>
      <c r="E805" s="62" t="s">
        <v>3561</v>
      </c>
    </row>
    <row r="806" spans="1:5" ht="90" x14ac:dyDescent="0.25">
      <c r="A806" s="62" t="s">
        <v>3562</v>
      </c>
      <c r="B806" s="62" t="s">
        <v>3563</v>
      </c>
      <c r="C806" s="62" t="s">
        <v>3564</v>
      </c>
      <c r="D806" s="62" t="s">
        <v>3565</v>
      </c>
      <c r="E806" s="62" t="s">
        <v>3566</v>
      </c>
    </row>
    <row r="807" spans="1:5" ht="60" x14ac:dyDescent="0.25">
      <c r="A807" s="62" t="s">
        <v>3567</v>
      </c>
      <c r="B807" s="62" t="s">
        <v>3568</v>
      </c>
      <c r="C807" s="62" t="s">
        <v>3569</v>
      </c>
      <c r="D807" s="62" t="s">
        <v>3570</v>
      </c>
      <c r="E807" s="62" t="s">
        <v>1585</v>
      </c>
    </row>
    <row r="808" spans="1:5" ht="105" x14ac:dyDescent="0.25">
      <c r="A808" s="62" t="s">
        <v>3571</v>
      </c>
      <c r="B808" s="62" t="s">
        <v>3572</v>
      </c>
      <c r="C808" s="62" t="s">
        <v>3573</v>
      </c>
      <c r="D808" s="62" t="s">
        <v>3574</v>
      </c>
      <c r="E808" s="62" t="s">
        <v>3561</v>
      </c>
    </row>
    <row r="809" spans="1:5" ht="255" x14ac:dyDescent="0.25">
      <c r="A809" s="62" t="s">
        <v>3575</v>
      </c>
      <c r="B809" s="62" t="s">
        <v>3576</v>
      </c>
      <c r="C809" s="62" t="s">
        <v>3577</v>
      </c>
      <c r="D809" s="62" t="s">
        <v>3578</v>
      </c>
      <c r="E809" s="62" t="s">
        <v>3579</v>
      </c>
    </row>
    <row r="810" spans="1:5" ht="105" x14ac:dyDescent="0.25">
      <c r="A810" s="62" t="s">
        <v>3580</v>
      </c>
      <c r="B810" s="62" t="s">
        <v>3581</v>
      </c>
      <c r="C810" s="62" t="s">
        <v>3582</v>
      </c>
      <c r="D810" s="62" t="s">
        <v>3583</v>
      </c>
      <c r="E810" s="62" t="s">
        <v>3584</v>
      </c>
    </row>
    <row r="811" spans="1:5" ht="90" x14ac:dyDescent="0.25">
      <c r="A811" s="62" t="s">
        <v>3585</v>
      </c>
      <c r="B811" s="62" t="s">
        <v>3586</v>
      </c>
      <c r="C811" s="62" t="s">
        <v>3587</v>
      </c>
      <c r="D811" s="62" t="s">
        <v>3588</v>
      </c>
      <c r="E811" s="62"/>
    </row>
    <row r="812" spans="1:5" ht="90" x14ac:dyDescent="0.25">
      <c r="A812" s="62" t="s">
        <v>3589</v>
      </c>
      <c r="B812" s="62" t="s">
        <v>3590</v>
      </c>
      <c r="C812" s="62" t="s">
        <v>3591</v>
      </c>
      <c r="D812" s="62" t="s">
        <v>3592</v>
      </c>
      <c r="E812" s="62" t="s">
        <v>1585</v>
      </c>
    </row>
    <row r="813" spans="1:5" ht="120" x14ac:dyDescent="0.25">
      <c r="A813" s="62" t="s">
        <v>3593</v>
      </c>
      <c r="B813" s="62" t="s">
        <v>3594</v>
      </c>
      <c r="C813" s="62" t="s">
        <v>3595</v>
      </c>
      <c r="D813" s="62" t="s">
        <v>3596</v>
      </c>
      <c r="E813" s="62"/>
    </row>
    <row r="814" spans="1:5" ht="105" x14ac:dyDescent="0.25">
      <c r="A814" s="62" t="s">
        <v>3597</v>
      </c>
      <c r="B814" s="62" t="s">
        <v>3598</v>
      </c>
      <c r="C814" s="62" t="s">
        <v>3599</v>
      </c>
      <c r="D814" s="62" t="s">
        <v>3600</v>
      </c>
      <c r="E814" s="62"/>
    </row>
    <row r="815" spans="1:5" ht="45" x14ac:dyDescent="0.25">
      <c r="A815" s="62" t="s">
        <v>3601</v>
      </c>
      <c r="B815" s="62" t="s">
        <v>3602</v>
      </c>
      <c r="C815" s="62" t="s">
        <v>3603</v>
      </c>
      <c r="D815" s="62" t="s">
        <v>3604</v>
      </c>
      <c r="E815" s="62"/>
    </row>
    <row r="816" spans="1:5" ht="150" x14ac:dyDescent="0.25">
      <c r="A816" s="62" t="s">
        <v>3605</v>
      </c>
      <c r="B816" s="62" t="s">
        <v>3606</v>
      </c>
      <c r="C816" s="62" t="s">
        <v>3607</v>
      </c>
      <c r="D816" s="62" t="s">
        <v>3608</v>
      </c>
      <c r="E816" s="62"/>
    </row>
    <row r="817" spans="1:5" ht="390" x14ac:dyDescent="0.25">
      <c r="A817" s="62" t="s">
        <v>3609</v>
      </c>
      <c r="B817" s="62" t="s">
        <v>3610</v>
      </c>
      <c r="C817" s="62" t="s">
        <v>3611</v>
      </c>
      <c r="D817" s="62" t="s">
        <v>3612</v>
      </c>
      <c r="E817" s="62" t="s">
        <v>3613</v>
      </c>
    </row>
    <row r="818" spans="1:5" ht="210" x14ac:dyDescent="0.25">
      <c r="A818" s="62" t="s">
        <v>3614</v>
      </c>
      <c r="B818" s="62" t="s">
        <v>3615</v>
      </c>
      <c r="C818" s="62" t="s">
        <v>3616</v>
      </c>
      <c r="D818" s="62" t="s">
        <v>3617</v>
      </c>
      <c r="E818" s="62"/>
    </row>
    <row r="819" spans="1:5" ht="180" x14ac:dyDescent="0.25">
      <c r="A819" s="62" t="s">
        <v>3618</v>
      </c>
      <c r="B819" s="62" t="s">
        <v>3619</v>
      </c>
      <c r="C819" s="62" t="s">
        <v>3620</v>
      </c>
      <c r="D819" s="62" t="s">
        <v>3621</v>
      </c>
      <c r="E819" s="62" t="s">
        <v>3622</v>
      </c>
    </row>
    <row r="820" spans="1:5" ht="90" x14ac:dyDescent="0.25">
      <c r="A820" s="62" t="s">
        <v>3623</v>
      </c>
      <c r="B820" s="62" t="s">
        <v>3624</v>
      </c>
      <c r="C820" s="62" t="s">
        <v>3625</v>
      </c>
      <c r="D820" s="62" t="s">
        <v>3626</v>
      </c>
      <c r="E820" s="62" t="s">
        <v>3627</v>
      </c>
    </row>
    <row r="821" spans="1:5" ht="105" x14ac:dyDescent="0.25">
      <c r="A821" s="62" t="s">
        <v>3628</v>
      </c>
      <c r="B821" s="62" t="s">
        <v>3629</v>
      </c>
      <c r="C821" s="62" t="s">
        <v>3630</v>
      </c>
      <c r="D821" s="62" t="s">
        <v>3631</v>
      </c>
      <c r="E821" s="62"/>
    </row>
    <row r="822" spans="1:5" ht="225" x14ac:dyDescent="0.25">
      <c r="A822" s="62" t="s">
        <v>3632</v>
      </c>
      <c r="B822" s="62" t="s">
        <v>3633</v>
      </c>
      <c r="C822" s="62" t="s">
        <v>3634</v>
      </c>
      <c r="D822" s="62" t="s">
        <v>3635</v>
      </c>
      <c r="E822" s="62" t="s">
        <v>3636</v>
      </c>
    </row>
    <row r="823" spans="1:5" ht="105" x14ac:dyDescent="0.25">
      <c r="A823" s="62" t="s">
        <v>3637</v>
      </c>
      <c r="B823" s="62" t="s">
        <v>3638</v>
      </c>
      <c r="C823" s="62" t="s">
        <v>3639</v>
      </c>
      <c r="D823" s="62" t="s">
        <v>3640</v>
      </c>
      <c r="E823" s="62" t="s">
        <v>3641</v>
      </c>
    </row>
    <row r="824" spans="1:5" ht="105" x14ac:dyDescent="0.25">
      <c r="A824" s="62" t="s">
        <v>3642</v>
      </c>
      <c r="B824" s="62" t="s">
        <v>3643</v>
      </c>
      <c r="C824" s="62" t="s">
        <v>3644</v>
      </c>
      <c r="D824" s="62" t="s">
        <v>3645</v>
      </c>
      <c r="E824" s="62" t="s">
        <v>3641</v>
      </c>
    </row>
    <row r="825" spans="1:5" ht="195" x14ac:dyDescent="0.25">
      <c r="A825" s="62" t="s">
        <v>3646</v>
      </c>
      <c r="B825" s="62" t="s">
        <v>3647</v>
      </c>
      <c r="C825" s="62" t="s">
        <v>3648</v>
      </c>
      <c r="D825" s="62" t="s">
        <v>3649</v>
      </c>
      <c r="E825" s="62"/>
    </row>
    <row r="826" spans="1:5" ht="135" x14ac:dyDescent="0.25">
      <c r="A826" s="62" t="s">
        <v>3650</v>
      </c>
      <c r="B826" s="62" t="s">
        <v>3651</v>
      </c>
      <c r="C826" s="62" t="s">
        <v>3652</v>
      </c>
      <c r="D826" s="62" t="s">
        <v>3653</v>
      </c>
      <c r="E826" s="62"/>
    </row>
    <row r="827" spans="1:5" x14ac:dyDescent="0.25">
      <c r="A827" s="62" t="s">
        <v>3654</v>
      </c>
      <c r="B827" s="62" t="s">
        <v>3655</v>
      </c>
      <c r="C827" s="62"/>
      <c r="D827" s="62"/>
      <c r="E827" s="62"/>
    </row>
    <row r="828" spans="1:5" ht="30" x14ac:dyDescent="0.25">
      <c r="A828" s="62" t="s">
        <v>3656</v>
      </c>
      <c r="B828" s="62" t="s">
        <v>3657</v>
      </c>
      <c r="C828" s="62"/>
      <c r="D828" s="62"/>
      <c r="E828" s="62"/>
    </row>
    <row r="829" spans="1:5" x14ac:dyDescent="0.25">
      <c r="A829" s="62" t="s">
        <v>3658</v>
      </c>
      <c r="B829" s="62" t="s">
        <v>3659</v>
      </c>
      <c r="C829" s="62"/>
      <c r="D829" s="62"/>
      <c r="E829" s="62"/>
    </row>
    <row r="830" spans="1:5" ht="30" x14ac:dyDescent="0.25">
      <c r="A830" s="62" t="s">
        <v>3660</v>
      </c>
      <c r="B830" s="62" t="s">
        <v>3661</v>
      </c>
      <c r="C830" s="62"/>
      <c r="D830" s="62"/>
      <c r="E830" s="62"/>
    </row>
    <row r="831" spans="1:5" x14ac:dyDescent="0.25">
      <c r="A831" s="62" t="s">
        <v>3662</v>
      </c>
      <c r="B831" s="62" t="s">
        <v>3663</v>
      </c>
      <c r="C831" s="62"/>
      <c r="D831" s="62"/>
      <c r="E831" s="62"/>
    </row>
    <row r="832" spans="1:5" x14ac:dyDescent="0.25">
      <c r="A832" s="62" t="s">
        <v>3664</v>
      </c>
      <c r="B832" s="62" t="s">
        <v>3665</v>
      </c>
      <c r="C832" s="62"/>
      <c r="D832" s="62"/>
      <c r="E832" s="62"/>
    </row>
    <row r="833" spans="1:5" ht="30" x14ac:dyDescent="0.25">
      <c r="A833" s="62" t="s">
        <v>3666</v>
      </c>
      <c r="B833" s="62" t="s">
        <v>3667</v>
      </c>
      <c r="C833" s="62"/>
      <c r="D833" s="62"/>
      <c r="E833" s="62"/>
    </row>
    <row r="834" spans="1:5" ht="30" x14ac:dyDescent="0.25">
      <c r="A834" s="62" t="s">
        <v>3668</v>
      </c>
      <c r="B834" s="62" t="s">
        <v>3669</v>
      </c>
      <c r="C834" s="62"/>
      <c r="D834" s="62"/>
      <c r="E834" s="62"/>
    </row>
    <row r="835" spans="1:5" ht="30" x14ac:dyDescent="0.25">
      <c r="A835" s="62" t="s">
        <v>3670</v>
      </c>
      <c r="B835" s="62" t="s">
        <v>3671</v>
      </c>
      <c r="C835" s="62"/>
      <c r="D835" s="62"/>
      <c r="E835" s="62"/>
    </row>
    <row r="836" spans="1:5" x14ac:dyDescent="0.25">
      <c r="A836" s="62" t="s">
        <v>3672</v>
      </c>
      <c r="B836" s="62" t="s">
        <v>3673</v>
      </c>
      <c r="C836" s="62"/>
      <c r="D836" s="62"/>
      <c r="E836" s="62"/>
    </row>
    <row r="837" spans="1:5" ht="30" x14ac:dyDescent="0.25">
      <c r="A837" s="62" t="s">
        <v>3674</v>
      </c>
      <c r="B837" s="62" t="s">
        <v>3675</v>
      </c>
      <c r="C837" s="62"/>
      <c r="D837" s="62"/>
      <c r="E837" s="62"/>
    </row>
    <row r="838" spans="1:5" ht="30" x14ac:dyDescent="0.25">
      <c r="A838" s="62" t="s">
        <v>3676</v>
      </c>
      <c r="B838" s="62" t="s">
        <v>3677</v>
      </c>
      <c r="C838" s="62"/>
      <c r="D838" s="62"/>
      <c r="E838" s="62"/>
    </row>
    <row r="839" spans="1:5" ht="30" x14ac:dyDescent="0.25">
      <c r="A839" s="62" t="s">
        <v>3678</v>
      </c>
      <c r="B839" s="62" t="s">
        <v>3679</v>
      </c>
      <c r="C839" s="62"/>
      <c r="D839" s="62"/>
      <c r="E839" s="62"/>
    </row>
    <row r="840" spans="1:5" ht="30" x14ac:dyDescent="0.25">
      <c r="A840" s="62" t="s">
        <v>3680</v>
      </c>
      <c r="B840" s="62" t="s">
        <v>3681</v>
      </c>
      <c r="C840" s="62"/>
      <c r="D840" s="62"/>
      <c r="E840" s="62"/>
    </row>
    <row r="841" spans="1:5" x14ac:dyDescent="0.25">
      <c r="A841" s="62" t="s">
        <v>3682</v>
      </c>
      <c r="B841" s="62" t="s">
        <v>3683</v>
      </c>
      <c r="C841" s="62"/>
      <c r="D841" s="62"/>
      <c r="E841" s="62"/>
    </row>
    <row r="842" spans="1:5" ht="30" x14ac:dyDescent="0.25">
      <c r="A842" s="62" t="s">
        <v>3684</v>
      </c>
      <c r="B842" s="62" t="s">
        <v>3685</v>
      </c>
      <c r="C842" s="62"/>
      <c r="D842" s="62"/>
      <c r="E842" s="62"/>
    </row>
    <row r="843" spans="1:5" x14ac:dyDescent="0.25">
      <c r="A843" s="62" t="s">
        <v>3686</v>
      </c>
      <c r="B843" s="62" t="s">
        <v>3687</v>
      </c>
      <c r="C843" s="62"/>
      <c r="D843" s="62"/>
      <c r="E843" s="62"/>
    </row>
    <row r="844" spans="1:5" x14ac:dyDescent="0.25">
      <c r="A844" s="62" t="s">
        <v>3688</v>
      </c>
      <c r="B844" s="62" t="s">
        <v>3281</v>
      </c>
      <c r="C844" s="62"/>
      <c r="D844" s="62"/>
      <c r="E844" s="62"/>
    </row>
    <row r="845" spans="1:5" ht="30" x14ac:dyDescent="0.25">
      <c r="A845" s="62" t="s">
        <v>3689</v>
      </c>
      <c r="B845" s="62" t="s">
        <v>3690</v>
      </c>
      <c r="C845" s="62"/>
      <c r="D845" s="62"/>
      <c r="E845" s="62"/>
    </row>
    <row r="846" spans="1:5" ht="195" x14ac:dyDescent="0.25">
      <c r="A846" s="62" t="s">
        <v>3641</v>
      </c>
      <c r="B846" s="62" t="s">
        <v>3691</v>
      </c>
      <c r="C846" s="62" t="s">
        <v>3692</v>
      </c>
      <c r="D846" s="62" t="s">
        <v>3693</v>
      </c>
      <c r="E846" s="62" t="s">
        <v>3694</v>
      </c>
    </row>
    <row r="847" spans="1:5" ht="165" x14ac:dyDescent="0.25">
      <c r="A847" s="62" t="s">
        <v>3695</v>
      </c>
      <c r="B847" s="62" t="s">
        <v>3696</v>
      </c>
      <c r="C847" s="62" t="s">
        <v>3697</v>
      </c>
      <c r="D847" s="62" t="s">
        <v>3698</v>
      </c>
      <c r="E847" s="62"/>
    </row>
    <row r="848" spans="1:5" ht="60" x14ac:dyDescent="0.25">
      <c r="A848" s="62" t="s">
        <v>3699</v>
      </c>
      <c r="B848" s="62" t="s">
        <v>3700</v>
      </c>
      <c r="C848" s="62" t="s">
        <v>3701</v>
      </c>
      <c r="D848" s="62" t="s">
        <v>3702</v>
      </c>
      <c r="E848" s="62" t="s">
        <v>3609</v>
      </c>
    </row>
    <row r="849" spans="1:5" ht="150" x14ac:dyDescent="0.25">
      <c r="A849" s="62" t="s">
        <v>3703</v>
      </c>
      <c r="B849" s="62" t="s">
        <v>3704</v>
      </c>
      <c r="C849" s="62" t="s">
        <v>3705</v>
      </c>
      <c r="D849" s="62" t="s">
        <v>3706</v>
      </c>
      <c r="E849" s="62" t="s">
        <v>3280</v>
      </c>
    </row>
    <row r="850" spans="1:5" ht="30" x14ac:dyDescent="0.25">
      <c r="A850" s="62" t="s">
        <v>3707</v>
      </c>
      <c r="B850" s="62" t="s">
        <v>3708</v>
      </c>
      <c r="C850" s="62"/>
      <c r="D850" s="62"/>
      <c r="E850" s="62"/>
    </row>
    <row r="851" spans="1:5" ht="135" x14ac:dyDescent="0.25">
      <c r="A851" s="62" t="s">
        <v>3709</v>
      </c>
      <c r="B851" s="62" t="s">
        <v>3710</v>
      </c>
      <c r="C851" s="62" t="s">
        <v>3711</v>
      </c>
      <c r="D851" s="62" t="s">
        <v>3712</v>
      </c>
      <c r="E851" s="62" t="s">
        <v>3713</v>
      </c>
    </row>
    <row r="852" spans="1:5" ht="60" x14ac:dyDescent="0.25">
      <c r="A852" s="62" t="s">
        <v>3714</v>
      </c>
      <c r="B852" s="62" t="s">
        <v>3715</v>
      </c>
      <c r="C852" s="62" t="s">
        <v>3716</v>
      </c>
      <c r="D852" s="62" t="s">
        <v>3717</v>
      </c>
      <c r="E852" s="62"/>
    </row>
    <row r="853" spans="1:5" ht="120" x14ac:dyDescent="0.25">
      <c r="A853" s="62" t="s">
        <v>3718</v>
      </c>
      <c r="B853" s="62" t="s">
        <v>3719</v>
      </c>
      <c r="C853" s="62" t="s">
        <v>3720</v>
      </c>
      <c r="D853" s="62" t="s">
        <v>3721</v>
      </c>
      <c r="E853" s="62" t="s">
        <v>3722</v>
      </c>
    </row>
    <row r="854" spans="1:5" ht="75" x14ac:dyDescent="0.25">
      <c r="A854" s="62" t="s">
        <v>3723</v>
      </c>
      <c r="B854" s="62" t="s">
        <v>3724</v>
      </c>
      <c r="C854" s="62" t="s">
        <v>3725</v>
      </c>
      <c r="D854" s="62" t="s">
        <v>3726</v>
      </c>
      <c r="E854" s="62"/>
    </row>
    <row r="855" spans="1:5" ht="30" x14ac:dyDescent="0.25">
      <c r="A855" s="62" t="s">
        <v>3727</v>
      </c>
      <c r="B855" s="62" t="s">
        <v>3728</v>
      </c>
      <c r="C855" s="62"/>
      <c r="D855" s="62"/>
      <c r="E855" s="62"/>
    </row>
    <row r="856" spans="1:5" ht="60" x14ac:dyDescent="0.25">
      <c r="A856" s="62" t="s">
        <v>3729</v>
      </c>
      <c r="B856" s="62" t="s">
        <v>3730</v>
      </c>
      <c r="C856" s="62" t="s">
        <v>3731</v>
      </c>
      <c r="D856" s="62" t="s">
        <v>3732</v>
      </c>
      <c r="E856" s="62" t="s">
        <v>2270</v>
      </c>
    </row>
    <row r="857" spans="1:5" ht="60" x14ac:dyDescent="0.25">
      <c r="A857" s="62" t="s">
        <v>3733</v>
      </c>
      <c r="B857" s="62" t="s">
        <v>3734</v>
      </c>
      <c r="C857" s="62" t="s">
        <v>3735</v>
      </c>
      <c r="D857" s="62" t="s">
        <v>3736</v>
      </c>
      <c r="E857" s="62" t="s">
        <v>1351</v>
      </c>
    </row>
    <row r="858" spans="1:5" ht="60" x14ac:dyDescent="0.25">
      <c r="A858" s="62" t="s">
        <v>3737</v>
      </c>
      <c r="B858" s="62" t="s">
        <v>3738</v>
      </c>
      <c r="C858" s="62" t="s">
        <v>3739</v>
      </c>
      <c r="D858" s="62" t="s">
        <v>3740</v>
      </c>
      <c r="E858" s="62" t="s">
        <v>3741</v>
      </c>
    </row>
    <row r="859" spans="1:5" ht="120" x14ac:dyDescent="0.25">
      <c r="A859" s="62" t="s">
        <v>3742</v>
      </c>
      <c r="B859" s="62" t="s">
        <v>3743</v>
      </c>
      <c r="C859" s="62" t="s">
        <v>3744</v>
      </c>
      <c r="D859" s="62" t="s">
        <v>3745</v>
      </c>
      <c r="E859" s="62" t="s">
        <v>3746</v>
      </c>
    </row>
    <row r="860" spans="1:5" ht="180" x14ac:dyDescent="0.25">
      <c r="A860" s="62" t="s">
        <v>3747</v>
      </c>
      <c r="B860" s="62" t="s">
        <v>3748</v>
      </c>
      <c r="C860" s="62" t="s">
        <v>3749</v>
      </c>
      <c r="D860" s="62" t="s">
        <v>3750</v>
      </c>
      <c r="E860" s="62" t="s">
        <v>3751</v>
      </c>
    </row>
    <row r="861" spans="1:5" ht="105" x14ac:dyDescent="0.25">
      <c r="A861" s="62" t="s">
        <v>3752</v>
      </c>
      <c r="B861" s="62" t="s">
        <v>3753</v>
      </c>
      <c r="C861" s="62" t="s">
        <v>3754</v>
      </c>
      <c r="D861" s="62" t="s">
        <v>3755</v>
      </c>
      <c r="E861" s="62" t="s">
        <v>3756</v>
      </c>
    </row>
    <row r="862" spans="1:5" ht="60" x14ac:dyDescent="0.25">
      <c r="A862" s="62" t="s">
        <v>3757</v>
      </c>
      <c r="B862" s="62" t="s">
        <v>3758</v>
      </c>
      <c r="C862" s="62" t="s">
        <v>3759</v>
      </c>
      <c r="D862" s="62" t="s">
        <v>3760</v>
      </c>
      <c r="E862" s="62" t="s">
        <v>3761</v>
      </c>
    </row>
    <row r="863" spans="1:5" ht="225" x14ac:dyDescent="0.25">
      <c r="A863" s="62" t="s">
        <v>3762</v>
      </c>
      <c r="B863" s="62" t="s">
        <v>3763</v>
      </c>
      <c r="C863" s="62" t="s">
        <v>3764</v>
      </c>
      <c r="D863" s="62" t="s">
        <v>3765</v>
      </c>
      <c r="E863" s="62" t="s">
        <v>3766</v>
      </c>
    </row>
    <row r="864" spans="1:5" ht="210" x14ac:dyDescent="0.25">
      <c r="A864" s="62" t="s">
        <v>3767</v>
      </c>
      <c r="B864" s="62" t="s">
        <v>3768</v>
      </c>
      <c r="C864" s="62" t="s">
        <v>3769</v>
      </c>
      <c r="D864" s="62" t="s">
        <v>3770</v>
      </c>
      <c r="E864" s="62" t="s">
        <v>3766</v>
      </c>
    </row>
    <row r="865" spans="1:5" ht="270" x14ac:dyDescent="0.25">
      <c r="A865" s="62" t="s">
        <v>3771</v>
      </c>
      <c r="B865" s="62" t="s">
        <v>3772</v>
      </c>
      <c r="C865" s="62" t="s">
        <v>3773</v>
      </c>
      <c r="D865" s="62" t="s">
        <v>3774</v>
      </c>
      <c r="E865" s="62" t="s">
        <v>3775</v>
      </c>
    </row>
    <row r="866" spans="1:5" ht="75" x14ac:dyDescent="0.25">
      <c r="A866" s="62" t="s">
        <v>3776</v>
      </c>
      <c r="B866" s="62" t="s">
        <v>3777</v>
      </c>
      <c r="C866" s="62" t="s">
        <v>3778</v>
      </c>
      <c r="D866" s="62" t="s">
        <v>3779</v>
      </c>
      <c r="E866" s="62" t="s">
        <v>3780</v>
      </c>
    </row>
    <row r="867" spans="1:5" ht="345" x14ac:dyDescent="0.25">
      <c r="A867" s="62" t="s">
        <v>3781</v>
      </c>
      <c r="B867" s="62" t="s">
        <v>3782</v>
      </c>
      <c r="C867" s="62" t="s">
        <v>3783</v>
      </c>
      <c r="D867" s="62" t="s">
        <v>3784</v>
      </c>
      <c r="E867" s="62" t="s">
        <v>3785</v>
      </c>
    </row>
    <row r="868" spans="1:5" ht="105" x14ac:dyDescent="0.25">
      <c r="A868" s="62" t="s">
        <v>3786</v>
      </c>
      <c r="B868" s="62" t="s">
        <v>3787</v>
      </c>
      <c r="C868" s="62" t="s">
        <v>3788</v>
      </c>
      <c r="D868" s="62" t="s">
        <v>3789</v>
      </c>
      <c r="E868" s="62"/>
    </row>
    <row r="869" spans="1:5" ht="195" x14ac:dyDescent="0.25">
      <c r="A869" s="62" t="s">
        <v>3790</v>
      </c>
      <c r="B869" s="62" t="s">
        <v>3791</v>
      </c>
      <c r="C869" s="62" t="s">
        <v>3792</v>
      </c>
      <c r="D869" s="62" t="s">
        <v>3793</v>
      </c>
      <c r="E869" s="62"/>
    </row>
    <row r="870" spans="1:5" x14ac:dyDescent="0.25">
      <c r="A870" s="62" t="s">
        <v>3794</v>
      </c>
      <c r="B870" s="62" t="s">
        <v>3795</v>
      </c>
      <c r="C870" s="62"/>
      <c r="D870" s="62"/>
      <c r="E870" s="62"/>
    </row>
    <row r="871" spans="1:5" ht="30" x14ac:dyDescent="0.25">
      <c r="A871" s="62" t="s">
        <v>3796</v>
      </c>
      <c r="B871" s="62" t="s">
        <v>3797</v>
      </c>
      <c r="C871" s="62"/>
      <c r="D871" s="62"/>
      <c r="E871" s="62"/>
    </row>
    <row r="872" spans="1:5" ht="30" x14ac:dyDescent="0.25">
      <c r="A872" s="62" t="s">
        <v>3798</v>
      </c>
      <c r="B872" s="62" t="s">
        <v>3799</v>
      </c>
      <c r="C872" s="62"/>
      <c r="D872" s="62"/>
      <c r="E872" s="62"/>
    </row>
    <row r="873" spans="1:5" x14ac:dyDescent="0.25">
      <c r="A873" s="62" t="s">
        <v>3800</v>
      </c>
      <c r="B873" s="62" t="s">
        <v>3801</v>
      </c>
      <c r="C873" s="62"/>
      <c r="D873" s="62"/>
      <c r="E873" s="62"/>
    </row>
    <row r="874" spans="1:5" x14ac:dyDescent="0.25">
      <c r="A874" s="62" t="s">
        <v>3802</v>
      </c>
      <c r="B874" s="62" t="s">
        <v>3803</v>
      </c>
      <c r="C874" s="62"/>
      <c r="D874" s="62"/>
      <c r="E874" s="62"/>
    </row>
    <row r="875" spans="1:5" ht="30" x14ac:dyDescent="0.25">
      <c r="A875" s="62" t="s">
        <v>3804</v>
      </c>
      <c r="B875" s="62" t="s">
        <v>3805</v>
      </c>
      <c r="C875" s="62"/>
      <c r="D875" s="62"/>
      <c r="E875" s="62"/>
    </row>
    <row r="876" spans="1:5" x14ac:dyDescent="0.25">
      <c r="A876" s="62" t="s">
        <v>3806</v>
      </c>
      <c r="B876" s="62" t="s">
        <v>3807</v>
      </c>
      <c r="C876" s="62"/>
      <c r="D876" s="62"/>
      <c r="E876" s="62"/>
    </row>
    <row r="877" spans="1:5" x14ac:dyDescent="0.25">
      <c r="A877" s="62" t="s">
        <v>3808</v>
      </c>
      <c r="B877" s="62" t="s">
        <v>3809</v>
      </c>
      <c r="C877" s="62"/>
      <c r="D877" s="62"/>
      <c r="E877" s="62"/>
    </row>
    <row r="878" spans="1:5" ht="150" x14ac:dyDescent="0.25">
      <c r="A878" s="62" t="s">
        <v>3810</v>
      </c>
      <c r="B878" s="62" t="s">
        <v>3811</v>
      </c>
      <c r="C878" s="62" t="s">
        <v>3812</v>
      </c>
      <c r="D878" s="62" t="s">
        <v>3813</v>
      </c>
      <c r="E878" s="62" t="s">
        <v>3814</v>
      </c>
    </row>
    <row r="879" spans="1:5" ht="225" x14ac:dyDescent="0.25">
      <c r="A879" s="62" t="s">
        <v>3815</v>
      </c>
      <c r="B879" s="62" t="s">
        <v>3816</v>
      </c>
      <c r="C879" s="62" t="s">
        <v>3817</v>
      </c>
      <c r="D879" s="62" t="s">
        <v>3818</v>
      </c>
      <c r="E879" s="62" t="s">
        <v>3819</v>
      </c>
    </row>
    <row r="880" spans="1:5" x14ac:dyDescent="0.25">
      <c r="A880" s="62" t="s">
        <v>3820</v>
      </c>
      <c r="B880" s="62" t="s">
        <v>3821</v>
      </c>
      <c r="C880" s="62"/>
      <c r="D880" s="62"/>
      <c r="E880" s="62"/>
    </row>
    <row r="881" spans="1:5" ht="285" x14ac:dyDescent="0.25">
      <c r="A881" s="62" t="s">
        <v>3822</v>
      </c>
      <c r="B881" s="62" t="s">
        <v>3823</v>
      </c>
      <c r="C881" s="62" t="s">
        <v>3824</v>
      </c>
      <c r="D881" s="62" t="s">
        <v>3825</v>
      </c>
      <c r="E881" s="62" t="s">
        <v>3826</v>
      </c>
    </row>
    <row r="882" spans="1:5" ht="30" x14ac:dyDescent="0.25">
      <c r="A882" s="62" t="s">
        <v>3827</v>
      </c>
      <c r="B882" s="62" t="s">
        <v>3828</v>
      </c>
      <c r="C882" s="62"/>
      <c r="D882" s="62"/>
      <c r="E882" s="62"/>
    </row>
    <row r="883" spans="1:5" ht="105" x14ac:dyDescent="0.25">
      <c r="A883" s="62" t="s">
        <v>3829</v>
      </c>
      <c r="B883" s="62" t="s">
        <v>3830</v>
      </c>
      <c r="C883" s="62" t="s">
        <v>3831</v>
      </c>
      <c r="D883" s="62" t="s">
        <v>3832</v>
      </c>
      <c r="E883" s="62" t="s">
        <v>3833</v>
      </c>
    </row>
    <row r="884" spans="1:5" ht="285" x14ac:dyDescent="0.25">
      <c r="A884" s="62" t="s">
        <v>3834</v>
      </c>
      <c r="B884" s="62" t="s">
        <v>257</v>
      </c>
      <c r="C884" s="62" t="s">
        <v>3835</v>
      </c>
      <c r="D884" s="62" t="s">
        <v>3836</v>
      </c>
      <c r="E884" s="62" t="s">
        <v>1350</v>
      </c>
    </row>
    <row r="885" spans="1:5" ht="210" x14ac:dyDescent="0.25">
      <c r="A885" s="62" t="s">
        <v>3837</v>
      </c>
      <c r="B885" s="62" t="s">
        <v>3838</v>
      </c>
      <c r="C885" s="62" t="s">
        <v>3839</v>
      </c>
      <c r="D885" s="62" t="s">
        <v>3840</v>
      </c>
      <c r="E885" s="62" t="s">
        <v>3841</v>
      </c>
    </row>
    <row r="886" spans="1:5" ht="90" x14ac:dyDescent="0.25">
      <c r="A886" s="62" t="s">
        <v>3842</v>
      </c>
      <c r="B886" s="62" t="s">
        <v>3843</v>
      </c>
      <c r="C886" s="62" t="s">
        <v>3844</v>
      </c>
      <c r="D886" s="62" t="s">
        <v>3845</v>
      </c>
      <c r="E886" s="62" t="s">
        <v>321</v>
      </c>
    </row>
    <row r="887" spans="1:5" ht="45" x14ac:dyDescent="0.25">
      <c r="A887" s="62" t="s">
        <v>3846</v>
      </c>
      <c r="B887" s="62" t="s">
        <v>3847</v>
      </c>
      <c r="C887" s="62" t="s">
        <v>3848</v>
      </c>
      <c r="D887" s="62" t="s">
        <v>3849</v>
      </c>
      <c r="E887" s="62"/>
    </row>
    <row r="888" spans="1:5" ht="210" x14ac:dyDescent="0.25">
      <c r="A888" s="62" t="s">
        <v>3850</v>
      </c>
      <c r="B888" s="62" t="s">
        <v>3851</v>
      </c>
      <c r="C888" s="62" t="s">
        <v>3852</v>
      </c>
      <c r="D888" s="62" t="s">
        <v>3853</v>
      </c>
      <c r="E888" s="62" t="s">
        <v>3854</v>
      </c>
    </row>
    <row r="889" spans="1:5" ht="60" x14ac:dyDescent="0.25">
      <c r="A889" s="62" t="s">
        <v>3855</v>
      </c>
      <c r="B889" s="62" t="s">
        <v>3856</v>
      </c>
      <c r="C889" s="62" t="s">
        <v>3857</v>
      </c>
      <c r="D889" s="62" t="s">
        <v>3858</v>
      </c>
      <c r="E889" s="62"/>
    </row>
    <row r="890" spans="1:5" ht="60" x14ac:dyDescent="0.25">
      <c r="A890" s="62" t="s">
        <v>3859</v>
      </c>
      <c r="B890" s="62" t="s">
        <v>3860</v>
      </c>
      <c r="C890" s="62" t="s">
        <v>3861</v>
      </c>
      <c r="D890" s="62" t="s">
        <v>3862</v>
      </c>
      <c r="E890" s="62"/>
    </row>
    <row r="891" spans="1:5" ht="195" x14ac:dyDescent="0.25">
      <c r="A891" s="62" t="s">
        <v>3863</v>
      </c>
      <c r="B891" s="62" t="s">
        <v>3864</v>
      </c>
      <c r="C891" s="62" t="s">
        <v>3865</v>
      </c>
      <c r="D891" s="62" t="s">
        <v>3866</v>
      </c>
      <c r="E891" s="62"/>
    </row>
    <row r="892" spans="1:5" ht="105" x14ac:dyDescent="0.25">
      <c r="A892" s="62" t="s">
        <v>3867</v>
      </c>
      <c r="B892" s="62" t="s">
        <v>3868</v>
      </c>
      <c r="C892" s="62" t="s">
        <v>3869</v>
      </c>
      <c r="D892" s="62" t="s">
        <v>3870</v>
      </c>
      <c r="E892" s="62"/>
    </row>
    <row r="893" spans="1:5" ht="60" x14ac:dyDescent="0.25">
      <c r="A893" s="62" t="s">
        <v>3871</v>
      </c>
      <c r="B893" s="62" t="s">
        <v>3872</v>
      </c>
      <c r="C893" s="62" t="s">
        <v>3873</v>
      </c>
      <c r="D893" s="62" t="s">
        <v>3874</v>
      </c>
      <c r="E893" s="62"/>
    </row>
    <row r="894" spans="1:5" ht="195" x14ac:dyDescent="0.25">
      <c r="A894" s="62" t="s">
        <v>3875</v>
      </c>
      <c r="B894" s="62" t="s">
        <v>3876</v>
      </c>
      <c r="C894" s="62" t="s">
        <v>3877</v>
      </c>
      <c r="D894" s="62" t="s">
        <v>3878</v>
      </c>
      <c r="E894" s="62" t="s">
        <v>3879</v>
      </c>
    </row>
    <row r="895" spans="1:5" ht="30" x14ac:dyDescent="0.25">
      <c r="A895" s="62" t="s">
        <v>3880</v>
      </c>
      <c r="B895" s="62" t="s">
        <v>3881</v>
      </c>
      <c r="C895" s="62"/>
      <c r="D895" s="62"/>
      <c r="E895" s="62"/>
    </row>
    <row r="896" spans="1:5" ht="75" x14ac:dyDescent="0.25">
      <c r="A896" s="62" t="s">
        <v>3882</v>
      </c>
      <c r="B896" s="62" t="s">
        <v>3883</v>
      </c>
      <c r="C896" s="62" t="s">
        <v>3884</v>
      </c>
      <c r="D896" s="62" t="s">
        <v>3885</v>
      </c>
      <c r="E896" s="62"/>
    </row>
    <row r="897" spans="1:5" ht="135" x14ac:dyDescent="0.25">
      <c r="A897" s="62" t="s">
        <v>3886</v>
      </c>
      <c r="B897" s="62" t="s">
        <v>3887</v>
      </c>
      <c r="C897" s="62" t="s">
        <v>3888</v>
      </c>
      <c r="D897" s="62" t="s">
        <v>3889</v>
      </c>
      <c r="E897" s="62" t="s">
        <v>3890</v>
      </c>
    </row>
    <row r="898" spans="1:5" ht="150" x14ac:dyDescent="0.25">
      <c r="A898" s="62" t="s">
        <v>3891</v>
      </c>
      <c r="B898" s="62" t="s">
        <v>3892</v>
      </c>
      <c r="C898" s="62" t="s">
        <v>3893</v>
      </c>
      <c r="D898" s="62" t="s">
        <v>3894</v>
      </c>
      <c r="E898" s="62"/>
    </row>
    <row r="899" spans="1:5" ht="45" x14ac:dyDescent="0.25">
      <c r="A899" s="62" t="s">
        <v>3895</v>
      </c>
      <c r="B899" s="62" t="s">
        <v>3896</v>
      </c>
      <c r="C899" s="62" t="s">
        <v>3897</v>
      </c>
      <c r="D899" s="62" t="s">
        <v>3898</v>
      </c>
      <c r="E899" s="62"/>
    </row>
    <row r="900" spans="1:5" ht="135" x14ac:dyDescent="0.25">
      <c r="A900" s="62" t="s">
        <v>3899</v>
      </c>
      <c r="B900" s="62" t="s">
        <v>3900</v>
      </c>
      <c r="C900" s="62" t="s">
        <v>3901</v>
      </c>
      <c r="D900" s="62" t="s">
        <v>3902</v>
      </c>
      <c r="E900" s="62" t="s">
        <v>3903</v>
      </c>
    </row>
    <row r="901" spans="1:5" ht="60" x14ac:dyDescent="0.25">
      <c r="A901" s="62" t="s">
        <v>3904</v>
      </c>
      <c r="B901" s="62" t="s">
        <v>3905</v>
      </c>
      <c r="C901" s="62" t="s">
        <v>3906</v>
      </c>
      <c r="D901" s="62" t="s">
        <v>3907</v>
      </c>
      <c r="E901" s="62" t="s">
        <v>3886</v>
      </c>
    </row>
    <row r="902" spans="1:5" ht="210" x14ac:dyDescent="0.25">
      <c r="A902" s="62" t="s">
        <v>337</v>
      </c>
      <c r="B902" s="62" t="s">
        <v>3908</v>
      </c>
      <c r="C902" s="62" t="s">
        <v>3909</v>
      </c>
      <c r="D902" s="62" t="s">
        <v>3910</v>
      </c>
      <c r="E902" s="62" t="s">
        <v>3911</v>
      </c>
    </row>
    <row r="903" spans="1:5" ht="30" x14ac:dyDescent="0.25">
      <c r="A903" s="62" t="s">
        <v>3912</v>
      </c>
      <c r="B903" s="62" t="s">
        <v>3913</v>
      </c>
      <c r="C903" s="62"/>
      <c r="D903" s="62"/>
      <c r="E903" s="62"/>
    </row>
    <row r="904" spans="1:5" x14ac:dyDescent="0.25">
      <c r="A904" s="62" t="s">
        <v>3914</v>
      </c>
      <c r="B904" s="62" t="s">
        <v>3915</v>
      </c>
      <c r="C904" s="62"/>
      <c r="D904" s="62"/>
      <c r="E904" s="62"/>
    </row>
    <row r="905" spans="1:5" ht="120" x14ac:dyDescent="0.25">
      <c r="A905" s="62" t="s">
        <v>3916</v>
      </c>
      <c r="B905" s="62" t="s">
        <v>3917</v>
      </c>
      <c r="C905" s="62" t="s">
        <v>3918</v>
      </c>
      <c r="D905" s="62" t="s">
        <v>3919</v>
      </c>
      <c r="E905" s="62"/>
    </row>
    <row r="906" spans="1:5" ht="195" x14ac:dyDescent="0.25">
      <c r="A906" s="62" t="s">
        <v>3920</v>
      </c>
      <c r="B906" s="62" t="s">
        <v>3921</v>
      </c>
      <c r="C906" s="62" t="s">
        <v>3922</v>
      </c>
      <c r="D906" s="62" t="s">
        <v>3923</v>
      </c>
      <c r="E906" s="62" t="s">
        <v>3924</v>
      </c>
    </row>
    <row r="907" spans="1:5" ht="75" x14ac:dyDescent="0.25">
      <c r="A907" s="62" t="s">
        <v>3925</v>
      </c>
      <c r="B907" s="62" t="s">
        <v>3926</v>
      </c>
      <c r="C907" s="62" t="s">
        <v>3927</v>
      </c>
      <c r="D907" s="62" t="s">
        <v>3928</v>
      </c>
      <c r="E907" s="62"/>
    </row>
    <row r="908" spans="1:5" ht="30" x14ac:dyDescent="0.25">
      <c r="A908" s="62" t="s">
        <v>3929</v>
      </c>
      <c r="B908" s="62" t="s">
        <v>3930</v>
      </c>
      <c r="C908" s="62"/>
      <c r="D908" s="62"/>
      <c r="E908" s="62"/>
    </row>
    <row r="909" spans="1:5" ht="240" x14ac:dyDescent="0.25">
      <c r="A909" s="62" t="s">
        <v>3931</v>
      </c>
      <c r="B909" s="62" t="s">
        <v>3932</v>
      </c>
      <c r="C909" s="62" t="s">
        <v>3933</v>
      </c>
      <c r="D909" s="62" t="s">
        <v>3934</v>
      </c>
      <c r="E909" s="62"/>
    </row>
    <row r="910" spans="1:5" ht="195" x14ac:dyDescent="0.25">
      <c r="A910" s="62" t="s">
        <v>3935</v>
      </c>
      <c r="B910" s="62" t="s">
        <v>3936</v>
      </c>
      <c r="C910" s="62" t="s">
        <v>3937</v>
      </c>
      <c r="D910" s="62" t="s">
        <v>3938</v>
      </c>
      <c r="E910" s="62" t="s">
        <v>321</v>
      </c>
    </row>
    <row r="911" spans="1:5" ht="120" x14ac:dyDescent="0.25">
      <c r="A911" s="62" t="s">
        <v>3939</v>
      </c>
      <c r="B911" s="62" t="s">
        <v>3940</v>
      </c>
      <c r="C911" s="62" t="s">
        <v>3941</v>
      </c>
      <c r="D911" s="62" t="s">
        <v>3942</v>
      </c>
      <c r="E911" s="62" t="s">
        <v>3943</v>
      </c>
    </row>
    <row r="912" spans="1:5" ht="240" x14ac:dyDescent="0.25">
      <c r="A912" s="62" t="s">
        <v>3944</v>
      </c>
      <c r="B912" s="62" t="s">
        <v>3945</v>
      </c>
      <c r="C912" s="62" t="s">
        <v>3946</v>
      </c>
      <c r="D912" s="62" t="s">
        <v>3947</v>
      </c>
      <c r="E912" s="62" t="s">
        <v>3948</v>
      </c>
    </row>
    <row r="913" spans="1:5" ht="180" x14ac:dyDescent="0.25">
      <c r="A913" s="62" t="s">
        <v>3949</v>
      </c>
      <c r="B913" s="62" t="s">
        <v>3950</v>
      </c>
      <c r="C913" s="62" t="s">
        <v>3951</v>
      </c>
      <c r="D913" s="62" t="s">
        <v>3952</v>
      </c>
      <c r="E913" s="62" t="s">
        <v>321</v>
      </c>
    </row>
    <row r="914" spans="1:5" ht="45" x14ac:dyDescent="0.25">
      <c r="A914" s="62" t="s">
        <v>3953</v>
      </c>
      <c r="B914" s="62" t="s">
        <v>3954</v>
      </c>
      <c r="C914" s="62" t="s">
        <v>3955</v>
      </c>
      <c r="D914" s="62" t="s">
        <v>3956</v>
      </c>
      <c r="E914" s="62"/>
    </row>
    <row r="915" spans="1:5" ht="60" x14ac:dyDescent="0.25">
      <c r="A915" s="62" t="s">
        <v>3957</v>
      </c>
      <c r="B915" s="62" t="s">
        <v>3958</v>
      </c>
      <c r="C915" s="62" t="s">
        <v>3959</v>
      </c>
      <c r="D915" s="62" t="s">
        <v>3960</v>
      </c>
      <c r="E915" s="62" t="s">
        <v>3403</v>
      </c>
    </row>
    <row r="916" spans="1:5" ht="120" x14ac:dyDescent="0.25">
      <c r="A916" s="62" t="s">
        <v>3961</v>
      </c>
      <c r="B916" s="62" t="s">
        <v>3962</v>
      </c>
      <c r="C916" s="62" t="s">
        <v>3963</v>
      </c>
      <c r="D916" s="62" t="s">
        <v>3964</v>
      </c>
      <c r="E916" s="62" t="s">
        <v>3965</v>
      </c>
    </row>
    <row r="917" spans="1:5" ht="90" x14ac:dyDescent="0.25">
      <c r="A917" s="62" t="s">
        <v>3966</v>
      </c>
      <c r="B917" s="62" t="s">
        <v>3967</v>
      </c>
      <c r="C917" s="62" t="s">
        <v>3968</v>
      </c>
      <c r="D917" s="62" t="s">
        <v>3969</v>
      </c>
      <c r="E917" s="62" t="s">
        <v>3970</v>
      </c>
    </row>
    <row r="918" spans="1:5" ht="105" x14ac:dyDescent="0.25">
      <c r="A918" s="62" t="s">
        <v>3971</v>
      </c>
      <c r="B918" s="62" t="s">
        <v>3972</v>
      </c>
      <c r="C918" s="62" t="s">
        <v>3973</v>
      </c>
      <c r="D918" s="62" t="s">
        <v>3974</v>
      </c>
      <c r="E918" s="62"/>
    </row>
    <row r="919" spans="1:5" ht="60" x14ac:dyDescent="0.25">
      <c r="A919" s="62" t="s">
        <v>3975</v>
      </c>
      <c r="B919" s="62" t="s">
        <v>3976</v>
      </c>
      <c r="C919" s="62" t="s">
        <v>3977</v>
      </c>
      <c r="D919" s="62" t="s">
        <v>3978</v>
      </c>
      <c r="E919" s="62" t="s">
        <v>3875</v>
      </c>
    </row>
    <row r="920" spans="1:5" ht="105" x14ac:dyDescent="0.25">
      <c r="A920" s="62" t="s">
        <v>3979</v>
      </c>
      <c r="B920" s="62" t="s">
        <v>3980</v>
      </c>
      <c r="C920" s="62" t="s">
        <v>3981</v>
      </c>
      <c r="D920" s="62" t="s">
        <v>3982</v>
      </c>
      <c r="E920" s="62" t="s">
        <v>3983</v>
      </c>
    </row>
    <row r="921" spans="1:5" ht="60" x14ac:dyDescent="0.25">
      <c r="A921" s="62" t="s">
        <v>3984</v>
      </c>
      <c r="B921" s="62" t="s">
        <v>3985</v>
      </c>
      <c r="C921" s="62" t="s">
        <v>3986</v>
      </c>
      <c r="D921" s="62" t="s">
        <v>3987</v>
      </c>
      <c r="E921" s="62"/>
    </row>
    <row r="922" spans="1:5" ht="75" x14ac:dyDescent="0.25">
      <c r="A922" s="62" t="s">
        <v>3988</v>
      </c>
      <c r="B922" s="62" t="s">
        <v>3989</v>
      </c>
      <c r="C922" s="62" t="s">
        <v>3990</v>
      </c>
      <c r="D922" s="62" t="s">
        <v>3991</v>
      </c>
      <c r="E922" s="62"/>
    </row>
    <row r="923" spans="1:5" ht="195" x14ac:dyDescent="0.25">
      <c r="A923" s="62" t="s">
        <v>3992</v>
      </c>
      <c r="B923" s="62" t="s">
        <v>3993</v>
      </c>
      <c r="C923" s="62" t="s">
        <v>3994</v>
      </c>
      <c r="D923" s="62" t="s">
        <v>3995</v>
      </c>
      <c r="E923" s="62" t="s">
        <v>1337</v>
      </c>
    </row>
    <row r="924" spans="1:5" ht="45" x14ac:dyDescent="0.25">
      <c r="A924" s="62" t="s">
        <v>3996</v>
      </c>
      <c r="B924" s="62" t="s">
        <v>3997</v>
      </c>
      <c r="C924" s="62" t="s">
        <v>3998</v>
      </c>
      <c r="D924" s="62" t="s">
        <v>3999</v>
      </c>
      <c r="E924" s="62"/>
    </row>
    <row r="925" spans="1:5" ht="30" x14ac:dyDescent="0.25">
      <c r="A925" s="62" t="s">
        <v>4000</v>
      </c>
      <c r="B925" s="62" t="s">
        <v>4001</v>
      </c>
      <c r="C925" s="62" t="s">
        <v>4002</v>
      </c>
      <c r="D925" s="62" t="s">
        <v>4003</v>
      </c>
      <c r="E925" s="62"/>
    </row>
    <row r="926" spans="1:5" ht="105" x14ac:dyDescent="0.25">
      <c r="A926" s="62" t="s">
        <v>4004</v>
      </c>
      <c r="B926" s="62" t="s">
        <v>4005</v>
      </c>
      <c r="C926" s="62" t="s">
        <v>4006</v>
      </c>
      <c r="D926" s="62" t="s">
        <v>4007</v>
      </c>
      <c r="E926" s="62" t="s">
        <v>4008</v>
      </c>
    </row>
    <row r="927" spans="1:5" ht="75" x14ac:dyDescent="0.25">
      <c r="A927" s="62" t="s">
        <v>4009</v>
      </c>
      <c r="B927" s="62" t="s">
        <v>4010</v>
      </c>
      <c r="C927" s="62" t="s">
        <v>4011</v>
      </c>
      <c r="D927" s="62" t="s">
        <v>4012</v>
      </c>
      <c r="E927" s="62"/>
    </row>
    <row r="928" spans="1:5" ht="105" x14ac:dyDescent="0.25">
      <c r="A928" s="62" t="s">
        <v>4013</v>
      </c>
      <c r="B928" s="62" t="s">
        <v>4014</v>
      </c>
      <c r="C928" s="62" t="s">
        <v>4015</v>
      </c>
      <c r="D928" s="62" t="s">
        <v>4016</v>
      </c>
      <c r="E928" s="62"/>
    </row>
    <row r="929" spans="1:5" ht="75" x14ac:dyDescent="0.25">
      <c r="A929" s="62" t="s">
        <v>4017</v>
      </c>
      <c r="B929" s="62" t="s">
        <v>4018</v>
      </c>
      <c r="C929" s="62" t="s">
        <v>4019</v>
      </c>
      <c r="D929" s="62" t="s">
        <v>4020</v>
      </c>
      <c r="E929" s="62"/>
    </row>
    <row r="930" spans="1:5" ht="45" x14ac:dyDescent="0.25">
      <c r="A930" s="62" t="s">
        <v>4021</v>
      </c>
      <c r="B930" s="62" t="s">
        <v>4022</v>
      </c>
      <c r="C930" s="62" t="s">
        <v>4023</v>
      </c>
      <c r="D930" s="62" t="s">
        <v>4024</v>
      </c>
      <c r="E930" s="62"/>
    </row>
    <row r="931" spans="1:5" ht="105" x14ac:dyDescent="0.25">
      <c r="A931" s="62" t="s">
        <v>4025</v>
      </c>
      <c r="B931" s="62" t="s">
        <v>4026</v>
      </c>
      <c r="C931" s="62" t="s">
        <v>4027</v>
      </c>
      <c r="D931" s="62" t="s">
        <v>4028</v>
      </c>
      <c r="E931" s="62"/>
    </row>
    <row r="932" spans="1:5" ht="300" x14ac:dyDescent="0.25">
      <c r="A932" s="62" t="s">
        <v>4029</v>
      </c>
      <c r="B932" s="62" t="s">
        <v>4030</v>
      </c>
      <c r="C932" s="62" t="s">
        <v>4031</v>
      </c>
      <c r="D932" s="62" t="s">
        <v>4032</v>
      </c>
      <c r="E932" s="62" t="s">
        <v>4033</v>
      </c>
    </row>
    <row r="933" spans="1:5" ht="75" x14ac:dyDescent="0.25">
      <c r="A933" s="62" t="s">
        <v>4034</v>
      </c>
      <c r="B933" s="62" t="s">
        <v>4035</v>
      </c>
      <c r="C933" s="62" t="s">
        <v>4036</v>
      </c>
      <c r="D933" s="62" t="s">
        <v>4037</v>
      </c>
      <c r="E933" s="62" t="s">
        <v>709</v>
      </c>
    </row>
    <row r="934" spans="1:5" ht="75" x14ac:dyDescent="0.25">
      <c r="A934" s="62" t="s">
        <v>4038</v>
      </c>
      <c r="B934" s="62" t="s">
        <v>4039</v>
      </c>
      <c r="C934" s="62" t="s">
        <v>4040</v>
      </c>
      <c r="D934" s="62" t="s">
        <v>4041</v>
      </c>
      <c r="E934" s="62"/>
    </row>
    <row r="935" spans="1:5" ht="135" x14ac:dyDescent="0.25">
      <c r="A935" s="62" t="s">
        <v>4042</v>
      </c>
      <c r="B935" s="62" t="s">
        <v>4043</v>
      </c>
      <c r="C935" s="62" t="s">
        <v>4044</v>
      </c>
      <c r="D935" s="62" t="s">
        <v>4045</v>
      </c>
      <c r="E935" s="62" t="s">
        <v>709</v>
      </c>
    </row>
    <row r="936" spans="1:5" ht="165" x14ac:dyDescent="0.25">
      <c r="A936" s="62" t="s">
        <v>4046</v>
      </c>
      <c r="B936" s="62" t="s">
        <v>4047</v>
      </c>
      <c r="C936" s="62" t="s">
        <v>4048</v>
      </c>
      <c r="D936" s="62" t="s">
        <v>4049</v>
      </c>
      <c r="E936" s="62" t="s">
        <v>709</v>
      </c>
    </row>
    <row r="937" spans="1:5" ht="45" x14ac:dyDescent="0.25">
      <c r="A937" s="62" t="s">
        <v>4050</v>
      </c>
      <c r="B937" s="62" t="s">
        <v>4051</v>
      </c>
      <c r="C937" s="62" t="s">
        <v>4052</v>
      </c>
      <c r="D937" s="62" t="s">
        <v>4053</v>
      </c>
      <c r="E937" s="62"/>
    </row>
    <row r="938" spans="1:5" x14ac:dyDescent="0.25">
      <c r="A938" s="62" t="s">
        <v>4054</v>
      </c>
      <c r="B938" s="62" t="s">
        <v>4055</v>
      </c>
      <c r="C938" s="62"/>
      <c r="D938" s="62"/>
      <c r="E938" s="62"/>
    </row>
    <row r="939" spans="1:5" ht="105" x14ac:dyDescent="0.25">
      <c r="A939" s="62" t="s">
        <v>4056</v>
      </c>
      <c r="B939" s="62" t="s">
        <v>4057</v>
      </c>
      <c r="C939" s="62" t="s">
        <v>4058</v>
      </c>
      <c r="D939" s="62" t="s">
        <v>4059</v>
      </c>
      <c r="E939" s="62" t="s">
        <v>4060</v>
      </c>
    </row>
    <row r="940" spans="1:5" ht="210" x14ac:dyDescent="0.25">
      <c r="A940" s="62" t="s">
        <v>4061</v>
      </c>
      <c r="B940" s="62" t="s">
        <v>4062</v>
      </c>
      <c r="C940" s="62" t="s">
        <v>4063</v>
      </c>
      <c r="D940" s="62" t="s">
        <v>4064</v>
      </c>
      <c r="E940" s="62" t="s">
        <v>4065</v>
      </c>
    </row>
    <row r="941" spans="1:5" ht="75" x14ac:dyDescent="0.25">
      <c r="A941" s="62" t="s">
        <v>4066</v>
      </c>
      <c r="B941" s="62" t="s">
        <v>4067</v>
      </c>
      <c r="C941" s="62" t="s">
        <v>4068</v>
      </c>
      <c r="D941" s="62" t="s">
        <v>4069</v>
      </c>
      <c r="E941" s="62"/>
    </row>
    <row r="942" spans="1:5" ht="150" x14ac:dyDescent="0.25">
      <c r="A942" s="62" t="s">
        <v>1409</v>
      </c>
      <c r="B942" s="62" t="s">
        <v>4070</v>
      </c>
      <c r="C942" s="62" t="s">
        <v>4071</v>
      </c>
      <c r="D942" s="62" t="s">
        <v>4072</v>
      </c>
      <c r="E942" s="62" t="s">
        <v>4073</v>
      </c>
    </row>
    <row r="943" spans="1:5" ht="30" x14ac:dyDescent="0.25">
      <c r="A943" s="62" t="s">
        <v>4074</v>
      </c>
      <c r="B943" s="62" t="s">
        <v>4075</v>
      </c>
      <c r="C943" s="62" t="s">
        <v>4076</v>
      </c>
      <c r="D943" s="62" t="s">
        <v>4077</v>
      </c>
      <c r="E943" s="62"/>
    </row>
    <row r="944" spans="1:5" ht="45" x14ac:dyDescent="0.25">
      <c r="A944" s="62" t="s">
        <v>4078</v>
      </c>
      <c r="B944" s="62" t="s">
        <v>4079</v>
      </c>
      <c r="C944" s="62" t="s">
        <v>4080</v>
      </c>
      <c r="D944" s="62" t="s">
        <v>4081</v>
      </c>
      <c r="E944" s="62"/>
    </row>
    <row r="945" spans="1:5" ht="90" x14ac:dyDescent="0.25">
      <c r="A945" s="62" t="s">
        <v>4082</v>
      </c>
      <c r="B945" s="62" t="s">
        <v>4083</v>
      </c>
      <c r="C945" s="62" t="s">
        <v>4084</v>
      </c>
      <c r="D945" s="62" t="s">
        <v>4081</v>
      </c>
      <c r="E945" s="62"/>
    </row>
    <row r="946" spans="1:5" ht="30" x14ac:dyDescent="0.25">
      <c r="A946" s="62" t="s">
        <v>4085</v>
      </c>
      <c r="B946" s="62" t="s">
        <v>4086</v>
      </c>
      <c r="C946" s="62"/>
      <c r="D946" s="62"/>
      <c r="E946" s="62"/>
    </row>
    <row r="947" spans="1:5" ht="30" x14ac:dyDescent="0.25">
      <c r="A947" s="62" t="s">
        <v>4087</v>
      </c>
      <c r="B947" s="62" t="s">
        <v>4088</v>
      </c>
      <c r="C947" s="62"/>
      <c r="D947" s="62"/>
      <c r="E947" s="62"/>
    </row>
    <row r="948" spans="1:5" ht="60" x14ac:dyDescent="0.25">
      <c r="A948" s="62" t="s">
        <v>4089</v>
      </c>
      <c r="B948" s="62" t="s">
        <v>4090</v>
      </c>
      <c r="C948" s="62" t="s">
        <v>4091</v>
      </c>
      <c r="D948" s="62" t="s">
        <v>4092</v>
      </c>
      <c r="E948" s="62"/>
    </row>
    <row r="949" spans="1:5" ht="180" x14ac:dyDescent="0.25">
      <c r="A949" s="62" t="s">
        <v>4093</v>
      </c>
      <c r="B949" s="62" t="s">
        <v>4094</v>
      </c>
      <c r="C949" s="62" t="s">
        <v>4095</v>
      </c>
      <c r="D949" s="62" t="s">
        <v>4096</v>
      </c>
      <c r="E949" s="62" t="s">
        <v>4097</v>
      </c>
    </row>
    <row r="950" spans="1:5" ht="30" x14ac:dyDescent="0.25">
      <c r="A950" s="62" t="s">
        <v>4098</v>
      </c>
      <c r="B950" s="62" t="s">
        <v>4099</v>
      </c>
      <c r="C950" s="62"/>
      <c r="D950" s="62"/>
      <c r="E950" s="62"/>
    </row>
    <row r="951" spans="1:5" x14ac:dyDescent="0.25">
      <c r="A951" s="62" t="s">
        <v>4100</v>
      </c>
      <c r="B951" s="62" t="s">
        <v>4101</v>
      </c>
      <c r="C951" s="62"/>
      <c r="D951" s="62"/>
      <c r="E951" s="62"/>
    </row>
    <row r="952" spans="1:5" ht="30" x14ac:dyDescent="0.25">
      <c r="A952" s="62" t="s">
        <v>4102</v>
      </c>
      <c r="B952" s="62" t="s">
        <v>4103</v>
      </c>
      <c r="C952" s="62"/>
      <c r="D952" s="62"/>
      <c r="E952" s="62"/>
    </row>
    <row r="953" spans="1:5" x14ac:dyDescent="0.25">
      <c r="A953" s="62" t="s">
        <v>4104</v>
      </c>
      <c r="B953" s="62" t="s">
        <v>4105</v>
      </c>
      <c r="C953" s="62"/>
      <c r="D953" s="62"/>
      <c r="E953" s="62"/>
    </row>
    <row r="954" spans="1:5" x14ac:dyDescent="0.25">
      <c r="A954" s="62" t="s">
        <v>4106</v>
      </c>
      <c r="B954" s="62" t="s">
        <v>4107</v>
      </c>
      <c r="C954" s="62"/>
      <c r="D954" s="62"/>
      <c r="E954" s="62"/>
    </row>
    <row r="955" spans="1:5" ht="60" x14ac:dyDescent="0.25">
      <c r="A955" s="62" t="s">
        <v>4108</v>
      </c>
      <c r="B955" s="62" t="s">
        <v>4109</v>
      </c>
      <c r="C955" s="62" t="s">
        <v>4110</v>
      </c>
      <c r="D955" s="62" t="s">
        <v>4111</v>
      </c>
      <c r="E955" s="62" t="s">
        <v>4112</v>
      </c>
    </row>
    <row r="956" spans="1:5" ht="75" x14ac:dyDescent="0.25">
      <c r="A956" s="62" t="s">
        <v>4113</v>
      </c>
      <c r="B956" s="62" t="s">
        <v>4114</v>
      </c>
      <c r="C956" s="62" t="s">
        <v>4115</v>
      </c>
      <c r="D956" s="62" t="s">
        <v>4116</v>
      </c>
      <c r="E956" s="62"/>
    </row>
    <row r="957" spans="1:5" ht="45" x14ac:dyDescent="0.25">
      <c r="A957" s="62" t="s">
        <v>4117</v>
      </c>
      <c r="B957" s="62" t="s">
        <v>4118</v>
      </c>
      <c r="C957" s="62"/>
      <c r="D957" s="62"/>
      <c r="E957" s="62"/>
    </row>
    <row r="958" spans="1:5" ht="60" x14ac:dyDescent="0.25">
      <c r="A958" s="62" t="s">
        <v>4119</v>
      </c>
      <c r="B958" s="62" t="s">
        <v>4120</v>
      </c>
      <c r="C958" s="62" t="s">
        <v>4121</v>
      </c>
      <c r="D958" s="62" t="s">
        <v>4122</v>
      </c>
      <c r="E958" s="62"/>
    </row>
    <row r="959" spans="1:5" ht="45" x14ac:dyDescent="0.25">
      <c r="A959" s="62" t="s">
        <v>4123</v>
      </c>
      <c r="B959" s="62" t="s">
        <v>4124</v>
      </c>
      <c r="C959" s="62" t="s">
        <v>4125</v>
      </c>
      <c r="D959" s="62" t="s">
        <v>4126</v>
      </c>
      <c r="E959" s="62"/>
    </row>
    <row r="960" spans="1:5" ht="165" x14ac:dyDescent="0.25">
      <c r="A960" s="62" t="s">
        <v>4127</v>
      </c>
      <c r="B960" s="62" t="s">
        <v>4128</v>
      </c>
      <c r="C960" s="62" t="s">
        <v>4129</v>
      </c>
      <c r="D960" s="62" t="s">
        <v>4130</v>
      </c>
      <c r="E960" s="62" t="s">
        <v>1131</v>
      </c>
    </row>
    <row r="961" spans="1:5" ht="60" x14ac:dyDescent="0.25">
      <c r="A961" s="62" t="s">
        <v>4131</v>
      </c>
      <c r="B961" s="62" t="s">
        <v>4132</v>
      </c>
      <c r="C961" s="62" t="s">
        <v>4133</v>
      </c>
      <c r="D961" s="62" t="s">
        <v>4134</v>
      </c>
      <c r="E961" s="62" t="s">
        <v>4135</v>
      </c>
    </row>
    <row r="962" spans="1:5" ht="60" x14ac:dyDescent="0.25">
      <c r="A962" s="62" t="s">
        <v>4136</v>
      </c>
      <c r="B962" s="62" t="s">
        <v>4137</v>
      </c>
      <c r="C962" s="62" t="s">
        <v>4138</v>
      </c>
      <c r="D962" s="62" t="s">
        <v>4139</v>
      </c>
      <c r="E962" s="62" t="s">
        <v>4140</v>
      </c>
    </row>
    <row r="963" spans="1:5" ht="45" x14ac:dyDescent="0.25">
      <c r="A963" s="62" t="s">
        <v>4141</v>
      </c>
      <c r="B963" s="62" t="s">
        <v>4142</v>
      </c>
      <c r="C963" s="62" t="s">
        <v>4143</v>
      </c>
      <c r="D963" s="62" t="s">
        <v>4144</v>
      </c>
      <c r="E963" s="62" t="s">
        <v>4145</v>
      </c>
    </row>
    <row r="964" spans="1:5" ht="90" x14ac:dyDescent="0.25">
      <c r="A964" s="62" t="s">
        <v>4146</v>
      </c>
      <c r="B964" s="62" t="s">
        <v>4147</v>
      </c>
      <c r="C964" s="62" t="s">
        <v>4148</v>
      </c>
      <c r="D964" s="62" t="s">
        <v>4149</v>
      </c>
      <c r="E964" s="62" t="s">
        <v>4150</v>
      </c>
    </row>
    <row r="965" spans="1:5" ht="180" x14ac:dyDescent="0.25">
      <c r="A965" s="62" t="s">
        <v>4151</v>
      </c>
      <c r="B965" s="62" t="s">
        <v>4152</v>
      </c>
      <c r="C965" s="62" t="s">
        <v>4153</v>
      </c>
      <c r="D965" s="62" t="s">
        <v>4154</v>
      </c>
      <c r="E965" s="62" t="s">
        <v>4155</v>
      </c>
    </row>
    <row r="966" spans="1:5" ht="60" x14ac:dyDescent="0.25">
      <c r="A966" s="62" t="s">
        <v>4156</v>
      </c>
      <c r="B966" s="62" t="s">
        <v>4157</v>
      </c>
      <c r="C966" s="62" t="s">
        <v>4158</v>
      </c>
      <c r="D966" s="62" t="s">
        <v>4159</v>
      </c>
      <c r="E966" s="62"/>
    </row>
    <row r="967" spans="1:5" ht="30" x14ac:dyDescent="0.25">
      <c r="A967" s="62" t="s">
        <v>4160</v>
      </c>
      <c r="B967" s="62" t="s">
        <v>4161</v>
      </c>
      <c r="C967" s="62" t="s">
        <v>4162</v>
      </c>
      <c r="D967" s="62" t="s">
        <v>801</v>
      </c>
      <c r="E967" s="62"/>
    </row>
    <row r="968" spans="1:5" ht="30" x14ac:dyDescent="0.25">
      <c r="A968" s="62" t="s">
        <v>4163</v>
      </c>
      <c r="B968" s="62" t="s">
        <v>4164</v>
      </c>
      <c r="C968" s="62" t="s">
        <v>4165</v>
      </c>
      <c r="D968" s="62" t="s">
        <v>801</v>
      </c>
      <c r="E968" s="62"/>
    </row>
    <row r="969" spans="1:5" ht="75" x14ac:dyDescent="0.25">
      <c r="A969" s="62" t="s">
        <v>4166</v>
      </c>
      <c r="B969" s="62" t="s">
        <v>4167</v>
      </c>
      <c r="C969" s="62" t="s">
        <v>4168</v>
      </c>
      <c r="D969" s="62" t="s">
        <v>4169</v>
      </c>
      <c r="E969" s="62"/>
    </row>
    <row r="970" spans="1:5" ht="45" x14ac:dyDescent="0.25">
      <c r="A970" s="62" t="s">
        <v>4170</v>
      </c>
      <c r="B970" s="62" t="s">
        <v>4171</v>
      </c>
      <c r="C970" s="62" t="s">
        <v>4172</v>
      </c>
      <c r="D970" s="62" t="s">
        <v>4173</v>
      </c>
      <c r="E970" s="62" t="s">
        <v>4174</v>
      </c>
    </row>
    <row r="971" spans="1:5" x14ac:dyDescent="0.25">
      <c r="A971" s="62" t="s">
        <v>4175</v>
      </c>
      <c r="B971" s="62" t="s">
        <v>4176</v>
      </c>
      <c r="C971" s="62" t="s">
        <v>4177</v>
      </c>
      <c r="D971" s="62"/>
      <c r="E971" s="62"/>
    </row>
    <row r="972" spans="1:5" ht="150" x14ac:dyDescent="0.25">
      <c r="A972" s="62" t="s">
        <v>4178</v>
      </c>
      <c r="B972" s="62" t="s">
        <v>4179</v>
      </c>
      <c r="C972" s="62" t="s">
        <v>4180</v>
      </c>
      <c r="D972" s="62" t="s">
        <v>4181</v>
      </c>
      <c r="E972" s="62" t="s">
        <v>4182</v>
      </c>
    </row>
    <row r="973" spans="1:5" ht="30" x14ac:dyDescent="0.25">
      <c r="A973" s="62" t="s">
        <v>4183</v>
      </c>
      <c r="B973" s="62" t="s">
        <v>4184</v>
      </c>
      <c r="C973" s="62"/>
      <c r="D973" s="62"/>
      <c r="E973" s="62"/>
    </row>
    <row r="974" spans="1:5" ht="30" x14ac:dyDescent="0.25">
      <c r="A974" s="62" t="s">
        <v>4185</v>
      </c>
      <c r="B974" s="62" t="s">
        <v>4186</v>
      </c>
      <c r="C974" s="62" t="s">
        <v>4187</v>
      </c>
      <c r="D974" s="62" t="s">
        <v>801</v>
      </c>
      <c r="E974" s="62"/>
    </row>
    <row r="975" spans="1:5" ht="120" x14ac:dyDescent="0.25">
      <c r="A975" s="62" t="s">
        <v>4188</v>
      </c>
      <c r="B975" s="62" t="s">
        <v>4189</v>
      </c>
      <c r="C975" s="62" t="s">
        <v>4190</v>
      </c>
      <c r="D975" s="62" t="s">
        <v>4191</v>
      </c>
      <c r="E975" s="62" t="s">
        <v>4192</v>
      </c>
    </row>
    <row r="976" spans="1:5" ht="30" x14ac:dyDescent="0.25">
      <c r="A976" s="62" t="s">
        <v>4193</v>
      </c>
      <c r="B976" s="62" t="s">
        <v>4194</v>
      </c>
      <c r="C976" s="62"/>
      <c r="D976" s="62"/>
      <c r="E976" s="62"/>
    </row>
    <row r="977" spans="1:5" ht="180" x14ac:dyDescent="0.25">
      <c r="A977" s="62" t="s">
        <v>4195</v>
      </c>
      <c r="B977" s="62" t="s">
        <v>4196</v>
      </c>
      <c r="C977" s="62" t="s">
        <v>4197</v>
      </c>
      <c r="D977" s="62" t="s">
        <v>4198</v>
      </c>
      <c r="E977" s="62" t="s">
        <v>4199</v>
      </c>
    </row>
    <row r="978" spans="1:5" ht="90" x14ac:dyDescent="0.25">
      <c r="A978" s="62" t="s">
        <v>636</v>
      </c>
      <c r="B978" s="62" t="s">
        <v>4200</v>
      </c>
      <c r="C978" s="62" t="s">
        <v>4201</v>
      </c>
      <c r="D978" s="62" t="s">
        <v>4202</v>
      </c>
      <c r="E978" s="62" t="s">
        <v>4203</v>
      </c>
    </row>
    <row r="979" spans="1:5" ht="30" x14ac:dyDescent="0.25">
      <c r="A979" s="62" t="s">
        <v>4204</v>
      </c>
      <c r="B979" s="62" t="s">
        <v>4205</v>
      </c>
      <c r="C979" s="62" t="s">
        <v>4206</v>
      </c>
      <c r="D979" s="62" t="s">
        <v>4207</v>
      </c>
      <c r="E979" s="62"/>
    </row>
    <row r="980" spans="1:5" ht="30" x14ac:dyDescent="0.25">
      <c r="A980" s="62" t="s">
        <v>4208</v>
      </c>
      <c r="B980" s="62" t="s">
        <v>4209</v>
      </c>
      <c r="C980" s="62"/>
      <c r="D980" s="62"/>
      <c r="E980" s="62"/>
    </row>
    <row r="981" spans="1:5" ht="60" x14ac:dyDescent="0.25">
      <c r="A981" s="62" t="s">
        <v>4210</v>
      </c>
      <c r="B981" s="62" t="s">
        <v>4211</v>
      </c>
      <c r="C981" s="62" t="s">
        <v>4212</v>
      </c>
      <c r="D981" s="62" t="s">
        <v>4213</v>
      </c>
      <c r="E981" s="62" t="s">
        <v>4214</v>
      </c>
    </row>
    <row r="982" spans="1:5" ht="30" x14ac:dyDescent="0.25">
      <c r="A982" s="62" t="s">
        <v>4215</v>
      </c>
      <c r="B982" s="62" t="s">
        <v>4216</v>
      </c>
      <c r="C982" s="62"/>
      <c r="D982" s="62"/>
      <c r="E982" s="62"/>
    </row>
    <row r="983" spans="1:5" ht="60" x14ac:dyDescent="0.25">
      <c r="A983" s="62" t="s">
        <v>4217</v>
      </c>
      <c r="B983" s="62" t="s">
        <v>4218</v>
      </c>
      <c r="C983" s="62" t="s">
        <v>4219</v>
      </c>
      <c r="D983" s="62" t="s">
        <v>4220</v>
      </c>
      <c r="E983" s="62" t="s">
        <v>709</v>
      </c>
    </row>
    <row r="984" spans="1:5" ht="120" x14ac:dyDescent="0.25">
      <c r="A984" s="62" t="s">
        <v>4221</v>
      </c>
      <c r="B984" s="62" t="s">
        <v>4222</v>
      </c>
      <c r="C984" s="62" t="s">
        <v>4223</v>
      </c>
      <c r="D984" s="62" t="s">
        <v>4224</v>
      </c>
      <c r="E984" s="62" t="s">
        <v>4225</v>
      </c>
    </row>
    <row r="985" spans="1:5" ht="60" x14ac:dyDescent="0.25">
      <c r="A985" s="62" t="s">
        <v>4226</v>
      </c>
      <c r="B985" s="62" t="s">
        <v>4227</v>
      </c>
      <c r="C985" s="62" t="s">
        <v>4228</v>
      </c>
      <c r="D985" s="62" t="s">
        <v>4229</v>
      </c>
      <c r="E985" s="62" t="s">
        <v>4230</v>
      </c>
    </row>
    <row r="986" spans="1:5" ht="90" x14ac:dyDescent="0.25">
      <c r="A986" s="62" t="s">
        <v>4231</v>
      </c>
      <c r="B986" s="62" t="s">
        <v>4232</v>
      </c>
      <c r="C986" s="62" t="s">
        <v>4233</v>
      </c>
      <c r="D986" s="62" t="s">
        <v>4234</v>
      </c>
      <c r="E986" s="62" t="s">
        <v>4235</v>
      </c>
    </row>
    <row r="987" spans="1:5" x14ac:dyDescent="0.25">
      <c r="A987" s="62" t="s">
        <v>4236</v>
      </c>
      <c r="B987" s="62" t="s">
        <v>4237</v>
      </c>
      <c r="C987" s="62"/>
      <c r="D987" s="62"/>
      <c r="E987" s="62"/>
    </row>
    <row r="988" spans="1:5" ht="120" x14ac:dyDescent="0.25">
      <c r="A988" s="62" t="s">
        <v>4238</v>
      </c>
      <c r="B988" s="62" t="s">
        <v>4239</v>
      </c>
      <c r="C988" s="62" t="s">
        <v>4240</v>
      </c>
      <c r="D988" s="62" t="s">
        <v>4241</v>
      </c>
      <c r="E988" s="62" t="s">
        <v>4242</v>
      </c>
    </row>
    <row r="989" spans="1:5" ht="225" x14ac:dyDescent="0.25">
      <c r="A989" s="62" t="s">
        <v>4243</v>
      </c>
      <c r="B989" s="62" t="s">
        <v>4244</v>
      </c>
      <c r="C989" s="62" t="s">
        <v>4245</v>
      </c>
      <c r="D989" s="62" t="s">
        <v>4246</v>
      </c>
      <c r="E989" s="62" t="s">
        <v>4247</v>
      </c>
    </row>
    <row r="990" spans="1:5" ht="75" x14ac:dyDescent="0.25">
      <c r="A990" s="62" t="s">
        <v>4248</v>
      </c>
      <c r="B990" s="62" t="s">
        <v>4249</v>
      </c>
      <c r="C990" s="62" t="s">
        <v>4250</v>
      </c>
      <c r="D990" s="62" t="s">
        <v>4251</v>
      </c>
      <c r="E990" s="62" t="s">
        <v>4252</v>
      </c>
    </row>
    <row r="991" spans="1:5" ht="60" x14ac:dyDescent="0.25">
      <c r="A991" s="62" t="s">
        <v>4253</v>
      </c>
      <c r="B991" s="62" t="s">
        <v>4254</v>
      </c>
      <c r="C991" s="62" t="s">
        <v>4255</v>
      </c>
      <c r="D991" s="62" t="s">
        <v>4256</v>
      </c>
      <c r="E991" s="62"/>
    </row>
    <row r="992" spans="1:5" ht="45" x14ac:dyDescent="0.25">
      <c r="A992" s="62" t="s">
        <v>4257</v>
      </c>
      <c r="B992" s="62" t="s">
        <v>4258</v>
      </c>
      <c r="C992" s="62" t="s">
        <v>4259</v>
      </c>
      <c r="D992" s="62" t="s">
        <v>4260</v>
      </c>
      <c r="E992" s="62" t="s">
        <v>709</v>
      </c>
    </row>
    <row r="993" spans="1:5" ht="135" x14ac:dyDescent="0.25">
      <c r="A993" s="62" t="s">
        <v>4242</v>
      </c>
      <c r="B993" s="62" t="s">
        <v>4261</v>
      </c>
      <c r="C993" s="62" t="s">
        <v>4262</v>
      </c>
      <c r="D993" s="62" t="s">
        <v>4263</v>
      </c>
      <c r="E993" s="62" t="s">
        <v>4264</v>
      </c>
    </row>
    <row r="994" spans="1:5" ht="105" x14ac:dyDescent="0.25">
      <c r="A994" s="62" t="s">
        <v>4265</v>
      </c>
      <c r="B994" s="62" t="s">
        <v>4266</v>
      </c>
      <c r="C994" s="62" t="s">
        <v>4267</v>
      </c>
      <c r="D994" s="62" t="s">
        <v>4268</v>
      </c>
      <c r="E994" s="62"/>
    </row>
    <row r="995" spans="1:5" ht="165" x14ac:dyDescent="0.25">
      <c r="A995" s="62" t="s">
        <v>4269</v>
      </c>
      <c r="B995" s="62" t="s">
        <v>4270</v>
      </c>
      <c r="C995" s="62" t="s">
        <v>4271</v>
      </c>
      <c r="D995" s="62" t="s">
        <v>4272</v>
      </c>
      <c r="E995" s="62" t="s">
        <v>4273</v>
      </c>
    </row>
    <row r="996" spans="1:5" ht="30" x14ac:dyDescent="0.25">
      <c r="A996" s="62" t="s">
        <v>4274</v>
      </c>
      <c r="B996" s="62" t="s">
        <v>4275</v>
      </c>
      <c r="C996" s="62"/>
      <c r="D996" s="62"/>
      <c r="E996" s="62"/>
    </row>
    <row r="997" spans="1:5" ht="120" x14ac:dyDescent="0.25">
      <c r="A997" s="62" t="s">
        <v>4276</v>
      </c>
      <c r="B997" s="62" t="s">
        <v>4277</v>
      </c>
      <c r="C997" s="62" t="s">
        <v>4278</v>
      </c>
      <c r="D997" s="62" t="s">
        <v>4279</v>
      </c>
      <c r="E997" s="62"/>
    </row>
    <row r="998" spans="1:5" ht="225" x14ac:dyDescent="0.25">
      <c r="A998" s="62" t="s">
        <v>4280</v>
      </c>
      <c r="B998" s="62" t="s">
        <v>4281</v>
      </c>
      <c r="C998" s="62" t="s">
        <v>4282</v>
      </c>
      <c r="D998" s="62" t="s">
        <v>4283</v>
      </c>
      <c r="E998" s="62"/>
    </row>
    <row r="999" spans="1:5" ht="105" x14ac:dyDescent="0.25">
      <c r="A999" s="62" t="s">
        <v>4284</v>
      </c>
      <c r="B999" s="62" t="s">
        <v>4285</v>
      </c>
      <c r="C999" s="62" t="s">
        <v>4286</v>
      </c>
      <c r="D999" s="62" t="s">
        <v>4287</v>
      </c>
      <c r="E999" s="62" t="s">
        <v>4231</v>
      </c>
    </row>
    <row r="1000" spans="1:5" ht="60" x14ac:dyDescent="0.25">
      <c r="A1000" s="62" t="s">
        <v>4288</v>
      </c>
      <c r="B1000" s="62" t="s">
        <v>4289</v>
      </c>
      <c r="C1000" s="62" t="s">
        <v>4290</v>
      </c>
      <c r="D1000" s="62" t="s">
        <v>4291</v>
      </c>
      <c r="E1000" s="62"/>
    </row>
    <row r="1001" spans="1:5" ht="105" x14ac:dyDescent="0.25">
      <c r="A1001" s="62" t="s">
        <v>3416</v>
      </c>
      <c r="B1001" s="62" t="s">
        <v>4292</v>
      </c>
      <c r="C1001" s="62" t="s">
        <v>4293</v>
      </c>
      <c r="D1001" s="62" t="s">
        <v>4294</v>
      </c>
      <c r="E1001" s="62" t="s">
        <v>4295</v>
      </c>
    </row>
    <row r="1002" spans="1:5" ht="30" x14ac:dyDescent="0.25">
      <c r="A1002" s="62" t="s">
        <v>4296</v>
      </c>
      <c r="B1002" s="62" t="s">
        <v>4297</v>
      </c>
      <c r="C1002" s="62" t="s">
        <v>4298</v>
      </c>
      <c r="D1002" s="62" t="s">
        <v>801</v>
      </c>
      <c r="E1002" s="62"/>
    </row>
    <row r="1003" spans="1:5" ht="30" x14ac:dyDescent="0.25">
      <c r="A1003" s="62" t="s">
        <v>4299</v>
      </c>
      <c r="B1003" s="62" t="s">
        <v>4300</v>
      </c>
      <c r="C1003" s="62" t="s">
        <v>4301</v>
      </c>
      <c r="D1003" s="62" t="s">
        <v>4302</v>
      </c>
      <c r="E1003" s="62"/>
    </row>
    <row r="1004" spans="1:5" ht="90" x14ac:dyDescent="0.25">
      <c r="A1004" s="62" t="s">
        <v>4303</v>
      </c>
      <c r="B1004" s="62" t="s">
        <v>4304</v>
      </c>
      <c r="C1004" s="62" t="s">
        <v>4305</v>
      </c>
      <c r="D1004" s="62" t="s">
        <v>4306</v>
      </c>
      <c r="E1004" s="62"/>
    </row>
    <row r="1005" spans="1:5" ht="105" x14ac:dyDescent="0.25">
      <c r="A1005" s="62" t="s">
        <v>481</v>
      </c>
      <c r="B1005" s="62" t="s">
        <v>4307</v>
      </c>
      <c r="C1005" s="62" t="s">
        <v>4308</v>
      </c>
      <c r="D1005" s="62" t="s">
        <v>4309</v>
      </c>
      <c r="E1005" s="62" t="s">
        <v>4310</v>
      </c>
    </row>
    <row r="1006" spans="1:5" ht="30" x14ac:dyDescent="0.25">
      <c r="A1006" s="62" t="s">
        <v>4311</v>
      </c>
      <c r="B1006" s="62" t="s">
        <v>4312</v>
      </c>
      <c r="C1006" s="62" t="s">
        <v>4313</v>
      </c>
      <c r="D1006" s="62" t="s">
        <v>4314</v>
      </c>
      <c r="E1006" s="62"/>
    </row>
    <row r="1007" spans="1:5" x14ac:dyDescent="0.25">
      <c r="A1007" s="62" t="s">
        <v>4315</v>
      </c>
      <c r="B1007" s="62" t="s">
        <v>4316</v>
      </c>
      <c r="C1007" s="62"/>
      <c r="D1007" s="62"/>
      <c r="E1007" s="62"/>
    </row>
    <row r="1008" spans="1:5" ht="165" x14ac:dyDescent="0.25">
      <c r="A1008" s="62" t="s">
        <v>4317</v>
      </c>
      <c r="B1008" s="62" t="s">
        <v>4318</v>
      </c>
      <c r="C1008" s="62" t="s">
        <v>4319</v>
      </c>
      <c r="D1008" s="62" t="s">
        <v>4320</v>
      </c>
      <c r="E1008" s="62" t="s">
        <v>4321</v>
      </c>
    </row>
    <row r="1009" spans="1:5" ht="60" x14ac:dyDescent="0.25">
      <c r="A1009" s="62" t="s">
        <v>4322</v>
      </c>
      <c r="B1009" s="62" t="s">
        <v>4323</v>
      </c>
      <c r="C1009" s="62" t="s">
        <v>4324</v>
      </c>
      <c r="D1009" s="62" t="s">
        <v>4325</v>
      </c>
      <c r="E1009" s="62" t="s">
        <v>4326</v>
      </c>
    </row>
    <row r="1010" spans="1:5" ht="45" x14ac:dyDescent="0.25">
      <c r="A1010" s="62" t="s">
        <v>4327</v>
      </c>
      <c r="B1010" s="62" t="s">
        <v>4328</v>
      </c>
      <c r="C1010" s="62" t="s">
        <v>4329</v>
      </c>
      <c r="D1010" s="62" t="s">
        <v>4330</v>
      </c>
      <c r="E1010" s="62" t="s">
        <v>4331</v>
      </c>
    </row>
    <row r="1011" spans="1:5" ht="30" x14ac:dyDescent="0.25">
      <c r="A1011" s="62" t="s">
        <v>4332</v>
      </c>
      <c r="B1011" s="62" t="s">
        <v>4333</v>
      </c>
      <c r="C1011" s="62"/>
      <c r="D1011" s="62"/>
      <c r="E1011" s="62"/>
    </row>
    <row r="1012" spans="1:5" ht="105" x14ac:dyDescent="0.25">
      <c r="A1012" s="62" t="s">
        <v>4334</v>
      </c>
      <c r="B1012" s="62" t="s">
        <v>4335</v>
      </c>
      <c r="C1012" s="62" t="s">
        <v>4336</v>
      </c>
      <c r="D1012" s="62" t="s">
        <v>4337</v>
      </c>
      <c r="E1012" s="62" t="s">
        <v>4338</v>
      </c>
    </row>
    <row r="1013" spans="1:5" ht="90" x14ac:dyDescent="0.25">
      <c r="A1013" s="62" t="s">
        <v>4339</v>
      </c>
      <c r="B1013" s="62" t="s">
        <v>4340</v>
      </c>
      <c r="C1013" s="62" t="s">
        <v>4341</v>
      </c>
      <c r="D1013" s="62" t="s">
        <v>4342</v>
      </c>
      <c r="E1013" s="62" t="s">
        <v>4343</v>
      </c>
    </row>
    <row r="1014" spans="1:5" ht="120" x14ac:dyDescent="0.25">
      <c r="A1014" s="62" t="s">
        <v>4344</v>
      </c>
      <c r="B1014" s="62" t="s">
        <v>4345</v>
      </c>
      <c r="C1014" s="62" t="s">
        <v>4346</v>
      </c>
      <c r="D1014" s="62" t="s">
        <v>4347</v>
      </c>
      <c r="E1014" s="62" t="s">
        <v>409</v>
      </c>
    </row>
    <row r="1015" spans="1:5" ht="60" x14ac:dyDescent="0.25">
      <c r="A1015" s="62" t="s">
        <v>4348</v>
      </c>
      <c r="B1015" s="62" t="s">
        <v>4349</v>
      </c>
      <c r="C1015" s="62" t="s">
        <v>4350</v>
      </c>
      <c r="D1015" s="62" t="s">
        <v>4351</v>
      </c>
      <c r="E1015" s="62" t="s">
        <v>1775</v>
      </c>
    </row>
    <row r="1016" spans="1:5" ht="180" x14ac:dyDescent="0.25">
      <c r="A1016" s="62" t="s">
        <v>4352</v>
      </c>
      <c r="B1016" s="62" t="s">
        <v>4353</v>
      </c>
      <c r="C1016" s="62" t="s">
        <v>4354</v>
      </c>
      <c r="D1016" s="62" t="s">
        <v>4355</v>
      </c>
      <c r="E1016" s="62" t="s">
        <v>4356</v>
      </c>
    </row>
    <row r="1017" spans="1:5" ht="60" x14ac:dyDescent="0.25">
      <c r="A1017" s="62" t="s">
        <v>4357</v>
      </c>
      <c r="B1017" s="62" t="s">
        <v>4358</v>
      </c>
      <c r="C1017" s="62" t="s">
        <v>4359</v>
      </c>
      <c r="D1017" s="62" t="s">
        <v>4360</v>
      </c>
      <c r="E1017" s="62"/>
    </row>
    <row r="1018" spans="1:5" ht="210" x14ac:dyDescent="0.25">
      <c r="A1018" s="62" t="s">
        <v>4361</v>
      </c>
      <c r="B1018" s="62" t="s">
        <v>4362</v>
      </c>
      <c r="C1018" s="62" t="s">
        <v>4363</v>
      </c>
      <c r="D1018" s="62" t="s">
        <v>4364</v>
      </c>
      <c r="E1018" s="62" t="s">
        <v>4365</v>
      </c>
    </row>
    <row r="1019" spans="1:5" ht="165" x14ac:dyDescent="0.25">
      <c r="A1019" s="62" t="s">
        <v>404</v>
      </c>
      <c r="B1019" s="62" t="s">
        <v>4366</v>
      </c>
      <c r="C1019" s="62" t="s">
        <v>4367</v>
      </c>
      <c r="D1019" s="62" t="s">
        <v>4368</v>
      </c>
      <c r="E1019" s="62" t="s">
        <v>4369</v>
      </c>
    </row>
    <row r="1020" spans="1:5" ht="60" x14ac:dyDescent="0.25">
      <c r="A1020" s="62" t="s">
        <v>4370</v>
      </c>
      <c r="B1020" s="62" t="s">
        <v>4371</v>
      </c>
      <c r="C1020" s="62" t="s">
        <v>4372</v>
      </c>
      <c r="D1020" s="62" t="s">
        <v>4373</v>
      </c>
      <c r="E1020" s="62"/>
    </row>
    <row r="1021" spans="1:5" ht="30" x14ac:dyDescent="0.25">
      <c r="A1021" s="62" t="s">
        <v>4374</v>
      </c>
      <c r="B1021" s="62" t="s">
        <v>4375</v>
      </c>
      <c r="C1021" s="62" t="s">
        <v>4376</v>
      </c>
      <c r="D1021" s="62" t="s">
        <v>801</v>
      </c>
      <c r="E1021" s="62"/>
    </row>
    <row r="1022" spans="1:5" ht="135" x14ac:dyDescent="0.25">
      <c r="A1022" s="62" t="s">
        <v>4377</v>
      </c>
      <c r="B1022" s="62" t="s">
        <v>4378</v>
      </c>
      <c r="C1022" s="62" t="s">
        <v>4379</v>
      </c>
      <c r="D1022" s="62" t="s">
        <v>4380</v>
      </c>
      <c r="E1022" s="62" t="s">
        <v>4381</v>
      </c>
    </row>
    <row r="1023" spans="1:5" ht="135" x14ac:dyDescent="0.25">
      <c r="A1023" s="62" t="s">
        <v>4382</v>
      </c>
      <c r="B1023" s="62" t="s">
        <v>4383</v>
      </c>
      <c r="C1023" s="62" t="s">
        <v>4384</v>
      </c>
      <c r="D1023" s="62" t="s">
        <v>4385</v>
      </c>
      <c r="E1023" s="62" t="s">
        <v>4386</v>
      </c>
    </row>
    <row r="1024" spans="1:5" ht="105" x14ac:dyDescent="0.25">
      <c r="A1024" s="62" t="s">
        <v>4387</v>
      </c>
      <c r="B1024" s="62" t="s">
        <v>4388</v>
      </c>
      <c r="C1024" s="62" t="s">
        <v>4389</v>
      </c>
      <c r="D1024" s="62" t="s">
        <v>4390</v>
      </c>
      <c r="E1024" s="62" t="s">
        <v>709</v>
      </c>
    </row>
    <row r="1025" spans="1:5" ht="75" x14ac:dyDescent="0.25">
      <c r="A1025" s="62" t="s">
        <v>4391</v>
      </c>
      <c r="B1025" s="62" t="s">
        <v>4392</v>
      </c>
      <c r="C1025" s="62" t="s">
        <v>4393</v>
      </c>
      <c r="D1025" s="62" t="s">
        <v>4394</v>
      </c>
      <c r="E1025" s="62" t="s">
        <v>3566</v>
      </c>
    </row>
    <row r="1026" spans="1:5" ht="105" x14ac:dyDescent="0.25">
      <c r="A1026" s="62" t="s">
        <v>4395</v>
      </c>
      <c r="B1026" s="62" t="s">
        <v>4396</v>
      </c>
      <c r="C1026" s="62" t="s">
        <v>4397</v>
      </c>
      <c r="D1026" s="62" t="s">
        <v>4398</v>
      </c>
      <c r="E1026" s="62" t="s">
        <v>709</v>
      </c>
    </row>
    <row r="1027" spans="1:5" ht="90" x14ac:dyDescent="0.25">
      <c r="A1027" s="62" t="s">
        <v>4399</v>
      </c>
      <c r="B1027" s="62" t="s">
        <v>4400</v>
      </c>
      <c r="C1027" s="62" t="s">
        <v>4401</v>
      </c>
      <c r="D1027" s="62" t="s">
        <v>4402</v>
      </c>
      <c r="E1027" s="62" t="s">
        <v>4403</v>
      </c>
    </row>
    <row r="1028" spans="1:5" ht="195" x14ac:dyDescent="0.25">
      <c r="A1028" s="62" t="s">
        <v>4404</v>
      </c>
      <c r="B1028" s="62" t="s">
        <v>4405</v>
      </c>
      <c r="C1028" s="62" t="s">
        <v>4406</v>
      </c>
      <c r="D1028" s="62" t="s">
        <v>4407</v>
      </c>
      <c r="E1028" s="62" t="s">
        <v>4108</v>
      </c>
    </row>
    <row r="1029" spans="1:5" ht="45" x14ac:dyDescent="0.25">
      <c r="A1029" s="62" t="s">
        <v>4408</v>
      </c>
      <c r="B1029" s="62" t="s">
        <v>4409</v>
      </c>
      <c r="C1029" s="62" t="s">
        <v>4410</v>
      </c>
      <c r="D1029" s="62" t="s">
        <v>4411</v>
      </c>
      <c r="E1029" s="62"/>
    </row>
    <row r="1030" spans="1:5" ht="90" x14ac:dyDescent="0.25">
      <c r="A1030" s="62" t="s">
        <v>4412</v>
      </c>
      <c r="B1030" s="62" t="s">
        <v>4413</v>
      </c>
      <c r="C1030" s="62" t="s">
        <v>4414</v>
      </c>
      <c r="D1030" s="62" t="s">
        <v>4415</v>
      </c>
      <c r="E1030" s="62" t="s">
        <v>3097</v>
      </c>
    </row>
    <row r="1031" spans="1:5" x14ac:dyDescent="0.25">
      <c r="A1031" s="62" t="s">
        <v>4416</v>
      </c>
      <c r="B1031" s="62" t="s">
        <v>4417</v>
      </c>
      <c r="C1031" s="62"/>
      <c r="D1031" s="62"/>
      <c r="E1031" s="62"/>
    </row>
    <row r="1032" spans="1:5" ht="75" x14ac:dyDescent="0.25">
      <c r="A1032" s="62" t="s">
        <v>4418</v>
      </c>
      <c r="B1032" s="62" t="s">
        <v>4419</v>
      </c>
      <c r="C1032" s="62" t="s">
        <v>4420</v>
      </c>
      <c r="D1032" s="62" t="s">
        <v>4421</v>
      </c>
      <c r="E1032" s="62" t="s">
        <v>4422</v>
      </c>
    </row>
    <row r="1033" spans="1:5" ht="75" x14ac:dyDescent="0.25">
      <c r="A1033" s="62" t="s">
        <v>4423</v>
      </c>
      <c r="B1033" s="62" t="s">
        <v>4424</v>
      </c>
      <c r="C1033" s="62" t="s">
        <v>4425</v>
      </c>
      <c r="D1033" s="62" t="s">
        <v>4426</v>
      </c>
      <c r="E1033" s="62" t="s">
        <v>4427</v>
      </c>
    </row>
    <row r="1034" spans="1:5" ht="90" x14ac:dyDescent="0.25">
      <c r="A1034" s="62" t="s">
        <v>4428</v>
      </c>
      <c r="B1034" s="62" t="s">
        <v>4429</v>
      </c>
      <c r="C1034" s="62" t="s">
        <v>4430</v>
      </c>
      <c r="D1034" s="62" t="s">
        <v>4431</v>
      </c>
      <c r="E1034" s="62" t="s">
        <v>4432</v>
      </c>
    </row>
    <row r="1035" spans="1:5" ht="165" x14ac:dyDescent="0.25">
      <c r="A1035" s="62" t="s">
        <v>4433</v>
      </c>
      <c r="B1035" s="62" t="s">
        <v>4434</v>
      </c>
      <c r="C1035" s="62" t="s">
        <v>4435</v>
      </c>
      <c r="D1035" s="62" t="s">
        <v>4436</v>
      </c>
      <c r="E1035" s="62" t="s">
        <v>4437</v>
      </c>
    </row>
    <row r="1036" spans="1:5" ht="195" x14ac:dyDescent="0.25">
      <c r="A1036" s="62" t="s">
        <v>4438</v>
      </c>
      <c r="B1036" s="62" t="s">
        <v>4439</v>
      </c>
      <c r="C1036" s="62" t="s">
        <v>4440</v>
      </c>
      <c r="D1036" s="62" t="s">
        <v>4441</v>
      </c>
      <c r="E1036" s="62" t="s">
        <v>4442</v>
      </c>
    </row>
    <row r="1037" spans="1:5" ht="60" x14ac:dyDescent="0.25">
      <c r="A1037" s="62" t="s">
        <v>4443</v>
      </c>
      <c r="B1037" s="62" t="s">
        <v>4444</v>
      </c>
      <c r="C1037" s="62" t="s">
        <v>4445</v>
      </c>
      <c r="D1037" s="62" t="s">
        <v>4446</v>
      </c>
      <c r="E1037" s="62"/>
    </row>
    <row r="1038" spans="1:5" ht="60" x14ac:dyDescent="0.25">
      <c r="A1038" s="62" t="s">
        <v>4447</v>
      </c>
      <c r="B1038" s="62" t="s">
        <v>4448</v>
      </c>
      <c r="C1038" s="62" t="s">
        <v>4449</v>
      </c>
      <c r="D1038" s="62" t="s">
        <v>4450</v>
      </c>
      <c r="E1038" s="62"/>
    </row>
    <row r="1039" spans="1:5" ht="90" x14ac:dyDescent="0.25">
      <c r="A1039" s="62" t="s">
        <v>4451</v>
      </c>
      <c r="B1039" s="62" t="s">
        <v>4452</v>
      </c>
      <c r="C1039" s="62" t="s">
        <v>4453</v>
      </c>
      <c r="D1039" s="62" t="s">
        <v>4454</v>
      </c>
      <c r="E1039" s="62" t="s">
        <v>2571</v>
      </c>
    </row>
    <row r="1040" spans="1:5" ht="180" x14ac:dyDescent="0.25">
      <c r="A1040" s="62" t="s">
        <v>4455</v>
      </c>
      <c r="B1040" s="62" t="s">
        <v>4456</v>
      </c>
      <c r="C1040" s="62" t="s">
        <v>4457</v>
      </c>
      <c r="D1040" s="62" t="s">
        <v>4458</v>
      </c>
      <c r="E1040" s="62" t="s">
        <v>4459</v>
      </c>
    </row>
    <row r="1041" spans="1:5" ht="165" x14ac:dyDescent="0.25">
      <c r="A1041" s="62" t="s">
        <v>4460</v>
      </c>
      <c r="B1041" s="62" t="s">
        <v>4461</v>
      </c>
      <c r="C1041" s="62" t="s">
        <v>4462</v>
      </c>
      <c r="D1041" s="62" t="s">
        <v>4463</v>
      </c>
      <c r="E1041" s="62" t="s">
        <v>4464</v>
      </c>
    </row>
    <row r="1042" spans="1:5" ht="60" x14ac:dyDescent="0.25">
      <c r="A1042" s="62" t="s">
        <v>4465</v>
      </c>
      <c r="B1042" s="62" t="s">
        <v>4466</v>
      </c>
      <c r="C1042" s="62" t="s">
        <v>4467</v>
      </c>
      <c r="D1042" s="62" t="s">
        <v>801</v>
      </c>
      <c r="E1042" s="62"/>
    </row>
    <row r="1043" spans="1:5" ht="75" x14ac:dyDescent="0.25">
      <c r="A1043" s="62" t="s">
        <v>4468</v>
      </c>
      <c r="B1043" s="62" t="s">
        <v>4469</v>
      </c>
      <c r="C1043" s="62" t="s">
        <v>4470</v>
      </c>
      <c r="D1043" s="62" t="s">
        <v>4471</v>
      </c>
      <c r="E1043" s="62" t="s">
        <v>4472</v>
      </c>
    </row>
    <row r="1044" spans="1:5" ht="45" x14ac:dyDescent="0.25">
      <c r="A1044" s="62" t="s">
        <v>4473</v>
      </c>
      <c r="B1044" s="62" t="s">
        <v>4474</v>
      </c>
      <c r="C1044" s="62" t="s">
        <v>4475</v>
      </c>
      <c r="D1044" s="62" t="s">
        <v>4476</v>
      </c>
      <c r="E1044" s="62" t="s">
        <v>4477</v>
      </c>
    </row>
    <row r="1045" spans="1:5" ht="75" x14ac:dyDescent="0.25">
      <c r="A1045" s="62" t="s">
        <v>4478</v>
      </c>
      <c r="B1045" s="62" t="s">
        <v>4479</v>
      </c>
      <c r="C1045" s="62" t="s">
        <v>4480</v>
      </c>
      <c r="D1045" s="62" t="s">
        <v>801</v>
      </c>
      <c r="E1045" s="62"/>
    </row>
    <row r="1046" spans="1:5" ht="285" x14ac:dyDescent="0.25">
      <c r="A1046" s="62" t="s">
        <v>4481</v>
      </c>
      <c r="B1046" s="62" t="s">
        <v>257</v>
      </c>
      <c r="C1046" s="62" t="s">
        <v>4482</v>
      </c>
      <c r="D1046" s="62" t="s">
        <v>4483</v>
      </c>
      <c r="E1046" s="62" t="s">
        <v>1350</v>
      </c>
    </row>
    <row r="1047" spans="1:5" ht="315" x14ac:dyDescent="0.25">
      <c r="A1047" s="62" t="s">
        <v>4484</v>
      </c>
      <c r="B1047" s="62" t="s">
        <v>4485</v>
      </c>
      <c r="C1047" s="62" t="s">
        <v>4486</v>
      </c>
      <c r="D1047" s="62" t="s">
        <v>4487</v>
      </c>
      <c r="E1047" s="62" t="s">
        <v>4488</v>
      </c>
    </row>
    <row r="1048" spans="1:5" x14ac:dyDescent="0.25">
      <c r="A1048" s="62" t="s">
        <v>4489</v>
      </c>
      <c r="B1048" s="62" t="s">
        <v>4490</v>
      </c>
      <c r="C1048" s="62"/>
      <c r="D1048" s="62"/>
      <c r="E1048" s="62"/>
    </row>
    <row r="1049" spans="1:5" ht="60" x14ac:dyDescent="0.25">
      <c r="A1049" s="62" t="s">
        <v>4491</v>
      </c>
      <c r="B1049" s="62" t="s">
        <v>4492</v>
      </c>
      <c r="C1049" s="62" t="s">
        <v>4493</v>
      </c>
      <c r="D1049" s="62" t="s">
        <v>4494</v>
      </c>
      <c r="E1049" s="62" t="s">
        <v>3903</v>
      </c>
    </row>
    <row r="1050" spans="1:5" ht="60" x14ac:dyDescent="0.25">
      <c r="A1050" s="62" t="s">
        <v>4495</v>
      </c>
      <c r="B1050" s="62" t="s">
        <v>4496</v>
      </c>
      <c r="C1050" s="62" t="s">
        <v>4497</v>
      </c>
      <c r="D1050" s="62" t="s">
        <v>4498</v>
      </c>
      <c r="E1050" s="62"/>
    </row>
    <row r="1051" spans="1:5" ht="30" x14ac:dyDescent="0.25">
      <c r="A1051" s="62" t="s">
        <v>4499</v>
      </c>
      <c r="B1051" s="62" t="s">
        <v>4500</v>
      </c>
      <c r="C1051" s="62" t="s">
        <v>4501</v>
      </c>
      <c r="D1051" s="62" t="s">
        <v>4502</v>
      </c>
      <c r="E1051" s="62"/>
    </row>
    <row r="1052" spans="1:5" ht="75" x14ac:dyDescent="0.25">
      <c r="A1052" s="62" t="s">
        <v>4503</v>
      </c>
      <c r="B1052" s="62" t="s">
        <v>4504</v>
      </c>
      <c r="C1052" s="62" t="s">
        <v>4505</v>
      </c>
      <c r="D1052" s="62" t="s">
        <v>4506</v>
      </c>
      <c r="E1052" s="62"/>
    </row>
    <row r="1053" spans="1:5" ht="60" x14ac:dyDescent="0.25">
      <c r="A1053" s="62" t="s">
        <v>4507</v>
      </c>
      <c r="B1053" s="62" t="s">
        <v>4508</v>
      </c>
      <c r="C1053" s="62" t="s">
        <v>4509</v>
      </c>
      <c r="D1053" s="62" t="s">
        <v>4510</v>
      </c>
      <c r="E1053" s="62"/>
    </row>
    <row r="1054" spans="1:5" ht="409.5" x14ac:dyDescent="0.25">
      <c r="A1054" s="62" t="s">
        <v>459</v>
      </c>
      <c r="B1054" s="62" t="s">
        <v>4511</v>
      </c>
      <c r="C1054" s="62" t="s">
        <v>4512</v>
      </c>
      <c r="D1054" s="62" t="s">
        <v>4513</v>
      </c>
      <c r="E1054" s="62" t="s">
        <v>4514</v>
      </c>
    </row>
    <row r="1055" spans="1:5" x14ac:dyDescent="0.25">
      <c r="A1055" s="62" t="s">
        <v>4515</v>
      </c>
      <c r="B1055" s="62" t="s">
        <v>4516</v>
      </c>
      <c r="C1055" s="62"/>
      <c r="D1055" s="62"/>
      <c r="E1055" s="62"/>
    </row>
    <row r="1056" spans="1:5" x14ac:dyDescent="0.25">
      <c r="A1056" s="62" t="s">
        <v>4517</v>
      </c>
      <c r="B1056" s="62" t="s">
        <v>4518</v>
      </c>
      <c r="C1056" s="62"/>
      <c r="D1056" s="62"/>
      <c r="E1056" s="62"/>
    </row>
    <row r="1057" spans="1:5" x14ac:dyDescent="0.25">
      <c r="A1057" s="62" t="s">
        <v>4519</v>
      </c>
      <c r="B1057" s="62" t="s">
        <v>4520</v>
      </c>
      <c r="C1057" s="62"/>
      <c r="D1057" s="62"/>
      <c r="E1057" s="62"/>
    </row>
    <row r="1058" spans="1:5" ht="45" x14ac:dyDescent="0.25">
      <c r="A1058" s="62" t="s">
        <v>4521</v>
      </c>
      <c r="B1058" s="62" t="s">
        <v>4522</v>
      </c>
      <c r="C1058" s="62" t="s">
        <v>4523</v>
      </c>
      <c r="D1058" s="62" t="s">
        <v>4524</v>
      </c>
      <c r="E1058" s="62" t="s">
        <v>1434</v>
      </c>
    </row>
    <row r="1059" spans="1:5" x14ac:dyDescent="0.25">
      <c r="A1059" s="62" t="s">
        <v>4525</v>
      </c>
      <c r="B1059" s="62" t="s">
        <v>4526</v>
      </c>
      <c r="C1059" s="62"/>
      <c r="D1059" s="62"/>
      <c r="E1059" s="62"/>
    </row>
    <row r="1060" spans="1:5" ht="45" x14ac:dyDescent="0.25">
      <c r="A1060" s="62" t="s">
        <v>4527</v>
      </c>
      <c r="B1060" s="62" t="s">
        <v>4528</v>
      </c>
      <c r="C1060" s="62" t="s">
        <v>4529</v>
      </c>
      <c r="D1060" s="62" t="s">
        <v>801</v>
      </c>
      <c r="E1060" s="62" t="s">
        <v>4530</v>
      </c>
    </row>
    <row r="1061" spans="1:5" ht="30" x14ac:dyDescent="0.25">
      <c r="A1061" s="62" t="s">
        <v>4531</v>
      </c>
      <c r="B1061" s="62" t="s">
        <v>4532</v>
      </c>
      <c r="C1061" s="62"/>
      <c r="D1061" s="62"/>
      <c r="E1061" s="62"/>
    </row>
    <row r="1062" spans="1:5" ht="165" x14ac:dyDescent="0.25">
      <c r="A1062" s="62" t="s">
        <v>4533</v>
      </c>
      <c r="B1062" s="62" t="s">
        <v>4534</v>
      </c>
      <c r="C1062" s="62" t="s">
        <v>4535</v>
      </c>
      <c r="D1062" s="62" t="s">
        <v>4536</v>
      </c>
      <c r="E1062" s="62" t="s">
        <v>4537</v>
      </c>
    </row>
    <row r="1063" spans="1:5" ht="30" x14ac:dyDescent="0.25">
      <c r="A1063" s="62" t="s">
        <v>4538</v>
      </c>
      <c r="B1063" s="62" t="s">
        <v>4539</v>
      </c>
      <c r="C1063" s="62"/>
      <c r="D1063" s="62"/>
      <c r="E1063" s="62"/>
    </row>
    <row r="1064" spans="1:5" ht="90" x14ac:dyDescent="0.25">
      <c r="A1064" s="62" t="s">
        <v>4540</v>
      </c>
      <c r="B1064" s="62" t="s">
        <v>4541</v>
      </c>
      <c r="C1064" s="62" t="s">
        <v>4542</v>
      </c>
      <c r="D1064" s="62" t="s">
        <v>4543</v>
      </c>
      <c r="E1064" s="62"/>
    </row>
    <row r="1065" spans="1:5" ht="409.5" x14ac:dyDescent="0.25">
      <c r="A1065" s="62" t="s">
        <v>409</v>
      </c>
      <c r="B1065" s="62" t="s">
        <v>4544</v>
      </c>
      <c r="C1065" s="62" t="s">
        <v>4545</v>
      </c>
      <c r="D1065" s="62" t="s">
        <v>4546</v>
      </c>
      <c r="E1065" s="62" t="s">
        <v>4547</v>
      </c>
    </row>
    <row r="1066" spans="1:5" ht="60" x14ac:dyDescent="0.25">
      <c r="A1066" s="62" t="s">
        <v>4548</v>
      </c>
      <c r="B1066" s="62" t="s">
        <v>4549</v>
      </c>
      <c r="C1066" s="62" t="s">
        <v>4550</v>
      </c>
      <c r="D1066" s="62" t="s">
        <v>4551</v>
      </c>
      <c r="E1066" s="62"/>
    </row>
    <row r="1067" spans="1:5" ht="135" x14ac:dyDescent="0.25">
      <c r="A1067" s="62" t="s">
        <v>4552</v>
      </c>
      <c r="B1067" s="62" t="s">
        <v>4553</v>
      </c>
      <c r="C1067" s="62" t="s">
        <v>4554</v>
      </c>
      <c r="D1067" s="62" t="s">
        <v>4555</v>
      </c>
      <c r="E1067" s="62" t="s">
        <v>4556</v>
      </c>
    </row>
    <row r="1068" spans="1:5" ht="60" x14ac:dyDescent="0.25">
      <c r="A1068" s="62" t="s">
        <v>4557</v>
      </c>
      <c r="B1068" s="62" t="s">
        <v>4558</v>
      </c>
      <c r="C1068" s="62" t="s">
        <v>4559</v>
      </c>
      <c r="D1068" s="62" t="s">
        <v>4560</v>
      </c>
      <c r="E1068" s="62" t="s">
        <v>4556</v>
      </c>
    </row>
    <row r="1069" spans="1:5" ht="105" x14ac:dyDescent="0.25">
      <c r="A1069" s="62" t="s">
        <v>4561</v>
      </c>
      <c r="B1069" s="62" t="s">
        <v>4562</v>
      </c>
      <c r="C1069" s="62" t="s">
        <v>4563</v>
      </c>
      <c r="D1069" s="62" t="s">
        <v>4564</v>
      </c>
      <c r="E1069" s="62"/>
    </row>
    <row r="1070" spans="1:5" ht="165" x14ac:dyDescent="0.25">
      <c r="A1070" s="62" t="s">
        <v>4565</v>
      </c>
      <c r="B1070" s="62" t="s">
        <v>4566</v>
      </c>
      <c r="C1070" s="62" t="s">
        <v>4567</v>
      </c>
      <c r="D1070" s="62" t="s">
        <v>4568</v>
      </c>
      <c r="E1070" s="62" t="s">
        <v>4569</v>
      </c>
    </row>
    <row r="1071" spans="1:5" x14ac:dyDescent="0.25">
      <c r="A1071" s="62" t="s">
        <v>4570</v>
      </c>
      <c r="B1071" s="62" t="s">
        <v>4571</v>
      </c>
      <c r="C1071" s="62"/>
      <c r="D1071" s="62"/>
      <c r="E1071" s="62"/>
    </row>
    <row r="1072" spans="1:5" ht="60" x14ac:dyDescent="0.25">
      <c r="A1072" s="62" t="s">
        <v>4572</v>
      </c>
      <c r="B1072" s="62" t="s">
        <v>4573</v>
      </c>
      <c r="C1072" s="62" t="s">
        <v>4574</v>
      </c>
      <c r="D1072" s="62" t="s">
        <v>4575</v>
      </c>
      <c r="E1072" s="62"/>
    </row>
    <row r="1073" spans="1:5" ht="30" x14ac:dyDescent="0.25">
      <c r="A1073" s="62" t="s">
        <v>4576</v>
      </c>
      <c r="B1073" s="62" t="s">
        <v>4577</v>
      </c>
      <c r="C1073" s="62"/>
      <c r="D1073" s="62"/>
      <c r="E1073" s="62"/>
    </row>
    <row r="1074" spans="1:5" ht="60" x14ac:dyDescent="0.25">
      <c r="A1074" s="62" t="s">
        <v>4578</v>
      </c>
      <c r="B1074" s="62" t="s">
        <v>4579</v>
      </c>
      <c r="C1074" s="62" t="s">
        <v>4580</v>
      </c>
      <c r="D1074" s="62" t="s">
        <v>4581</v>
      </c>
      <c r="E1074" s="62"/>
    </row>
    <row r="1075" spans="1:5" ht="75" x14ac:dyDescent="0.25">
      <c r="A1075" s="62" t="s">
        <v>4582</v>
      </c>
      <c r="B1075" s="62" t="s">
        <v>4583</v>
      </c>
      <c r="C1075" s="62" t="s">
        <v>4584</v>
      </c>
      <c r="D1075" s="62" t="s">
        <v>4585</v>
      </c>
      <c r="E1075" s="62"/>
    </row>
    <row r="1076" spans="1:5" ht="90" x14ac:dyDescent="0.25">
      <c r="A1076" s="62" t="s">
        <v>4586</v>
      </c>
      <c r="B1076" s="62" t="s">
        <v>4587</v>
      </c>
      <c r="C1076" s="62" t="s">
        <v>4588</v>
      </c>
      <c r="D1076" s="62" t="s">
        <v>4589</v>
      </c>
      <c r="E1076" s="62"/>
    </row>
    <row r="1077" spans="1:5" ht="135" x14ac:dyDescent="0.25">
      <c r="A1077" s="62" t="s">
        <v>4590</v>
      </c>
      <c r="B1077" s="62" t="s">
        <v>4591</v>
      </c>
      <c r="C1077" s="62" t="s">
        <v>4592</v>
      </c>
      <c r="D1077" s="62" t="s">
        <v>4593</v>
      </c>
      <c r="E1077" s="62"/>
    </row>
    <row r="1078" spans="1:5" ht="75" x14ac:dyDescent="0.25">
      <c r="A1078" s="62" t="s">
        <v>4594</v>
      </c>
      <c r="B1078" s="62" t="s">
        <v>4595</v>
      </c>
      <c r="C1078" s="62" t="s">
        <v>4596</v>
      </c>
      <c r="D1078" s="62" t="s">
        <v>4597</v>
      </c>
      <c r="E1078" s="62"/>
    </row>
    <row r="1079" spans="1:5" ht="75" x14ac:dyDescent="0.25">
      <c r="A1079" s="62" t="s">
        <v>4598</v>
      </c>
      <c r="B1079" s="62" t="s">
        <v>4599</v>
      </c>
      <c r="C1079" s="62" t="s">
        <v>4600</v>
      </c>
      <c r="D1079" s="62" t="s">
        <v>4601</v>
      </c>
      <c r="E1079" s="62" t="s">
        <v>4602</v>
      </c>
    </row>
    <row r="1080" spans="1:5" ht="150" x14ac:dyDescent="0.25">
      <c r="A1080" s="62" t="s">
        <v>4603</v>
      </c>
      <c r="B1080" s="62" t="s">
        <v>4604</v>
      </c>
      <c r="C1080" s="62" t="s">
        <v>4605</v>
      </c>
      <c r="D1080" s="62" t="s">
        <v>4606</v>
      </c>
      <c r="E1080" s="62" t="s">
        <v>762</v>
      </c>
    </row>
    <row r="1081" spans="1:5" ht="165" x14ac:dyDescent="0.25">
      <c r="A1081" s="62" t="s">
        <v>4607</v>
      </c>
      <c r="B1081" s="62" t="s">
        <v>4608</v>
      </c>
      <c r="C1081" s="62" t="s">
        <v>4609</v>
      </c>
      <c r="D1081" s="62" t="s">
        <v>4610</v>
      </c>
      <c r="E1081" s="62" t="s">
        <v>1018</v>
      </c>
    </row>
    <row r="1082" spans="1:5" ht="135" x14ac:dyDescent="0.25">
      <c r="A1082" s="62" t="s">
        <v>4611</v>
      </c>
      <c r="B1082" s="62" t="s">
        <v>4612</v>
      </c>
      <c r="C1082" s="62" t="s">
        <v>4613</v>
      </c>
      <c r="D1082" s="62" t="s">
        <v>4614</v>
      </c>
      <c r="E1082" s="62" t="s">
        <v>4615</v>
      </c>
    </row>
    <row r="1083" spans="1:5" ht="45" x14ac:dyDescent="0.25">
      <c r="A1083" s="62" t="s">
        <v>4616</v>
      </c>
      <c r="B1083" s="62" t="s">
        <v>4617</v>
      </c>
      <c r="C1083" s="62" t="s">
        <v>4618</v>
      </c>
      <c r="D1083" s="62" t="s">
        <v>4619</v>
      </c>
      <c r="E1083" s="62"/>
    </row>
    <row r="1084" spans="1:5" ht="90" x14ac:dyDescent="0.25">
      <c r="A1084" s="62" t="s">
        <v>4620</v>
      </c>
      <c r="B1084" s="62" t="s">
        <v>4621</v>
      </c>
      <c r="C1084" s="62" t="s">
        <v>4622</v>
      </c>
      <c r="D1084" s="62" t="s">
        <v>4623</v>
      </c>
      <c r="E1084" s="62"/>
    </row>
    <row r="1085" spans="1:5" ht="90" x14ac:dyDescent="0.25">
      <c r="A1085" s="62" t="s">
        <v>4624</v>
      </c>
      <c r="B1085" s="62" t="s">
        <v>4625</v>
      </c>
      <c r="C1085" s="62" t="s">
        <v>4626</v>
      </c>
      <c r="D1085" s="62" t="s">
        <v>4627</v>
      </c>
      <c r="E1085" s="62" t="s">
        <v>762</v>
      </c>
    </row>
    <row r="1086" spans="1:5" ht="60" x14ac:dyDescent="0.25">
      <c r="A1086" s="62" t="s">
        <v>4628</v>
      </c>
      <c r="B1086" s="62" t="s">
        <v>4629</v>
      </c>
      <c r="C1086" s="62" t="s">
        <v>4630</v>
      </c>
      <c r="D1086" s="62" t="s">
        <v>4631</v>
      </c>
      <c r="E1086" s="62" t="s">
        <v>762</v>
      </c>
    </row>
    <row r="1087" spans="1:5" ht="75" x14ac:dyDescent="0.25">
      <c r="A1087" s="62" t="s">
        <v>4632</v>
      </c>
      <c r="B1087" s="62" t="s">
        <v>4633</v>
      </c>
      <c r="C1087" s="62" t="s">
        <v>4634</v>
      </c>
      <c r="D1087" s="62" t="s">
        <v>4635</v>
      </c>
      <c r="E1087" s="62" t="s">
        <v>376</v>
      </c>
    </row>
    <row r="1088" spans="1:5" ht="75" x14ac:dyDescent="0.25">
      <c r="A1088" s="62" t="s">
        <v>4636</v>
      </c>
      <c r="B1088" s="62" t="s">
        <v>4637</v>
      </c>
      <c r="C1088" s="62" t="s">
        <v>4638</v>
      </c>
      <c r="D1088" s="62" t="s">
        <v>4639</v>
      </c>
      <c r="E1088" s="62" t="s">
        <v>4640</v>
      </c>
    </row>
    <row r="1089" spans="1:5" ht="180" x14ac:dyDescent="0.25">
      <c r="A1089" s="62" t="s">
        <v>4641</v>
      </c>
      <c r="B1089" s="62" t="s">
        <v>4642</v>
      </c>
      <c r="C1089" s="62" t="s">
        <v>4643</v>
      </c>
      <c r="D1089" s="62" t="s">
        <v>4644</v>
      </c>
      <c r="E1089" s="62" t="s">
        <v>762</v>
      </c>
    </row>
    <row r="1090" spans="1:5" ht="90" x14ac:dyDescent="0.25">
      <c r="A1090" s="62" t="s">
        <v>4645</v>
      </c>
      <c r="B1090" s="62" t="s">
        <v>4646</v>
      </c>
      <c r="C1090" s="62" t="s">
        <v>4647</v>
      </c>
      <c r="D1090" s="62" t="s">
        <v>4648</v>
      </c>
      <c r="E1090" s="62"/>
    </row>
    <row r="1091" spans="1:5" ht="180" x14ac:dyDescent="0.25">
      <c r="A1091" s="62" t="s">
        <v>3231</v>
      </c>
      <c r="B1091" s="62" t="s">
        <v>4649</v>
      </c>
      <c r="C1091" s="62" t="s">
        <v>4650</v>
      </c>
      <c r="D1091" s="62" t="s">
        <v>4651</v>
      </c>
      <c r="E1091" s="62" t="s">
        <v>4652</v>
      </c>
    </row>
    <row r="1092" spans="1:5" ht="105" x14ac:dyDescent="0.25">
      <c r="A1092" s="62" t="s">
        <v>4653</v>
      </c>
      <c r="B1092" s="62" t="s">
        <v>4654</v>
      </c>
      <c r="C1092" s="62" t="s">
        <v>4655</v>
      </c>
      <c r="D1092" s="62" t="s">
        <v>4656</v>
      </c>
      <c r="E1092" s="62"/>
    </row>
    <row r="1093" spans="1:5" ht="180" x14ac:dyDescent="0.25">
      <c r="A1093" s="62" t="s">
        <v>4657</v>
      </c>
      <c r="B1093" s="62" t="s">
        <v>4658</v>
      </c>
      <c r="C1093" s="62" t="s">
        <v>4659</v>
      </c>
      <c r="D1093" s="62" t="s">
        <v>4660</v>
      </c>
      <c r="E1093" s="62" t="s">
        <v>4661</v>
      </c>
    </row>
    <row r="1094" spans="1:5" ht="30" x14ac:dyDescent="0.25">
      <c r="A1094" s="62" t="s">
        <v>4662</v>
      </c>
      <c r="B1094" s="62" t="s">
        <v>4663</v>
      </c>
      <c r="C1094" s="62"/>
      <c r="D1094" s="62"/>
      <c r="E1094" s="62"/>
    </row>
    <row r="1095" spans="1:5" ht="45" x14ac:dyDescent="0.25">
      <c r="A1095" s="62" t="s">
        <v>4664</v>
      </c>
      <c r="B1095" s="62" t="s">
        <v>4665</v>
      </c>
      <c r="C1095" s="62" t="s">
        <v>4666</v>
      </c>
      <c r="D1095" s="62" t="s">
        <v>4667</v>
      </c>
      <c r="E1095" s="62" t="s">
        <v>4484</v>
      </c>
    </row>
    <row r="1096" spans="1:5" ht="45" x14ac:dyDescent="0.25">
      <c r="A1096" s="62" t="s">
        <v>4668</v>
      </c>
      <c r="B1096" s="62" t="s">
        <v>4669</v>
      </c>
      <c r="C1096" s="62" t="s">
        <v>4670</v>
      </c>
      <c r="D1096" s="62" t="s">
        <v>4671</v>
      </c>
      <c r="E1096" s="62" t="s">
        <v>4672</v>
      </c>
    </row>
    <row r="1097" spans="1:5" ht="135" x14ac:dyDescent="0.25">
      <c r="A1097" s="62" t="s">
        <v>1585</v>
      </c>
      <c r="B1097" s="62" t="s">
        <v>4673</v>
      </c>
      <c r="C1097" s="62" t="s">
        <v>4674</v>
      </c>
      <c r="D1097" s="62" t="s">
        <v>4675</v>
      </c>
      <c r="E1097" s="62" t="s">
        <v>4676</v>
      </c>
    </row>
    <row r="1098" spans="1:5" ht="105" x14ac:dyDescent="0.25">
      <c r="A1098" s="62" t="s">
        <v>4677</v>
      </c>
      <c r="B1098" s="62" t="s">
        <v>4678</v>
      </c>
      <c r="C1098" s="62" t="s">
        <v>4679</v>
      </c>
      <c r="D1098" s="62" t="s">
        <v>4680</v>
      </c>
      <c r="E1098" s="62"/>
    </row>
    <row r="1099" spans="1:5" ht="105" x14ac:dyDescent="0.25">
      <c r="A1099" s="62" t="s">
        <v>4681</v>
      </c>
      <c r="B1099" s="62" t="s">
        <v>4682</v>
      </c>
      <c r="C1099" s="62" t="s">
        <v>4683</v>
      </c>
      <c r="D1099" s="62" t="s">
        <v>4684</v>
      </c>
      <c r="E1099" s="62"/>
    </row>
    <row r="1100" spans="1:5" ht="45" x14ac:dyDescent="0.25">
      <c r="A1100" s="62" t="s">
        <v>4685</v>
      </c>
      <c r="B1100" s="62" t="s">
        <v>4686</v>
      </c>
      <c r="C1100" s="62" t="s">
        <v>4687</v>
      </c>
      <c r="D1100" s="62" t="s">
        <v>4688</v>
      </c>
      <c r="E1100" s="62" t="s">
        <v>4689</v>
      </c>
    </row>
    <row r="1101" spans="1:5" ht="30" x14ac:dyDescent="0.25">
      <c r="A1101" s="62" t="s">
        <v>4690</v>
      </c>
      <c r="B1101" s="62" t="s">
        <v>4691</v>
      </c>
      <c r="C1101" s="62"/>
      <c r="D1101" s="62"/>
      <c r="E1101" s="62"/>
    </row>
    <row r="1102" spans="1:5" ht="90" x14ac:dyDescent="0.25">
      <c r="A1102" s="62" t="s">
        <v>4692</v>
      </c>
      <c r="B1102" s="62" t="s">
        <v>4693</v>
      </c>
      <c r="C1102" s="62" t="s">
        <v>4694</v>
      </c>
      <c r="D1102" s="62" t="s">
        <v>4695</v>
      </c>
      <c r="E1102" s="62"/>
    </row>
    <row r="1103" spans="1:5" ht="75" x14ac:dyDescent="0.25">
      <c r="A1103" s="62" t="s">
        <v>4696</v>
      </c>
      <c r="B1103" s="62" t="s">
        <v>4697</v>
      </c>
      <c r="C1103" s="62" t="s">
        <v>4698</v>
      </c>
      <c r="D1103" s="62" t="s">
        <v>4699</v>
      </c>
      <c r="E1103" s="62" t="s">
        <v>709</v>
      </c>
    </row>
    <row r="1104" spans="1:5" ht="90" x14ac:dyDescent="0.25">
      <c r="A1104" s="62" t="s">
        <v>4700</v>
      </c>
      <c r="B1104" s="62" t="s">
        <v>4701</v>
      </c>
      <c r="C1104" s="62" t="s">
        <v>4702</v>
      </c>
      <c r="D1104" s="62" t="s">
        <v>4703</v>
      </c>
      <c r="E1104" s="62" t="s">
        <v>4704</v>
      </c>
    </row>
    <row r="1105" spans="1:5" ht="90" x14ac:dyDescent="0.25">
      <c r="A1105" s="62" t="s">
        <v>4705</v>
      </c>
      <c r="B1105" s="62" t="s">
        <v>4706</v>
      </c>
      <c r="C1105" s="62" t="s">
        <v>4707</v>
      </c>
      <c r="D1105" s="62" t="s">
        <v>4708</v>
      </c>
      <c r="E1105" s="62" t="s">
        <v>4537</v>
      </c>
    </row>
    <row r="1106" spans="1:5" ht="45" x14ac:dyDescent="0.25">
      <c r="A1106" s="62" t="s">
        <v>4709</v>
      </c>
      <c r="B1106" s="62" t="s">
        <v>4710</v>
      </c>
      <c r="C1106" s="62" t="s">
        <v>4711</v>
      </c>
      <c r="D1106" s="62" t="s">
        <v>4712</v>
      </c>
      <c r="E1106" s="62" t="s">
        <v>4657</v>
      </c>
    </row>
    <row r="1107" spans="1:5" ht="120" x14ac:dyDescent="0.25">
      <c r="A1107" s="62" t="s">
        <v>4713</v>
      </c>
      <c r="B1107" s="62" t="s">
        <v>4714</v>
      </c>
      <c r="C1107" s="62" t="s">
        <v>4715</v>
      </c>
      <c r="D1107" s="62" t="s">
        <v>4716</v>
      </c>
      <c r="E1107" s="62" t="s">
        <v>4657</v>
      </c>
    </row>
    <row r="1108" spans="1:5" ht="30" x14ac:dyDescent="0.25">
      <c r="A1108" s="62" t="s">
        <v>4717</v>
      </c>
      <c r="B1108" s="62" t="s">
        <v>4718</v>
      </c>
      <c r="C1108" s="62"/>
      <c r="D1108" s="62"/>
      <c r="E1108" s="62"/>
    </row>
    <row r="1109" spans="1:5" ht="75" x14ac:dyDescent="0.25">
      <c r="A1109" s="62" t="s">
        <v>4719</v>
      </c>
      <c r="B1109" s="62" t="s">
        <v>4720</v>
      </c>
      <c r="C1109" s="62" t="s">
        <v>4721</v>
      </c>
      <c r="D1109" s="62" t="s">
        <v>4722</v>
      </c>
      <c r="E1109" s="62" t="s">
        <v>1586</v>
      </c>
    </row>
    <row r="1110" spans="1:5" ht="30" x14ac:dyDescent="0.25">
      <c r="A1110" s="62" t="s">
        <v>4723</v>
      </c>
      <c r="B1110" s="62" t="s">
        <v>4724</v>
      </c>
      <c r="C1110" s="62"/>
      <c r="D1110" s="62"/>
      <c r="E1110" s="62"/>
    </row>
    <row r="1111" spans="1:5" ht="30" x14ac:dyDescent="0.25">
      <c r="A1111" s="62" t="s">
        <v>4725</v>
      </c>
      <c r="B1111" s="62" t="s">
        <v>4726</v>
      </c>
      <c r="C1111" s="62"/>
      <c r="D1111" s="62"/>
      <c r="E1111" s="62"/>
    </row>
    <row r="1112" spans="1:5" ht="75" x14ac:dyDescent="0.25">
      <c r="A1112" s="62" t="s">
        <v>4727</v>
      </c>
      <c r="B1112" s="62" t="s">
        <v>4728</v>
      </c>
      <c r="C1112" s="62" t="s">
        <v>4729</v>
      </c>
      <c r="D1112" s="62" t="s">
        <v>4730</v>
      </c>
      <c r="E1112" s="62" t="s">
        <v>4731</v>
      </c>
    </row>
    <row r="1113" spans="1:5" ht="75" x14ac:dyDescent="0.25">
      <c r="A1113" s="62" t="s">
        <v>4732</v>
      </c>
      <c r="B1113" s="62" t="s">
        <v>4733</v>
      </c>
      <c r="C1113" s="62" t="s">
        <v>4734</v>
      </c>
      <c r="D1113" s="62" t="s">
        <v>4735</v>
      </c>
      <c r="E1113" s="62"/>
    </row>
    <row r="1114" spans="1:5" ht="195" x14ac:dyDescent="0.25">
      <c r="A1114" s="62" t="s">
        <v>4736</v>
      </c>
      <c r="B1114" s="62" t="s">
        <v>4737</v>
      </c>
      <c r="C1114" s="62" t="s">
        <v>4738</v>
      </c>
      <c r="D1114" s="62" t="s">
        <v>4739</v>
      </c>
      <c r="E1114" s="62" t="s">
        <v>4740</v>
      </c>
    </row>
    <row r="1115" spans="1:5" ht="75" x14ac:dyDescent="0.25">
      <c r="A1115" s="62" t="s">
        <v>4741</v>
      </c>
      <c r="B1115" s="62" t="s">
        <v>4742</v>
      </c>
      <c r="C1115" s="62" t="s">
        <v>4743</v>
      </c>
      <c r="D1115" s="62" t="s">
        <v>4744</v>
      </c>
      <c r="E1115" s="62" t="s">
        <v>4745</v>
      </c>
    </row>
    <row r="1116" spans="1:5" x14ac:dyDescent="0.25">
      <c r="A1116" s="62" t="s">
        <v>4746</v>
      </c>
      <c r="B1116" s="62" t="s">
        <v>4747</v>
      </c>
      <c r="C1116" s="62"/>
      <c r="D1116" s="62"/>
      <c r="E1116" s="62"/>
    </row>
    <row r="1117" spans="1:5" ht="45" x14ac:dyDescent="0.25">
      <c r="A1117" s="62" t="s">
        <v>4748</v>
      </c>
      <c r="B1117" s="62" t="s">
        <v>4749</v>
      </c>
      <c r="C1117" s="62" t="s">
        <v>4750</v>
      </c>
      <c r="D1117" s="62" t="s">
        <v>4751</v>
      </c>
      <c r="E1117" s="62"/>
    </row>
    <row r="1118" spans="1:5" ht="45" x14ac:dyDescent="0.25">
      <c r="A1118" s="62" t="s">
        <v>4752</v>
      </c>
      <c r="B1118" s="62" t="s">
        <v>4753</v>
      </c>
      <c r="C1118" s="62" t="s">
        <v>4754</v>
      </c>
      <c r="D1118" s="62" t="s">
        <v>4755</v>
      </c>
      <c r="E1118" s="62"/>
    </row>
    <row r="1119" spans="1:5" x14ac:dyDescent="0.25">
      <c r="A1119" s="62" t="s">
        <v>4756</v>
      </c>
      <c r="B1119" s="62" t="s">
        <v>4757</v>
      </c>
      <c r="C1119" s="62"/>
      <c r="D1119" s="62"/>
      <c r="E1119" s="62"/>
    </row>
    <row r="1120" spans="1:5" ht="270" x14ac:dyDescent="0.25">
      <c r="A1120" s="62" t="s">
        <v>4758</v>
      </c>
      <c r="B1120" s="62" t="s">
        <v>4759</v>
      </c>
      <c r="C1120" s="62" t="s">
        <v>4760</v>
      </c>
      <c r="D1120" s="62" t="s">
        <v>4761</v>
      </c>
      <c r="E1120" s="62"/>
    </row>
    <row r="1121" spans="1:5" ht="90" x14ac:dyDescent="0.25">
      <c r="A1121" s="62" t="s">
        <v>4762</v>
      </c>
      <c r="B1121" s="62" t="s">
        <v>4763</v>
      </c>
      <c r="C1121" s="62" t="s">
        <v>4764</v>
      </c>
      <c r="D1121" s="62" t="s">
        <v>4765</v>
      </c>
      <c r="E1121" s="62" t="s">
        <v>4766</v>
      </c>
    </row>
    <row r="1122" spans="1:5" ht="45" x14ac:dyDescent="0.25">
      <c r="A1122" s="62" t="s">
        <v>4767</v>
      </c>
      <c r="B1122" s="62" t="s">
        <v>4768</v>
      </c>
      <c r="C1122" s="62" t="s">
        <v>4769</v>
      </c>
      <c r="D1122" s="62" t="s">
        <v>4770</v>
      </c>
      <c r="E1122" s="62"/>
    </row>
    <row r="1123" spans="1:5" ht="90" x14ac:dyDescent="0.25">
      <c r="A1123" s="62" t="s">
        <v>4771</v>
      </c>
      <c r="B1123" s="62" t="s">
        <v>4772</v>
      </c>
      <c r="C1123" s="62" t="s">
        <v>4773</v>
      </c>
      <c r="D1123" s="62" t="s">
        <v>4774</v>
      </c>
      <c r="E1123" s="62"/>
    </row>
    <row r="1124" spans="1:5" ht="180" x14ac:dyDescent="0.25">
      <c r="A1124" s="62" t="s">
        <v>4775</v>
      </c>
      <c r="B1124" s="62" t="s">
        <v>4776</v>
      </c>
      <c r="C1124" s="62" t="s">
        <v>4777</v>
      </c>
      <c r="D1124" s="62" t="s">
        <v>4778</v>
      </c>
      <c r="E1124" s="62"/>
    </row>
    <row r="1125" spans="1:5" ht="75" x14ac:dyDescent="0.25">
      <c r="A1125" s="62" t="s">
        <v>4779</v>
      </c>
      <c r="B1125" s="62" t="s">
        <v>4780</v>
      </c>
      <c r="C1125" s="62" t="s">
        <v>4781</v>
      </c>
      <c r="D1125" s="62" t="s">
        <v>4782</v>
      </c>
      <c r="E1125" s="62" t="s">
        <v>2342</v>
      </c>
    </row>
    <row r="1126" spans="1:5" ht="90" x14ac:dyDescent="0.25">
      <c r="A1126" s="62" t="s">
        <v>4783</v>
      </c>
      <c r="B1126" s="62" t="s">
        <v>4784</v>
      </c>
      <c r="C1126" s="62" t="s">
        <v>4785</v>
      </c>
      <c r="D1126" s="62" t="s">
        <v>4786</v>
      </c>
      <c r="E1126" s="62" t="s">
        <v>2342</v>
      </c>
    </row>
    <row r="1127" spans="1:5" ht="120" x14ac:dyDescent="0.25">
      <c r="A1127" s="62" t="s">
        <v>4787</v>
      </c>
      <c r="B1127" s="62" t="s">
        <v>4788</v>
      </c>
      <c r="C1127" s="62" t="s">
        <v>4789</v>
      </c>
      <c r="D1127" s="62" t="s">
        <v>4790</v>
      </c>
      <c r="E1127" s="62" t="s">
        <v>4791</v>
      </c>
    </row>
    <row r="1128" spans="1:5" ht="195" x14ac:dyDescent="0.25">
      <c r="A1128" s="62" t="s">
        <v>4792</v>
      </c>
      <c r="B1128" s="62" t="s">
        <v>4793</v>
      </c>
      <c r="C1128" s="62" t="s">
        <v>4794</v>
      </c>
      <c r="D1128" s="62" t="s">
        <v>4795</v>
      </c>
      <c r="E1128" s="62" t="s">
        <v>4796</v>
      </c>
    </row>
    <row r="1129" spans="1:5" ht="105" x14ac:dyDescent="0.25">
      <c r="A1129" s="62" t="s">
        <v>4797</v>
      </c>
      <c r="B1129" s="62" t="s">
        <v>4798</v>
      </c>
      <c r="C1129" s="62" t="s">
        <v>4799</v>
      </c>
      <c r="D1129" s="62" t="s">
        <v>4800</v>
      </c>
      <c r="E1129" s="62" t="s">
        <v>4801</v>
      </c>
    </row>
    <row r="1130" spans="1:5" ht="90" x14ac:dyDescent="0.25">
      <c r="A1130" s="62" t="s">
        <v>4802</v>
      </c>
      <c r="B1130" s="62" t="s">
        <v>4803</v>
      </c>
      <c r="C1130" s="62" t="s">
        <v>4804</v>
      </c>
      <c r="D1130" s="62" t="s">
        <v>4805</v>
      </c>
      <c r="E1130" s="62" t="s">
        <v>4806</v>
      </c>
    </row>
    <row r="1131" spans="1:5" ht="60" x14ac:dyDescent="0.25">
      <c r="A1131" s="62" t="s">
        <v>4807</v>
      </c>
      <c r="B1131" s="62" t="s">
        <v>4808</v>
      </c>
      <c r="C1131" s="62" t="s">
        <v>4809</v>
      </c>
      <c r="D1131" s="62" t="s">
        <v>4810</v>
      </c>
      <c r="E1131" s="62" t="s">
        <v>498</v>
      </c>
    </row>
    <row r="1132" spans="1:5" ht="150" x14ac:dyDescent="0.25">
      <c r="A1132" s="62" t="s">
        <v>4811</v>
      </c>
      <c r="B1132" s="62" t="s">
        <v>4812</v>
      </c>
      <c r="C1132" s="62" t="s">
        <v>4813</v>
      </c>
      <c r="D1132" s="62" t="s">
        <v>4814</v>
      </c>
      <c r="E1132" s="62" t="s">
        <v>4815</v>
      </c>
    </row>
    <row r="1133" spans="1:5" ht="90" x14ac:dyDescent="0.25">
      <c r="A1133" s="62" t="s">
        <v>4816</v>
      </c>
      <c r="B1133" s="62" t="s">
        <v>4817</v>
      </c>
      <c r="C1133" s="62" t="s">
        <v>4818</v>
      </c>
      <c r="D1133" s="62" t="s">
        <v>4819</v>
      </c>
      <c r="E1133" s="62"/>
    </row>
    <row r="1134" spans="1:5" ht="30" x14ac:dyDescent="0.25">
      <c r="A1134" s="62" t="s">
        <v>4820</v>
      </c>
      <c r="B1134" s="62" t="s">
        <v>4821</v>
      </c>
      <c r="C1134" s="62"/>
      <c r="D1134" s="62"/>
      <c r="E1134" s="62"/>
    </row>
    <row r="1135" spans="1:5" ht="45" x14ac:dyDescent="0.25">
      <c r="A1135" s="62" t="s">
        <v>4822</v>
      </c>
      <c r="B1135" s="62" t="s">
        <v>4823</v>
      </c>
      <c r="C1135" s="62" t="s">
        <v>4824</v>
      </c>
      <c r="D1135" s="62" t="s">
        <v>4825</v>
      </c>
      <c r="E1135" s="62"/>
    </row>
    <row r="1136" spans="1:5" ht="105" x14ac:dyDescent="0.25">
      <c r="A1136" s="62" t="s">
        <v>4826</v>
      </c>
      <c r="B1136" s="62" t="s">
        <v>4827</v>
      </c>
      <c r="C1136" s="62" t="s">
        <v>4828</v>
      </c>
      <c r="D1136" s="62" t="s">
        <v>4829</v>
      </c>
      <c r="E1136" s="62"/>
    </row>
    <row r="1137" spans="1:5" ht="60" x14ac:dyDescent="0.25">
      <c r="A1137" s="62" t="s">
        <v>4830</v>
      </c>
      <c r="B1137" s="62" t="s">
        <v>4831</v>
      </c>
      <c r="C1137" s="62" t="s">
        <v>4832</v>
      </c>
      <c r="D1137" s="62" t="s">
        <v>4833</v>
      </c>
      <c r="E1137" s="62" t="s">
        <v>4834</v>
      </c>
    </row>
    <row r="1138" spans="1:5" ht="375" x14ac:dyDescent="0.25">
      <c r="A1138" s="62" t="s">
        <v>4835</v>
      </c>
      <c r="B1138" s="62" t="s">
        <v>4836</v>
      </c>
      <c r="C1138" s="62" t="s">
        <v>4837</v>
      </c>
      <c r="D1138" s="62" t="s">
        <v>4838</v>
      </c>
      <c r="E1138" s="62" t="s">
        <v>4839</v>
      </c>
    </row>
    <row r="1139" spans="1:5" ht="30" x14ac:dyDescent="0.25">
      <c r="A1139" s="62" t="s">
        <v>4840</v>
      </c>
      <c r="B1139" s="62" t="s">
        <v>4841</v>
      </c>
      <c r="C1139" s="62" t="s">
        <v>4842</v>
      </c>
      <c r="D1139" s="62" t="s">
        <v>4843</v>
      </c>
      <c r="E1139" s="62"/>
    </row>
    <row r="1140" spans="1:5" ht="75" x14ac:dyDescent="0.25">
      <c r="A1140" s="62" t="s">
        <v>4844</v>
      </c>
      <c r="B1140" s="62" t="s">
        <v>4845</v>
      </c>
      <c r="C1140" s="62" t="s">
        <v>4846</v>
      </c>
      <c r="D1140" s="62" t="s">
        <v>4847</v>
      </c>
      <c r="E1140" s="62"/>
    </row>
    <row r="1141" spans="1:5" ht="60" x14ac:dyDescent="0.25">
      <c r="A1141" s="62" t="s">
        <v>4848</v>
      </c>
      <c r="B1141" s="62" t="s">
        <v>4849</v>
      </c>
      <c r="C1141" s="62" t="s">
        <v>4850</v>
      </c>
      <c r="D1141" s="62" t="s">
        <v>4851</v>
      </c>
      <c r="E1141" s="62" t="s">
        <v>4056</v>
      </c>
    </row>
    <row r="1142" spans="1:5" ht="75" x14ac:dyDescent="0.25">
      <c r="A1142" s="62" t="s">
        <v>4852</v>
      </c>
      <c r="B1142" s="62" t="s">
        <v>4853</v>
      </c>
      <c r="C1142" s="62" t="s">
        <v>4854</v>
      </c>
      <c r="D1142" s="62" t="s">
        <v>4855</v>
      </c>
      <c r="E1142" s="62" t="s">
        <v>4856</v>
      </c>
    </row>
    <row r="1143" spans="1:5" ht="90" x14ac:dyDescent="0.25">
      <c r="A1143" s="62" t="s">
        <v>4740</v>
      </c>
      <c r="B1143" s="62" t="s">
        <v>4857</v>
      </c>
      <c r="C1143" s="62" t="s">
        <v>4858</v>
      </c>
      <c r="D1143" s="62" t="s">
        <v>4859</v>
      </c>
      <c r="E1143" s="62" t="s">
        <v>4860</v>
      </c>
    </row>
    <row r="1144" spans="1:5" ht="90" x14ac:dyDescent="0.25">
      <c r="A1144" s="62" t="s">
        <v>4861</v>
      </c>
      <c r="B1144" s="62" t="s">
        <v>4862</v>
      </c>
      <c r="C1144" s="62" t="s">
        <v>4863</v>
      </c>
      <c r="D1144" s="62" t="s">
        <v>4864</v>
      </c>
      <c r="E1144" s="62" t="s">
        <v>4865</v>
      </c>
    </row>
    <row r="1145" spans="1:5" ht="270" x14ac:dyDescent="0.25">
      <c r="A1145" s="62" t="s">
        <v>4866</v>
      </c>
      <c r="B1145" s="62" t="s">
        <v>4867</v>
      </c>
      <c r="C1145" s="62" t="s">
        <v>4868</v>
      </c>
      <c r="D1145" s="62" t="s">
        <v>4869</v>
      </c>
      <c r="E1145" s="62" t="s">
        <v>4870</v>
      </c>
    </row>
    <row r="1146" spans="1:5" ht="240" x14ac:dyDescent="0.25">
      <c r="A1146" s="62" t="s">
        <v>4871</v>
      </c>
      <c r="B1146" s="62" t="s">
        <v>4872</v>
      </c>
      <c r="C1146" s="62" t="s">
        <v>4873</v>
      </c>
      <c r="D1146" s="62" t="s">
        <v>4874</v>
      </c>
      <c r="E1146" s="62" t="s">
        <v>4875</v>
      </c>
    </row>
    <row r="1147" spans="1:5" ht="75" x14ac:dyDescent="0.25">
      <c r="A1147" s="62" t="s">
        <v>4876</v>
      </c>
      <c r="B1147" s="62" t="s">
        <v>4877</v>
      </c>
      <c r="C1147" s="62" t="s">
        <v>4878</v>
      </c>
      <c r="D1147" s="62" t="s">
        <v>4879</v>
      </c>
      <c r="E1147" s="62" t="s">
        <v>4880</v>
      </c>
    </row>
    <row r="1148" spans="1:5" ht="135" x14ac:dyDescent="0.25">
      <c r="A1148" s="62" t="s">
        <v>4881</v>
      </c>
      <c r="B1148" s="62" t="s">
        <v>4882</v>
      </c>
      <c r="C1148" s="62" t="s">
        <v>4883</v>
      </c>
      <c r="D1148" s="62" t="s">
        <v>4884</v>
      </c>
      <c r="E1148" s="62"/>
    </row>
    <row r="1149" spans="1:5" ht="150" x14ac:dyDescent="0.25">
      <c r="A1149" s="62" t="s">
        <v>4885</v>
      </c>
      <c r="B1149" s="62" t="s">
        <v>4886</v>
      </c>
      <c r="C1149" s="62" t="s">
        <v>4887</v>
      </c>
      <c r="D1149" s="62" t="s">
        <v>4888</v>
      </c>
      <c r="E1149" s="62" t="s">
        <v>2961</v>
      </c>
    </row>
    <row r="1150" spans="1:5" ht="60" x14ac:dyDescent="0.25">
      <c r="A1150" s="62" t="s">
        <v>4889</v>
      </c>
      <c r="B1150" s="62" t="s">
        <v>4890</v>
      </c>
      <c r="C1150" s="62" t="s">
        <v>4891</v>
      </c>
      <c r="D1150" s="62" t="s">
        <v>4892</v>
      </c>
      <c r="E1150" s="62"/>
    </row>
    <row r="1151" spans="1:5" ht="270" x14ac:dyDescent="0.25">
      <c r="A1151" s="62" t="s">
        <v>4893</v>
      </c>
      <c r="B1151" s="62" t="s">
        <v>4894</v>
      </c>
      <c r="C1151" s="62" t="s">
        <v>4895</v>
      </c>
      <c r="D1151" s="62" t="s">
        <v>4896</v>
      </c>
      <c r="E1151" s="62" t="s">
        <v>4897</v>
      </c>
    </row>
    <row r="1152" spans="1:5" ht="75" x14ac:dyDescent="0.25">
      <c r="A1152" s="62" t="s">
        <v>4898</v>
      </c>
      <c r="B1152" s="62" t="s">
        <v>4899</v>
      </c>
      <c r="C1152" s="62" t="s">
        <v>4900</v>
      </c>
      <c r="D1152" s="62" t="s">
        <v>4901</v>
      </c>
      <c r="E1152" s="62"/>
    </row>
    <row r="1153" spans="1:5" ht="90" x14ac:dyDescent="0.25">
      <c r="A1153" s="62" t="s">
        <v>4902</v>
      </c>
      <c r="B1153" s="62" t="s">
        <v>4903</v>
      </c>
      <c r="C1153" s="62" t="s">
        <v>4904</v>
      </c>
      <c r="D1153" s="62" t="s">
        <v>4905</v>
      </c>
      <c r="E1153" s="62"/>
    </row>
    <row r="1154" spans="1:5" ht="60" x14ac:dyDescent="0.25">
      <c r="A1154" s="62" t="s">
        <v>4906</v>
      </c>
      <c r="B1154" s="62" t="s">
        <v>4907</v>
      </c>
      <c r="C1154" s="62" t="s">
        <v>4908</v>
      </c>
      <c r="D1154" s="62" t="s">
        <v>4909</v>
      </c>
      <c r="E1154" s="62"/>
    </row>
    <row r="1155" spans="1:5" ht="165" x14ac:dyDescent="0.25">
      <c r="A1155" s="62" t="s">
        <v>4910</v>
      </c>
      <c r="B1155" s="62" t="s">
        <v>4911</v>
      </c>
      <c r="C1155" s="62" t="s">
        <v>4912</v>
      </c>
      <c r="D1155" s="62" t="s">
        <v>4913</v>
      </c>
      <c r="E1155" s="62" t="s">
        <v>709</v>
      </c>
    </row>
    <row r="1156" spans="1:5" ht="90" x14ac:dyDescent="0.25">
      <c r="A1156" s="62" t="s">
        <v>4914</v>
      </c>
      <c r="B1156" s="62" t="s">
        <v>4915</v>
      </c>
      <c r="C1156" s="62" t="s">
        <v>4916</v>
      </c>
      <c r="D1156" s="62" t="s">
        <v>4917</v>
      </c>
      <c r="E1156" s="62"/>
    </row>
    <row r="1157" spans="1:5" ht="150" x14ac:dyDescent="0.25">
      <c r="A1157" s="62" t="s">
        <v>4918</v>
      </c>
      <c r="B1157" s="62" t="s">
        <v>4919</v>
      </c>
      <c r="C1157" s="62" t="s">
        <v>4920</v>
      </c>
      <c r="D1157" s="62" t="s">
        <v>4921</v>
      </c>
      <c r="E1157" s="62" t="s">
        <v>709</v>
      </c>
    </row>
    <row r="1158" spans="1:5" ht="105" x14ac:dyDescent="0.25">
      <c r="A1158" s="62" t="s">
        <v>4922</v>
      </c>
      <c r="B1158" s="62" t="s">
        <v>4923</v>
      </c>
      <c r="C1158" s="62" t="s">
        <v>4924</v>
      </c>
      <c r="D1158" s="62" t="s">
        <v>4925</v>
      </c>
      <c r="E1158" s="62"/>
    </row>
    <row r="1159" spans="1:5" ht="105" x14ac:dyDescent="0.25">
      <c r="A1159" s="62" t="s">
        <v>4926</v>
      </c>
      <c r="B1159" s="62" t="s">
        <v>4927</v>
      </c>
      <c r="C1159" s="62" t="s">
        <v>4928</v>
      </c>
      <c r="D1159" s="62" t="s">
        <v>4929</v>
      </c>
      <c r="E1159" s="62"/>
    </row>
    <row r="1160" spans="1:5" ht="225" x14ac:dyDescent="0.25">
      <c r="A1160" s="62" t="s">
        <v>4930</v>
      </c>
      <c r="B1160" s="62" t="s">
        <v>4931</v>
      </c>
      <c r="C1160" s="62" t="s">
        <v>4932</v>
      </c>
      <c r="D1160" s="62" t="s">
        <v>4933</v>
      </c>
      <c r="E1160" s="62" t="s">
        <v>1173</v>
      </c>
    </row>
    <row r="1161" spans="1:5" ht="60" x14ac:dyDescent="0.25">
      <c r="A1161" s="62" t="s">
        <v>4934</v>
      </c>
      <c r="B1161" s="62" t="s">
        <v>4935</v>
      </c>
      <c r="C1161" s="62" t="s">
        <v>4936</v>
      </c>
      <c r="D1161" s="62" t="s">
        <v>4937</v>
      </c>
      <c r="E1161" s="62" t="s">
        <v>4835</v>
      </c>
    </row>
    <row r="1162" spans="1:5" ht="135" x14ac:dyDescent="0.25">
      <c r="A1162" s="62" t="s">
        <v>4938</v>
      </c>
      <c r="B1162" s="62" t="s">
        <v>4939</v>
      </c>
      <c r="C1162" s="62" t="s">
        <v>4940</v>
      </c>
      <c r="D1162" s="62" t="s">
        <v>4941</v>
      </c>
      <c r="E1162" s="62"/>
    </row>
    <row r="1163" spans="1:5" ht="180" x14ac:dyDescent="0.25">
      <c r="A1163" s="62" t="s">
        <v>4942</v>
      </c>
      <c r="B1163" s="62" t="s">
        <v>4943</v>
      </c>
      <c r="C1163" s="62" t="s">
        <v>4944</v>
      </c>
      <c r="D1163" s="62" t="s">
        <v>4945</v>
      </c>
      <c r="E1163" s="62"/>
    </row>
    <row r="1164" spans="1:5" ht="300" x14ac:dyDescent="0.25">
      <c r="A1164" s="62" t="s">
        <v>4946</v>
      </c>
      <c r="B1164" s="62" t="s">
        <v>257</v>
      </c>
      <c r="C1164" s="62" t="s">
        <v>4947</v>
      </c>
      <c r="D1164" s="62" t="s">
        <v>4948</v>
      </c>
      <c r="E1164" s="62" t="s">
        <v>4949</v>
      </c>
    </row>
    <row r="1165" spans="1:5" ht="409.5" x14ac:dyDescent="0.25">
      <c r="A1165" s="62" t="s">
        <v>3552</v>
      </c>
      <c r="B1165" s="62" t="s">
        <v>4950</v>
      </c>
      <c r="C1165" s="62" t="s">
        <v>4951</v>
      </c>
      <c r="D1165" s="62" t="s">
        <v>4952</v>
      </c>
      <c r="E1165" s="62" t="s">
        <v>4953</v>
      </c>
    </row>
    <row r="1166" spans="1:5" ht="240" x14ac:dyDescent="0.25">
      <c r="A1166" s="62" t="s">
        <v>4954</v>
      </c>
      <c r="B1166" s="62" t="s">
        <v>4955</v>
      </c>
      <c r="C1166" s="62" t="s">
        <v>4956</v>
      </c>
      <c r="D1166" s="62" t="s">
        <v>4957</v>
      </c>
      <c r="E1166" s="62"/>
    </row>
    <row r="1167" spans="1:5" ht="210" x14ac:dyDescent="0.25">
      <c r="A1167" s="62" t="s">
        <v>4958</v>
      </c>
      <c r="B1167" s="62" t="s">
        <v>4959</v>
      </c>
      <c r="C1167" s="62" t="s">
        <v>4960</v>
      </c>
      <c r="D1167" s="62" t="s">
        <v>4961</v>
      </c>
      <c r="E1167" s="62" t="s">
        <v>4962</v>
      </c>
    </row>
    <row r="1168" spans="1:5" ht="120" x14ac:dyDescent="0.25">
      <c r="A1168" s="62" t="s">
        <v>4963</v>
      </c>
      <c r="B1168" s="62" t="s">
        <v>4964</v>
      </c>
      <c r="C1168" s="62" t="s">
        <v>4965</v>
      </c>
      <c r="D1168" s="62" t="s">
        <v>4966</v>
      </c>
      <c r="E1168" s="62"/>
    </row>
    <row r="1169" spans="1:5" ht="120" x14ac:dyDescent="0.25">
      <c r="A1169" s="62" t="s">
        <v>4967</v>
      </c>
      <c r="B1169" s="62" t="s">
        <v>4968</v>
      </c>
      <c r="C1169" s="62" t="s">
        <v>4969</v>
      </c>
      <c r="D1169" s="62" t="s">
        <v>4970</v>
      </c>
      <c r="E1169" s="62"/>
    </row>
    <row r="1170" spans="1:5" ht="75" x14ac:dyDescent="0.25">
      <c r="A1170" s="62" t="s">
        <v>4971</v>
      </c>
      <c r="B1170" s="62" t="s">
        <v>4972</v>
      </c>
      <c r="C1170" s="62" t="s">
        <v>4973</v>
      </c>
      <c r="D1170" s="62" t="s">
        <v>4974</v>
      </c>
      <c r="E1170" s="62" t="s">
        <v>4975</v>
      </c>
    </row>
    <row r="1171" spans="1:5" ht="240" x14ac:dyDescent="0.25">
      <c r="A1171" s="62" t="s">
        <v>4976</v>
      </c>
      <c r="B1171" s="62" t="s">
        <v>4977</v>
      </c>
      <c r="C1171" s="62" t="s">
        <v>4978</v>
      </c>
      <c r="D1171" s="62" t="s">
        <v>4979</v>
      </c>
      <c r="E1171" s="62" t="s">
        <v>4980</v>
      </c>
    </row>
    <row r="1172" spans="1:5" ht="270" x14ac:dyDescent="0.25">
      <c r="A1172" s="62" t="s">
        <v>4981</v>
      </c>
      <c r="B1172" s="62" t="s">
        <v>4982</v>
      </c>
      <c r="C1172" s="62" t="s">
        <v>4983</v>
      </c>
      <c r="D1172" s="62" t="s">
        <v>4984</v>
      </c>
      <c r="E1172" s="62" t="s">
        <v>4985</v>
      </c>
    </row>
    <row r="1173" spans="1:5" ht="120" x14ac:dyDescent="0.25">
      <c r="A1173" s="62" t="s">
        <v>4986</v>
      </c>
      <c r="B1173" s="62" t="s">
        <v>4987</v>
      </c>
      <c r="C1173" s="62" t="s">
        <v>4988</v>
      </c>
      <c r="D1173" s="62" t="s">
        <v>4989</v>
      </c>
      <c r="E1173" s="62" t="s">
        <v>4990</v>
      </c>
    </row>
    <row r="1174" spans="1:5" ht="225" x14ac:dyDescent="0.25">
      <c r="A1174" s="62" t="s">
        <v>4991</v>
      </c>
      <c r="B1174" s="62" t="s">
        <v>4992</v>
      </c>
      <c r="C1174" s="62" t="s">
        <v>4993</v>
      </c>
      <c r="D1174" s="62" t="s">
        <v>4994</v>
      </c>
      <c r="E1174" s="62" t="s">
        <v>4995</v>
      </c>
    </row>
    <row r="1175" spans="1:5" ht="255" x14ac:dyDescent="0.25">
      <c r="A1175" s="62" t="s">
        <v>4996</v>
      </c>
      <c r="B1175" s="62" t="s">
        <v>4997</v>
      </c>
      <c r="C1175" s="62" t="s">
        <v>4998</v>
      </c>
      <c r="D1175" s="62" t="s">
        <v>4999</v>
      </c>
      <c r="E1175" s="62" t="s">
        <v>913</v>
      </c>
    </row>
    <row r="1176" spans="1:5" ht="270" x14ac:dyDescent="0.25">
      <c r="A1176" s="62" t="s">
        <v>5000</v>
      </c>
      <c r="B1176" s="62" t="s">
        <v>5001</v>
      </c>
      <c r="C1176" s="62" t="s">
        <v>5002</v>
      </c>
      <c r="D1176" s="62" t="s">
        <v>5003</v>
      </c>
      <c r="E1176" s="62" t="s">
        <v>5004</v>
      </c>
    </row>
    <row r="1177" spans="1:5" ht="120" x14ac:dyDescent="0.25">
      <c r="A1177" s="62" t="s">
        <v>5005</v>
      </c>
      <c r="B1177" s="62" t="s">
        <v>5006</v>
      </c>
      <c r="C1177" s="62" t="s">
        <v>5007</v>
      </c>
      <c r="D1177" s="62" t="s">
        <v>5008</v>
      </c>
      <c r="E1177" s="62" t="s">
        <v>3280</v>
      </c>
    </row>
    <row r="1178" spans="1:5" ht="210" x14ac:dyDescent="0.25">
      <c r="A1178" s="62" t="s">
        <v>5009</v>
      </c>
      <c r="B1178" s="62" t="s">
        <v>5010</v>
      </c>
      <c r="C1178" s="62" t="s">
        <v>5011</v>
      </c>
      <c r="D1178" s="62" t="s">
        <v>5012</v>
      </c>
      <c r="E1178" s="62" t="s">
        <v>5013</v>
      </c>
    </row>
    <row r="1179" spans="1:5" ht="165" x14ac:dyDescent="0.25">
      <c r="A1179" s="62" t="s">
        <v>5014</v>
      </c>
      <c r="B1179" s="62" t="s">
        <v>5015</v>
      </c>
      <c r="C1179" s="62" t="s">
        <v>5016</v>
      </c>
      <c r="D1179" s="62" t="s">
        <v>5017</v>
      </c>
      <c r="E1179" s="62" t="s">
        <v>5018</v>
      </c>
    </row>
    <row r="1180" spans="1:5" ht="210" x14ac:dyDescent="0.25">
      <c r="A1180" s="62" t="s">
        <v>5019</v>
      </c>
      <c r="B1180" s="62" t="s">
        <v>5020</v>
      </c>
      <c r="C1180" s="62" t="s">
        <v>5021</v>
      </c>
      <c r="D1180" s="62" t="s">
        <v>5022</v>
      </c>
      <c r="E1180" s="62" t="s">
        <v>5023</v>
      </c>
    </row>
    <row r="1181" spans="1:5" ht="225" x14ac:dyDescent="0.25">
      <c r="A1181" s="62" t="s">
        <v>5024</v>
      </c>
      <c r="B1181" s="62" t="s">
        <v>5025</v>
      </c>
      <c r="C1181" s="62" t="s">
        <v>5026</v>
      </c>
      <c r="D1181" s="62" t="s">
        <v>5027</v>
      </c>
      <c r="E1181" s="62" t="s">
        <v>4361</v>
      </c>
    </row>
    <row r="1182" spans="1:5" ht="105" x14ac:dyDescent="0.25">
      <c r="A1182" s="62" t="s">
        <v>2257</v>
      </c>
      <c r="B1182" s="62" t="s">
        <v>5028</v>
      </c>
      <c r="C1182" s="62" t="s">
        <v>5029</v>
      </c>
      <c r="D1182" s="62" t="s">
        <v>5030</v>
      </c>
      <c r="E1182" s="62" t="s">
        <v>5031</v>
      </c>
    </row>
    <row r="1183" spans="1:5" ht="75" x14ac:dyDescent="0.25">
      <c r="A1183" s="62" t="s">
        <v>5032</v>
      </c>
      <c r="B1183" s="62" t="s">
        <v>3795</v>
      </c>
      <c r="C1183" s="62" t="s">
        <v>5033</v>
      </c>
      <c r="D1183" s="62" t="s">
        <v>5034</v>
      </c>
      <c r="E1183" s="62" t="s">
        <v>5035</v>
      </c>
    </row>
    <row r="1184" spans="1:5" ht="105" x14ac:dyDescent="0.25">
      <c r="A1184" s="62" t="s">
        <v>5036</v>
      </c>
      <c r="B1184" s="62" t="s">
        <v>5037</v>
      </c>
      <c r="C1184" s="62" t="s">
        <v>5038</v>
      </c>
      <c r="D1184" s="62" t="s">
        <v>5039</v>
      </c>
      <c r="E1184" s="62" t="s">
        <v>3298</v>
      </c>
    </row>
    <row r="1185" spans="1:5" ht="90" x14ac:dyDescent="0.25">
      <c r="A1185" s="62" t="s">
        <v>5040</v>
      </c>
      <c r="B1185" s="62" t="s">
        <v>5041</v>
      </c>
      <c r="C1185" s="62" t="s">
        <v>5042</v>
      </c>
      <c r="D1185" s="62" t="s">
        <v>5043</v>
      </c>
      <c r="E1185" s="62" t="s">
        <v>5044</v>
      </c>
    </row>
    <row r="1186" spans="1:5" ht="120" x14ac:dyDescent="0.25">
      <c r="A1186" s="62" t="s">
        <v>5045</v>
      </c>
      <c r="B1186" s="62" t="s">
        <v>3801</v>
      </c>
      <c r="C1186" s="62" t="s">
        <v>5046</v>
      </c>
      <c r="D1186" s="62" t="s">
        <v>5047</v>
      </c>
      <c r="E1186" s="62" t="s">
        <v>5048</v>
      </c>
    </row>
    <row r="1187" spans="1:5" ht="30" x14ac:dyDescent="0.25">
      <c r="A1187" s="62" t="s">
        <v>5049</v>
      </c>
      <c r="B1187" s="62" t="s">
        <v>3803</v>
      </c>
      <c r="C1187" s="62" t="s">
        <v>5050</v>
      </c>
      <c r="D1187" s="62" t="s">
        <v>801</v>
      </c>
      <c r="E1187" s="62" t="s">
        <v>914</v>
      </c>
    </row>
    <row r="1188" spans="1:5" ht="45" x14ac:dyDescent="0.25">
      <c r="A1188" s="62" t="s">
        <v>5051</v>
      </c>
      <c r="B1188" s="62" t="s">
        <v>3805</v>
      </c>
      <c r="C1188" s="62" t="s">
        <v>5052</v>
      </c>
      <c r="D1188" s="62" t="s">
        <v>801</v>
      </c>
      <c r="E1188" s="62" t="s">
        <v>5053</v>
      </c>
    </row>
    <row r="1189" spans="1:5" ht="30" x14ac:dyDescent="0.25">
      <c r="A1189" s="62" t="s">
        <v>5054</v>
      </c>
      <c r="B1189" s="62" t="s">
        <v>3809</v>
      </c>
      <c r="C1189" s="62" t="s">
        <v>5055</v>
      </c>
      <c r="D1189" s="62" t="s">
        <v>5056</v>
      </c>
      <c r="E1189" s="62" t="s">
        <v>3220</v>
      </c>
    </row>
    <row r="1190" spans="1:5" ht="165" x14ac:dyDescent="0.25">
      <c r="A1190" s="62" t="s">
        <v>5057</v>
      </c>
      <c r="B1190" s="62" t="s">
        <v>5058</v>
      </c>
      <c r="C1190" s="62" t="s">
        <v>5059</v>
      </c>
      <c r="D1190" s="62" t="s">
        <v>5060</v>
      </c>
      <c r="E1190" s="62" t="s">
        <v>498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5C4FD-3F08-4BF6-A10D-867702AEE13D}">
  <dimension ref="A3:E12"/>
  <sheetViews>
    <sheetView workbookViewId="0">
      <selection activeCell="D25" sqref="D25"/>
    </sheetView>
  </sheetViews>
  <sheetFormatPr defaultColWidth="8.875" defaultRowHeight="15.75" x14ac:dyDescent="0.25"/>
  <cols>
    <col min="1" max="1" width="15.375" bestFit="1" customWidth="1"/>
    <col min="2" max="2" width="14.625" bestFit="1" customWidth="1"/>
    <col min="3" max="3" width="10.375" bestFit="1" customWidth="1"/>
    <col min="4" max="4" width="32.125" bestFit="1" customWidth="1"/>
    <col min="5" max="5" width="20" bestFit="1" customWidth="1"/>
    <col min="6" max="6" width="21" bestFit="1" customWidth="1"/>
    <col min="7" max="7" width="14.875" bestFit="1" customWidth="1"/>
    <col min="8" max="8" width="15" bestFit="1" customWidth="1"/>
    <col min="9" max="9" width="13.625" bestFit="1" customWidth="1"/>
    <col min="10" max="10" width="18" bestFit="1" customWidth="1"/>
    <col min="11" max="11" width="17.875" bestFit="1" customWidth="1"/>
    <col min="12" max="12" width="19.875" bestFit="1" customWidth="1"/>
    <col min="13" max="13" width="27.125" bestFit="1" customWidth="1"/>
    <col min="14" max="14" width="18.375" bestFit="1" customWidth="1"/>
    <col min="15" max="15" width="17.5" bestFit="1" customWidth="1"/>
    <col min="16" max="16" width="16.875" bestFit="1" customWidth="1"/>
    <col min="17" max="17" width="25.625" bestFit="1" customWidth="1"/>
    <col min="18" max="18" width="13.625" bestFit="1" customWidth="1"/>
    <col min="19" max="19" width="25.625" bestFit="1" customWidth="1"/>
    <col min="20" max="20" width="23.625" bestFit="1" customWidth="1"/>
    <col min="21" max="21" width="11.125" bestFit="1" customWidth="1"/>
    <col min="22" max="22" width="30.625" bestFit="1" customWidth="1"/>
    <col min="23" max="23" width="16.5" bestFit="1" customWidth="1"/>
    <col min="24" max="24" width="19" bestFit="1" customWidth="1"/>
    <col min="25" max="25" width="15" bestFit="1" customWidth="1"/>
    <col min="26" max="26" width="17.5" bestFit="1" customWidth="1"/>
    <col min="27" max="27" width="18.5" bestFit="1" customWidth="1"/>
    <col min="28" max="28" width="15.625" bestFit="1" customWidth="1"/>
    <col min="29" max="29" width="18.875" bestFit="1" customWidth="1"/>
    <col min="30" max="30" width="13" bestFit="1" customWidth="1"/>
    <col min="31" max="31" width="8" bestFit="1" customWidth="1"/>
    <col min="32" max="32" width="12.625" bestFit="1" customWidth="1"/>
    <col min="33" max="33" width="12.5" bestFit="1" customWidth="1"/>
    <col min="34" max="34" width="13.125" bestFit="1" customWidth="1"/>
    <col min="35" max="35" width="10" bestFit="1" customWidth="1"/>
    <col min="36" max="36" width="24.125" bestFit="1" customWidth="1"/>
    <col min="37" max="37" width="26.5" bestFit="1" customWidth="1"/>
    <col min="38" max="38" width="11.875" bestFit="1" customWidth="1"/>
    <col min="39" max="40" width="18.875" bestFit="1" customWidth="1"/>
    <col min="41" max="41" width="23.375" bestFit="1" customWidth="1"/>
    <col min="42" max="42" width="13.375" bestFit="1" customWidth="1"/>
    <col min="43" max="43" width="13" bestFit="1" customWidth="1"/>
    <col min="44" max="44" width="19.375" bestFit="1" customWidth="1"/>
    <col min="45" max="45" width="20.875" bestFit="1" customWidth="1"/>
    <col min="46" max="46" width="15.125" bestFit="1" customWidth="1"/>
    <col min="47" max="47" width="17.375" bestFit="1" customWidth="1"/>
    <col min="48" max="48" width="11" bestFit="1" customWidth="1"/>
    <col min="49" max="49" width="24.125" bestFit="1" customWidth="1"/>
    <col min="50" max="50" width="22.5" bestFit="1" customWidth="1"/>
    <col min="51" max="51" width="14.625" bestFit="1" customWidth="1"/>
    <col min="52" max="52" width="20.125" bestFit="1" customWidth="1"/>
    <col min="53" max="53" width="13.5" bestFit="1" customWidth="1"/>
    <col min="54" max="54" width="6.5" bestFit="1" customWidth="1"/>
  </cols>
  <sheetData>
    <row r="3" spans="1:5" ht="21" x14ac:dyDescent="0.35">
      <c r="A3" s="58" t="s">
        <v>198</v>
      </c>
      <c r="B3" s="56"/>
      <c r="D3" s="59"/>
      <c r="E3" s="60"/>
    </row>
    <row r="4" spans="1:5" x14ac:dyDescent="0.25">
      <c r="A4" s="54" t="s">
        <v>168</v>
      </c>
      <c r="B4" t="s">
        <v>197</v>
      </c>
    </row>
    <row r="5" spans="1:5" x14ac:dyDescent="0.25">
      <c r="A5" s="20" t="s">
        <v>195</v>
      </c>
      <c r="B5" s="55"/>
    </row>
    <row r="10" spans="1:5" ht="21" x14ac:dyDescent="0.35">
      <c r="A10" s="58" t="s">
        <v>199</v>
      </c>
      <c r="B10" s="57"/>
    </row>
    <row r="11" spans="1:5" x14ac:dyDescent="0.25">
      <c r="A11" s="54" t="s">
        <v>196</v>
      </c>
      <c r="B11" s="54" t="s">
        <v>200</v>
      </c>
    </row>
    <row r="12" spans="1:5" x14ac:dyDescent="0.25">
      <c r="A12" s="54" t="s">
        <v>184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0"/>
  <sheetViews>
    <sheetView workbookViewId="0">
      <selection activeCell="K18" sqref="K18"/>
    </sheetView>
  </sheetViews>
  <sheetFormatPr defaultColWidth="8.875" defaultRowHeight="15.75" x14ac:dyDescent="0.25"/>
  <cols>
    <col min="1" max="1" width="20.5" customWidth="1"/>
    <col min="2" max="2" width="2.5" customWidth="1"/>
    <col min="3" max="3" width="14.5" bestFit="1" customWidth="1"/>
    <col min="4" max="4" width="2.5" customWidth="1"/>
    <col min="5" max="5" width="20.5" customWidth="1"/>
    <col min="6" max="6" width="2.5" customWidth="1"/>
    <col min="7" max="7" width="13.375" style="15" bestFit="1" customWidth="1"/>
    <col min="8" max="8" width="12.125" style="15" customWidth="1"/>
    <col min="9" max="9" width="2.5" customWidth="1"/>
    <col min="10" max="10" width="16.5" style="15" customWidth="1"/>
    <col min="11" max="11" width="6.125" customWidth="1"/>
    <col min="12" max="12" width="2.5" customWidth="1"/>
  </cols>
  <sheetData>
    <row r="1" spans="1:20" ht="24.95" customHeight="1" thickTop="1" x14ac:dyDescent="0.25">
      <c r="A1" s="65" t="s">
        <v>5804</v>
      </c>
      <c r="B1" s="27"/>
      <c r="C1" s="27"/>
      <c r="D1" s="27"/>
      <c r="E1" s="27"/>
      <c r="F1" s="27"/>
      <c r="G1" s="27"/>
      <c r="H1" s="27"/>
      <c r="I1" s="27"/>
      <c r="J1" s="27"/>
      <c r="K1" s="27"/>
      <c r="N1" s="170" t="s">
        <v>5858</v>
      </c>
      <c r="O1" s="171"/>
      <c r="P1" s="171"/>
      <c r="Q1" s="171"/>
      <c r="R1" s="171"/>
      <c r="S1" s="171"/>
      <c r="T1" s="172"/>
    </row>
    <row r="2" spans="1:20" ht="24.95" customHeight="1" x14ac:dyDescent="0.3">
      <c r="A2" s="3" t="s">
        <v>174</v>
      </c>
      <c r="C2" s="3" t="s">
        <v>175</v>
      </c>
      <c r="D2" s="2"/>
      <c r="E2" s="3" t="s">
        <v>176</v>
      </c>
      <c r="F2" s="1"/>
      <c r="G2" s="8" t="s">
        <v>166</v>
      </c>
      <c r="H2" s="27"/>
      <c r="J2" s="8" t="s">
        <v>167</v>
      </c>
      <c r="K2" s="27"/>
      <c r="N2" s="173"/>
      <c r="O2" s="174" t="s">
        <v>167</v>
      </c>
      <c r="P2" s="174">
        <v>1</v>
      </c>
      <c r="Q2" s="174">
        <v>3</v>
      </c>
      <c r="R2" s="174">
        <v>5</v>
      </c>
      <c r="S2" s="174">
        <v>7</v>
      </c>
      <c r="T2" s="175">
        <v>9</v>
      </c>
    </row>
    <row r="3" spans="1:20" ht="24.95" customHeight="1" x14ac:dyDescent="0.25">
      <c r="A3" s="19" t="s">
        <v>191</v>
      </c>
      <c r="C3" s="16">
        <v>1</v>
      </c>
      <c r="D3" s="4"/>
      <c r="E3" s="19" t="s">
        <v>177</v>
      </c>
      <c r="F3" s="5"/>
      <c r="G3" s="63" t="s">
        <v>5864</v>
      </c>
      <c r="H3" s="63">
        <v>1</v>
      </c>
      <c r="J3" s="63" t="s">
        <v>5859</v>
      </c>
      <c r="K3" s="63">
        <v>1</v>
      </c>
      <c r="N3" s="173" t="s">
        <v>166</v>
      </c>
      <c r="O3" s="174"/>
      <c r="P3" s="174"/>
      <c r="Q3" s="174"/>
      <c r="R3" s="174"/>
      <c r="S3" s="174"/>
      <c r="T3" s="175"/>
    </row>
    <row r="4" spans="1:20" ht="24.95" customHeight="1" x14ac:dyDescent="0.25">
      <c r="A4" s="19" t="s">
        <v>178</v>
      </c>
      <c r="C4" s="16">
        <v>2</v>
      </c>
      <c r="D4" s="4"/>
      <c r="E4" s="19" t="s">
        <v>170</v>
      </c>
      <c r="F4" s="5"/>
      <c r="G4" s="63" t="s">
        <v>5868</v>
      </c>
      <c r="H4" s="63">
        <v>2</v>
      </c>
      <c r="J4" s="63" t="s">
        <v>5860</v>
      </c>
      <c r="K4" s="63">
        <v>3</v>
      </c>
      <c r="N4" s="173">
        <v>5</v>
      </c>
      <c r="O4" s="174"/>
      <c r="P4" s="176">
        <f>$P$2*N4</f>
        <v>5</v>
      </c>
      <c r="Q4" s="177">
        <f>$Q$2*N4</f>
        <v>15</v>
      </c>
      <c r="R4" s="178">
        <f>$R$2*N4</f>
        <v>25</v>
      </c>
      <c r="S4" s="178">
        <f>$S$2*N4</f>
        <v>35</v>
      </c>
      <c r="T4" s="179">
        <f>$T$2*N4</f>
        <v>45</v>
      </c>
    </row>
    <row r="5" spans="1:20" ht="24.95" customHeight="1" x14ac:dyDescent="0.25">
      <c r="A5" s="19" t="s">
        <v>172</v>
      </c>
      <c r="C5" s="16">
        <v>3</v>
      </c>
      <c r="D5" s="4"/>
      <c r="E5" s="19" t="s">
        <v>171</v>
      </c>
      <c r="F5" s="5"/>
      <c r="G5" s="63" t="s">
        <v>5866</v>
      </c>
      <c r="H5" s="63">
        <v>3</v>
      </c>
      <c r="J5" s="63" t="s">
        <v>5863</v>
      </c>
      <c r="K5" s="63">
        <v>5</v>
      </c>
      <c r="N5" s="173">
        <v>4</v>
      </c>
      <c r="O5" s="174"/>
      <c r="P5" s="176">
        <f t="shared" ref="P5:P8" si="0">$P$2*N5</f>
        <v>4</v>
      </c>
      <c r="Q5" s="177">
        <f t="shared" ref="Q5:Q8" si="1">$Q$2*N5</f>
        <v>12</v>
      </c>
      <c r="R5" s="178">
        <f t="shared" ref="R5:R8" si="2">$R$2*N5</f>
        <v>20</v>
      </c>
      <c r="S5" s="178">
        <f t="shared" ref="S5:S8" si="3">$S$2*N5</f>
        <v>28</v>
      </c>
      <c r="T5" s="179">
        <f t="shared" ref="T5:T8" si="4">$T$2*N5</f>
        <v>36</v>
      </c>
    </row>
    <row r="6" spans="1:20" ht="24.95" customHeight="1" x14ac:dyDescent="0.25">
      <c r="A6" s="19" t="s">
        <v>169</v>
      </c>
      <c r="C6" s="17">
        <v>4</v>
      </c>
      <c r="D6" s="4"/>
      <c r="E6" s="19" t="s">
        <v>179</v>
      </c>
      <c r="F6" s="5"/>
      <c r="G6" s="63" t="s">
        <v>5865</v>
      </c>
      <c r="H6" s="63">
        <v>4</v>
      </c>
      <c r="J6" s="63" t="s">
        <v>5862</v>
      </c>
      <c r="K6" s="63">
        <v>7</v>
      </c>
      <c r="N6" s="173">
        <v>3</v>
      </c>
      <c r="O6" s="174"/>
      <c r="P6" s="176">
        <f t="shared" si="0"/>
        <v>3</v>
      </c>
      <c r="Q6" s="177">
        <f t="shared" si="1"/>
        <v>9</v>
      </c>
      <c r="R6" s="177">
        <f t="shared" si="2"/>
        <v>15</v>
      </c>
      <c r="S6" s="178">
        <f t="shared" si="3"/>
        <v>21</v>
      </c>
      <c r="T6" s="179">
        <f t="shared" si="4"/>
        <v>27</v>
      </c>
    </row>
    <row r="7" spans="1:20" ht="24.95" customHeight="1" x14ac:dyDescent="0.3">
      <c r="A7" s="19" t="s">
        <v>182</v>
      </c>
      <c r="C7" s="18">
        <v>5</v>
      </c>
      <c r="E7" s="19" t="s">
        <v>180</v>
      </c>
      <c r="F7" s="1"/>
      <c r="G7" s="63" t="s">
        <v>5867</v>
      </c>
      <c r="H7" s="63">
        <v>5</v>
      </c>
      <c r="J7" s="63" t="s">
        <v>5861</v>
      </c>
      <c r="K7" s="63">
        <v>9</v>
      </c>
      <c r="N7" s="173">
        <v>2</v>
      </c>
      <c r="O7" s="174"/>
      <c r="P7" s="176">
        <f t="shared" si="0"/>
        <v>2</v>
      </c>
      <c r="Q7" s="176">
        <f t="shared" si="1"/>
        <v>6</v>
      </c>
      <c r="R7" s="177">
        <f t="shared" si="2"/>
        <v>10</v>
      </c>
      <c r="S7" s="177">
        <f t="shared" si="3"/>
        <v>14</v>
      </c>
      <c r="T7" s="180">
        <f t="shared" si="4"/>
        <v>18</v>
      </c>
    </row>
    <row r="8" spans="1:20" ht="24.95" customHeight="1" thickBot="1" x14ac:dyDescent="0.35">
      <c r="A8" s="24"/>
      <c r="E8" s="24" t="s">
        <v>181</v>
      </c>
      <c r="F8" s="1"/>
      <c r="H8"/>
      <c r="N8" s="181">
        <v>1</v>
      </c>
      <c r="O8" s="182"/>
      <c r="P8" s="183">
        <f t="shared" si="0"/>
        <v>1</v>
      </c>
      <c r="Q8" s="183">
        <f t="shared" si="1"/>
        <v>3</v>
      </c>
      <c r="R8" s="183">
        <f t="shared" si="2"/>
        <v>5</v>
      </c>
      <c r="S8" s="183">
        <f t="shared" si="3"/>
        <v>7</v>
      </c>
      <c r="T8" s="184">
        <f t="shared" si="4"/>
        <v>9</v>
      </c>
    </row>
    <row r="9" spans="1:20" ht="24.95" customHeight="1" thickTop="1" x14ac:dyDescent="0.3">
      <c r="F9" s="1"/>
      <c r="H9"/>
    </row>
    <row r="10" spans="1:20" ht="24.95" customHeight="1" x14ac:dyDescent="0.3">
      <c r="F10" s="1"/>
      <c r="H10"/>
    </row>
    <row r="11" spans="1:20" ht="24.95" customHeight="1" x14ac:dyDescent="0.3">
      <c r="F11" s="1"/>
      <c r="H11"/>
    </row>
    <row r="12" spans="1:20" ht="24.95" customHeight="1" x14ac:dyDescent="0.3">
      <c r="F12" s="1"/>
      <c r="H12"/>
    </row>
    <row r="13" spans="1:20" ht="24.95" customHeight="1" x14ac:dyDescent="0.3">
      <c r="F13" s="1"/>
      <c r="H13"/>
    </row>
    <row r="14" spans="1:20" ht="24.95" customHeight="1" x14ac:dyDescent="0.3">
      <c r="F14" s="1"/>
      <c r="H14"/>
    </row>
    <row r="15" spans="1:20" ht="24.95" customHeight="1" x14ac:dyDescent="0.25">
      <c r="A15" s="65" t="s">
        <v>5805</v>
      </c>
      <c r="B15" s="3"/>
      <c r="C15" s="3"/>
      <c r="D15" s="3"/>
      <c r="E15" s="3"/>
      <c r="F15" s="3"/>
      <c r="G15" s="3"/>
      <c r="H15" s="3"/>
      <c r="I15" s="3"/>
      <c r="J15" s="3"/>
      <c r="K15" s="3"/>
    </row>
    <row r="16" spans="1:20" ht="24.95" customHeight="1" x14ac:dyDescent="0.3">
      <c r="A16" s="3" t="s">
        <v>5777</v>
      </c>
      <c r="C16" s="3" t="s">
        <v>5785</v>
      </c>
      <c r="E16" s="3" t="s">
        <v>5788</v>
      </c>
      <c r="F16" s="1"/>
      <c r="G16" s="3" t="s">
        <v>168</v>
      </c>
      <c r="H16" s="3" t="s">
        <v>5803</v>
      </c>
    </row>
    <row r="17" spans="1:8" ht="24.95" customHeight="1" x14ac:dyDescent="0.3">
      <c r="A17" s="19" t="s">
        <v>5784</v>
      </c>
      <c r="C17" s="19" t="s">
        <v>5778</v>
      </c>
      <c r="E17" s="16" t="s">
        <v>5792</v>
      </c>
      <c r="F17" s="1"/>
      <c r="G17" s="19" t="s">
        <v>5800</v>
      </c>
      <c r="H17" s="19" t="s">
        <v>7010</v>
      </c>
    </row>
    <row r="18" spans="1:8" ht="24.95" customHeight="1" x14ac:dyDescent="0.3">
      <c r="A18" s="19" t="s">
        <v>80</v>
      </c>
      <c r="C18" s="19" t="s">
        <v>5779</v>
      </c>
      <c r="E18" s="16" t="s">
        <v>5793</v>
      </c>
      <c r="F18" s="1"/>
      <c r="G18" s="19" t="s">
        <v>5801</v>
      </c>
      <c r="H18" s="19" t="s">
        <v>6539</v>
      </c>
    </row>
    <row r="19" spans="1:8" ht="24.95" customHeight="1" x14ac:dyDescent="0.3">
      <c r="A19" s="19" t="s">
        <v>9</v>
      </c>
      <c r="C19" s="19" t="s">
        <v>5780</v>
      </c>
      <c r="E19" s="16" t="s">
        <v>5794</v>
      </c>
      <c r="F19" s="1"/>
      <c r="G19" s="19" t="s">
        <v>5802</v>
      </c>
      <c r="H19" s="19" t="s">
        <v>5806</v>
      </c>
    </row>
    <row r="20" spans="1:8" ht="24.95" customHeight="1" x14ac:dyDescent="0.3">
      <c r="A20" s="19"/>
      <c r="C20" s="19" t="s">
        <v>5781</v>
      </c>
      <c r="E20" s="17" t="s">
        <v>5795</v>
      </c>
      <c r="F20" s="1"/>
      <c r="G20" s="19" t="s">
        <v>5781</v>
      </c>
      <c r="H20" s="19" t="s">
        <v>5807</v>
      </c>
    </row>
    <row r="21" spans="1:8" ht="24.95" customHeight="1" x14ac:dyDescent="0.25">
      <c r="A21" s="19"/>
      <c r="C21" s="19" t="s">
        <v>5782</v>
      </c>
      <c r="E21" s="18" t="s">
        <v>5796</v>
      </c>
      <c r="G21" s="19" t="s">
        <v>5782</v>
      </c>
      <c r="H21" s="19" t="s">
        <v>5808</v>
      </c>
    </row>
    <row r="22" spans="1:8" ht="24.95" customHeight="1" x14ac:dyDescent="0.25">
      <c r="A22" s="24"/>
      <c r="C22" s="24" t="s">
        <v>5783</v>
      </c>
      <c r="E22" s="16" t="s">
        <v>5797</v>
      </c>
      <c r="H22"/>
    </row>
    <row r="23" spans="1:8" ht="24.95" customHeight="1" x14ac:dyDescent="0.25">
      <c r="E23" s="17" t="s">
        <v>5798</v>
      </c>
      <c r="H23"/>
    </row>
    <row r="24" spans="1:8" ht="24.95" customHeight="1" x14ac:dyDescent="0.25">
      <c r="E24" s="18" t="s">
        <v>5799</v>
      </c>
      <c r="H24"/>
    </row>
    <row r="25" spans="1:8" ht="24.95" customHeight="1" x14ac:dyDescent="0.25">
      <c r="H25"/>
    </row>
    <row r="26" spans="1:8" ht="24.95" customHeight="1" x14ac:dyDescent="0.25">
      <c r="H26"/>
    </row>
    <row r="27" spans="1:8" ht="24.95" customHeight="1" x14ac:dyDescent="0.25">
      <c r="H27"/>
    </row>
    <row r="28" spans="1:8" ht="24.95" customHeight="1" x14ac:dyDescent="0.25">
      <c r="H28"/>
    </row>
    <row r="29" spans="1:8" ht="24.95" customHeight="1" x14ac:dyDescent="0.25">
      <c r="H29"/>
    </row>
    <row r="30" spans="1:8" ht="24.95" customHeight="1" x14ac:dyDescent="0.25">
      <c r="H30"/>
    </row>
    <row r="31" spans="1:8" ht="24.95" customHeight="1" x14ac:dyDescent="0.25">
      <c r="H31"/>
    </row>
    <row r="32" spans="1:8" ht="24.95" customHeight="1" x14ac:dyDescent="0.25">
      <c r="H32"/>
    </row>
    <row r="33" spans="8:8" ht="24.95" customHeight="1" x14ac:dyDescent="0.25">
      <c r="H33"/>
    </row>
    <row r="34" spans="8:8" ht="24.95" customHeight="1" x14ac:dyDescent="0.25">
      <c r="H34"/>
    </row>
    <row r="35" spans="8:8" ht="24.95" customHeight="1" x14ac:dyDescent="0.25">
      <c r="H35"/>
    </row>
    <row r="36" spans="8:8" ht="24.95" customHeight="1" x14ac:dyDescent="0.25">
      <c r="H36"/>
    </row>
    <row r="37" spans="8:8" ht="24.95" customHeight="1" x14ac:dyDescent="0.25">
      <c r="H37"/>
    </row>
    <row r="38" spans="8:8" ht="24.95" customHeight="1" x14ac:dyDescent="0.25">
      <c r="H38"/>
    </row>
    <row r="39" spans="8:8" ht="24.95" customHeight="1" x14ac:dyDescent="0.25">
      <c r="H39"/>
    </row>
    <row r="40" spans="8:8" ht="24.95" customHeight="1" x14ac:dyDescent="0.25">
      <c r="H40"/>
    </row>
    <row r="41" spans="8:8" ht="24.95" customHeight="1" x14ac:dyDescent="0.25">
      <c r="H41"/>
    </row>
    <row r="42" spans="8:8" ht="24.95" customHeight="1" x14ac:dyDescent="0.25">
      <c r="H42"/>
    </row>
    <row r="43" spans="8:8" ht="24.95" customHeight="1" x14ac:dyDescent="0.25">
      <c r="H43"/>
    </row>
    <row r="44" spans="8:8" ht="24.95" customHeight="1" x14ac:dyDescent="0.25">
      <c r="H44"/>
    </row>
    <row r="45" spans="8:8" ht="24.95" customHeight="1" x14ac:dyDescent="0.25">
      <c r="H45"/>
    </row>
    <row r="46" spans="8:8" ht="24.95" customHeight="1" x14ac:dyDescent="0.25">
      <c r="H46"/>
    </row>
    <row r="47" spans="8:8" ht="24.95" customHeight="1" x14ac:dyDescent="0.25">
      <c r="H47"/>
    </row>
    <row r="48" spans="8:8" ht="24.95" customHeight="1" x14ac:dyDescent="0.25">
      <c r="H48"/>
    </row>
    <row r="49" spans="8:8" ht="24.95" customHeight="1" x14ac:dyDescent="0.25">
      <c r="H49"/>
    </row>
    <row r="50" spans="8:8" ht="24.95" customHeight="1" x14ac:dyDescent="0.25">
      <c r="H50"/>
    </row>
    <row r="51" spans="8:8" ht="24.95" customHeight="1" x14ac:dyDescent="0.25">
      <c r="H51"/>
    </row>
    <row r="52" spans="8:8" ht="24.95" customHeight="1" x14ac:dyDescent="0.25">
      <c r="H52"/>
    </row>
    <row r="53" spans="8:8" ht="24.95" customHeight="1" x14ac:dyDescent="0.25">
      <c r="H53"/>
    </row>
    <row r="54" spans="8:8" ht="24.95" customHeight="1" x14ac:dyDescent="0.25">
      <c r="H54"/>
    </row>
    <row r="55" spans="8:8" ht="24.95" customHeight="1" x14ac:dyDescent="0.25">
      <c r="H55"/>
    </row>
    <row r="56" spans="8:8" ht="24.95" customHeight="1" x14ac:dyDescent="0.25">
      <c r="H56"/>
    </row>
    <row r="57" spans="8:8" ht="24.95" customHeight="1" x14ac:dyDescent="0.25">
      <c r="H57"/>
    </row>
    <row r="58" spans="8:8" ht="24.95" customHeight="1" x14ac:dyDescent="0.25">
      <c r="H58"/>
    </row>
    <row r="59" spans="8:8" ht="24.95" customHeight="1" x14ac:dyDescent="0.25">
      <c r="H59"/>
    </row>
    <row r="60" spans="8:8" ht="24.95" customHeight="1" x14ac:dyDescent="0.25">
      <c r="H60"/>
    </row>
    <row r="61" spans="8:8" ht="24.95" customHeight="1" x14ac:dyDescent="0.25">
      <c r="H61"/>
    </row>
    <row r="62" spans="8:8" ht="24.95" customHeight="1" x14ac:dyDescent="0.25">
      <c r="H62"/>
    </row>
    <row r="63" spans="8:8" ht="24.95" customHeight="1" x14ac:dyDescent="0.25">
      <c r="H63"/>
    </row>
    <row r="64" spans="8:8" ht="24.95" customHeight="1" x14ac:dyDescent="0.25">
      <c r="H64"/>
    </row>
    <row r="65" spans="8:8" ht="24.95" customHeight="1" x14ac:dyDescent="0.25">
      <c r="H65"/>
    </row>
    <row r="66" spans="8:8" ht="24.95" customHeight="1" x14ac:dyDescent="0.25">
      <c r="H66"/>
    </row>
    <row r="67" spans="8:8" ht="24.95" customHeight="1" x14ac:dyDescent="0.25">
      <c r="H67"/>
    </row>
    <row r="68" spans="8:8" ht="24.95" customHeight="1" x14ac:dyDescent="0.25">
      <c r="H68"/>
    </row>
    <row r="69" spans="8:8" ht="24.95" customHeight="1" x14ac:dyDescent="0.25">
      <c r="H69"/>
    </row>
    <row r="70" spans="8:8" ht="24.95" customHeight="1" x14ac:dyDescent="0.25">
      <c r="H70"/>
    </row>
    <row r="71" spans="8:8" ht="24.95" customHeight="1" x14ac:dyDescent="0.25">
      <c r="H71"/>
    </row>
    <row r="72" spans="8:8" ht="24.95" customHeight="1" x14ac:dyDescent="0.25">
      <c r="H72"/>
    </row>
    <row r="73" spans="8:8" ht="24.95" customHeight="1" x14ac:dyDescent="0.25">
      <c r="H73"/>
    </row>
    <row r="74" spans="8:8" ht="24.95" customHeight="1" x14ac:dyDescent="0.25">
      <c r="H74"/>
    </row>
    <row r="75" spans="8:8" ht="24.95" customHeight="1" x14ac:dyDescent="0.25">
      <c r="H75"/>
    </row>
    <row r="76" spans="8:8" ht="24.95" customHeight="1" x14ac:dyDescent="0.25">
      <c r="H76"/>
    </row>
    <row r="77" spans="8:8" ht="24.95" customHeight="1" x14ac:dyDescent="0.25">
      <c r="H77"/>
    </row>
    <row r="78" spans="8:8" ht="24.95" customHeight="1" x14ac:dyDescent="0.25"/>
    <row r="79" spans="8:8" ht="24.95" customHeight="1" x14ac:dyDescent="0.25"/>
    <row r="80" spans="8:8"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E474E636AAA794DB852EB62C2FBCD21" ma:contentTypeVersion="10" ma:contentTypeDescription="Create a new document." ma:contentTypeScope="" ma:versionID="42939c14536f59c39d4bab519941de24">
  <xsd:schema xmlns:xsd="http://www.w3.org/2001/XMLSchema" xmlns:xs="http://www.w3.org/2001/XMLSchema" xmlns:p="http://schemas.microsoft.com/office/2006/metadata/properties" xmlns:ns2="a8c618d8-f626-48cd-bfe1-cb718e2dd659" xmlns:ns3="f80120d8-d47c-4eea-9351-d213a4d5591c" targetNamespace="http://schemas.microsoft.com/office/2006/metadata/properties" ma:root="true" ma:fieldsID="c9fbbb6494996c5305c0b52fffbfc65d" ns2:_="" ns3:_="">
    <xsd:import namespace="a8c618d8-f626-48cd-bfe1-cb718e2dd659"/>
    <xsd:import namespace="f80120d8-d47c-4eea-9351-d213a4d5591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c618d8-f626-48cd-bfe1-cb718e2dd6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80120d8-d47c-4eea-9351-d213a4d5591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9EBA84-61F5-4426-9F9A-37F2D5A73956}">
  <ds:schemaRefs>
    <ds:schemaRef ds:uri="http://purl.org/dc/dcmitype/"/>
    <ds:schemaRef ds:uri="http://schemas.microsoft.com/office/infopath/2007/PartnerControls"/>
    <ds:schemaRef ds:uri="http://purl.org/dc/elements/1.1/"/>
    <ds:schemaRef ds:uri="http://schemas.microsoft.com/office/2006/metadata/properties"/>
    <ds:schemaRef ds:uri="7b9f577f-5543-45a6-ab73-9794943e6d6d"/>
    <ds:schemaRef ds:uri="http://schemas.microsoft.com/office/2006/documentManagement/types"/>
    <ds:schemaRef ds:uri="http://purl.org/dc/terms/"/>
    <ds:schemaRef ds:uri="http://schemas.openxmlformats.org/package/2006/metadata/core-properties"/>
    <ds:schemaRef ds:uri="ca55d802-efb2-4083-b9cf-c0fa3fbeae2f"/>
    <ds:schemaRef ds:uri="http://www.w3.org/XML/1998/namespace"/>
  </ds:schemaRefs>
</ds:datastoreItem>
</file>

<file path=customXml/itemProps2.xml><?xml version="1.0" encoding="utf-8"?>
<ds:datastoreItem xmlns:ds="http://schemas.openxmlformats.org/officeDocument/2006/customXml" ds:itemID="{7EF3AF7B-ED2F-4D06-B5E9-75D34883A248}">
  <ds:schemaRefs>
    <ds:schemaRef ds:uri="http://schemas.microsoft.com/sharepoint/v3/contenttype/forms"/>
  </ds:schemaRefs>
</ds:datastoreItem>
</file>

<file path=customXml/itemProps3.xml><?xml version="1.0" encoding="utf-8"?>
<ds:datastoreItem xmlns:ds="http://schemas.openxmlformats.org/officeDocument/2006/customXml" ds:itemID="{8AA83A82-A0F6-4E60-9537-9E8C3E2C7E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c618d8-f626-48cd-bfe1-cb718e2dd659"/>
    <ds:schemaRef ds:uri="f80120d8-d47c-4eea-9351-d213a4d559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Index</vt:lpstr>
      <vt:lpstr>Risk Register</vt:lpstr>
      <vt:lpstr>Controls Lib.</vt:lpstr>
      <vt:lpstr>SOC Obj.</vt:lpstr>
      <vt:lpstr>AICPA TSC</vt:lpstr>
      <vt:lpstr>NIST CSF</vt:lpstr>
      <vt:lpstr>NIST 800-53</vt:lpstr>
      <vt:lpstr>KPI</vt:lpstr>
      <vt:lpstr>KEY</vt:lpstr>
      <vt:lpstr>KEY_Control_Frequency</vt:lpstr>
      <vt:lpstr>KEY_Control_Function</vt:lpstr>
      <vt:lpstr>KEY_Control_Owner</vt:lpstr>
      <vt:lpstr>KEY_Control_Status</vt:lpstr>
      <vt:lpstr>KEY_Control_Type</vt:lpstr>
      <vt:lpstr>Key_Risk_Irating</vt:lpstr>
      <vt:lpstr>KEY_Risk_Lrating</vt:lpstr>
      <vt:lpstr>KEY_Risk_Rating</vt:lpstr>
      <vt:lpstr>KEY_Risk_Source</vt:lpstr>
      <vt:lpstr>KEY_Risk_Status</vt:lpstr>
      <vt:lpstr>'Controls Lib.'!Print_Area</vt:lpstr>
      <vt:lpstr>'Risk Register'!Print_Area</vt:lpstr>
      <vt:lpstr>'Controls Lib.'!Print_Titles</vt:lpstr>
      <vt:lpstr>'Risk Register'!Print_Titles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Vestcom Risk Register</dc:title>
  <dc:subject/>
  <dc:creator>kcrawford@edafio.com</dc:creator>
  <cp:keywords/>
  <dc:description/>
  <cp:lastModifiedBy>Keith S. Crawford</cp:lastModifiedBy>
  <cp:revision/>
  <cp:lastPrinted>2020-03-02T20:39:07Z</cp:lastPrinted>
  <dcterms:created xsi:type="dcterms:W3CDTF">2016-05-31T16:01:17Z</dcterms:created>
  <dcterms:modified xsi:type="dcterms:W3CDTF">2021-08-19T02:25:39Z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0x0101000E474E636AAA794DB852EB62C2FBCD21</vt:lpwstr>
  </property>
</Properties>
</file>
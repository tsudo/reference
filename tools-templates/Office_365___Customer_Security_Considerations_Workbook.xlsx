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tables/table6.xml" ContentType="application/vnd.openxmlformats-officedocument.spreadsheetml.table+xml"/>
  <Override PartName="/xl/drawings/drawing12.xml" ContentType="application/vnd.openxmlformats-officedocument.drawing+xml"/>
  <Override PartName="/xl/tables/table7.xml" ContentType="application/vnd.openxmlformats-officedocument.spreadsheetml.table+xml"/>
  <Override PartName="/xl/drawings/drawing13.xml" ContentType="application/vnd.openxmlformats-officedocument.drawing+xml"/>
  <Override PartName="/xl/tables/table8.xml" ContentType="application/vnd.openxmlformats-officedocument.spreadsheetml.table+xml"/>
  <Override PartName="/xl/drawings/drawing14.xml" ContentType="application/vnd.openxmlformats-officedocument.drawing+xml"/>
  <Override PartName="/xl/tables/table9.xml" ContentType="application/vnd.openxmlformats-officedocument.spreadsheetml.table+xml"/>
  <Override PartName="/xl/drawings/drawing15.xml" ContentType="application/vnd.openxmlformats-officedocument.drawing+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crawford\Desktop\"/>
    </mc:Choice>
  </mc:AlternateContent>
  <bookViews>
    <workbookView xWindow="0" yWindow="0" windowWidth="25200" windowHeight="12435" activeTab="4"/>
  </bookViews>
  <sheets>
    <sheet name="Main" sheetId="12" r:id="rId1"/>
    <sheet name="Data resiliency" sheetId="2" r:id="rId2"/>
    <sheet name="Access Control" sheetId="14" r:id="rId3"/>
    <sheet name="Data Leakage" sheetId="15" r:id="rId4"/>
    <sheet name="Security &amp; Compliance" sheetId="17" r:id="rId5"/>
    <sheet name="Incident Response" sheetId="18" r:id="rId6"/>
    <sheet name="ALL" sheetId="7" r:id="rId7"/>
    <sheet name="Malicious Admin" sheetId="8" r:id="rId8"/>
    <sheet name="Credential Theft" sheetId="10" r:id="rId9"/>
    <sheet name="Malware" sheetId="20" r:id="rId10"/>
    <sheet name="Former Employee" sheetId="21" r:id="rId11"/>
    <sheet name="Compromised Device" sheetId="22" r:id="rId12"/>
    <sheet name="Attacker Foothold" sheetId="24" r:id="rId13"/>
    <sheet name="Phishing" sheetId="28" r:id="rId14"/>
    <sheet name="Microsoft Operators" sheetId="26" r:id="rId15"/>
  </sheets>
  <externalReferences>
    <externalReference r:id="rId16"/>
  </externalReferences>
  <definedNames>
    <definedName name="_xlnm._FilterDatabase" localSheetId="6" hidden="1">ALL!$A$1:$G$270</definedName>
    <definedName name="_xlnm._FilterDatabase" localSheetId="9" hidden="1">Malware!$A$1:$G$1</definedName>
    <definedName name="_xlnm._FilterDatabase" localSheetId="4" hidden="1">'Security &amp; Compliance'!$A$1:$H$1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98" i="7" l="1" a="1"/>
  <c r="C198" i="7" s="1"/>
  <c r="A101" i="18"/>
  <c r="H101" i="18"/>
  <c r="C11" i="17" a="1"/>
  <c r="C11" i="17" s="1"/>
  <c r="C44" i="7" a="1"/>
  <c r="C44" i="7" s="1"/>
  <c r="C199" i="7" l="1"/>
  <c r="A64" i="28"/>
  <c r="H134" i="17" l="1"/>
  <c r="B309" i="12" s="1"/>
  <c r="A134" i="17"/>
  <c r="A96" i="15"/>
  <c r="A53" i="26" l="1"/>
  <c r="A35" i="20" l="1"/>
  <c r="A58" i="24" l="1"/>
  <c r="A61" i="22"/>
  <c r="A35" i="21"/>
  <c r="A54" i="21" s="1"/>
  <c r="A36" i="20"/>
  <c r="H104" i="18"/>
  <c r="A104" i="18"/>
  <c r="H96" i="15"/>
  <c r="H130" i="15" s="1"/>
  <c r="A130" i="15"/>
  <c r="H57" i="14"/>
  <c r="H91" i="14" s="1"/>
  <c r="A57" i="14"/>
  <c r="A91" i="14" s="1"/>
  <c r="H56" i="2"/>
  <c r="A56" i="2"/>
  <c r="B306" i="12" l="1"/>
  <c r="B307" i="12"/>
  <c r="B308" i="12"/>
  <c r="B310" i="12"/>
</calcChain>
</file>

<file path=xl/sharedStrings.xml><?xml version="1.0" encoding="utf-8"?>
<sst xmlns="http://schemas.openxmlformats.org/spreadsheetml/2006/main" count="3203" uniqueCount="635">
  <si>
    <t>Product</t>
  </si>
  <si>
    <t>Considerations</t>
  </si>
  <si>
    <t>Description</t>
  </si>
  <si>
    <t>Portal Configuration</t>
  </si>
  <si>
    <t>Preserve (DP)</t>
  </si>
  <si>
    <t>To meet regulatory and internal governance requirements information in Office 365 may need to be preserved. Office 365 present a very flexible approach to securely preserving information allowing organizations to produce information in case of law or forensic investigations.</t>
  </si>
  <si>
    <t>Exchange</t>
  </si>
  <si>
    <t>Failure to preserve email can expose an organization to legal and financial risks such as scrutiny of the organization's records retention and discovery processes, adverse legal judgments, sanctions, or fines. You can use In-Place Hold or Litigation Hold to accomplish the following goals: Place user mailboxes on hold and preserve mailbox items immutably. Use query-based In-Place Hold to search for and retain items matching specified criteria. Preserve items indefinitely or for a specific duration. Place a user on multiple holds for different cases or investigations. Keep holds transparent from the user.</t>
  </si>
  <si>
    <t>PST Ingestion</t>
  </si>
  <si>
    <t>Organizations where users keep a lot of information in their PST files may run a risk of keeping information out of policy which can be damaging in a court case if not produced correctly. Exchange Online allow for customers to upload users PST files and ingest them in to Exchange Online.</t>
  </si>
  <si>
    <t>Office 365 Portal Import</t>
  </si>
  <si>
    <t>SharePoint</t>
  </si>
  <si>
    <t>Place Content on in-place Hold</t>
  </si>
  <si>
    <t>Discover (DP)</t>
  </si>
  <si>
    <t>With immense costs for legal review and ever growing amounts of data, organizations are struggling to find the right set of data. With legal review costs ranging from $10,000 per $40,000 per gigabyte there is a strong incentive to minimize the data organizations send to review and production. Office 365 has a rich set of tools that organizations can use to minimize the amount of data that need to be produced for legal review.</t>
  </si>
  <si>
    <t>Search from a Single Unified Portal</t>
  </si>
  <si>
    <t>The eDiscovery Center is used to manage new and existing eDiscovery cases and close eDiscovery cases that are no longer needed. This provide a systemic approach to eDiscovery across Office 365.</t>
  </si>
  <si>
    <t xml:space="preserve">To help organizations meet complex incidents introduced by logical corruption or illicit modifications of stored information Office 365 has several features that can help salvage information. </t>
  </si>
  <si>
    <t>Single Item Recovery</t>
  </si>
  <si>
    <t>Customer administrators can search for and recover deleted email messages in a user's mailbox. This includes items that are permanently deleted (purged) by a person (by using the Recover Deleted Items feature in Outlook or Outlook Web App), or items deleted or modified by an automated process.</t>
  </si>
  <si>
    <t>Recoverable Items</t>
  </si>
  <si>
    <t>The Recoverable Items folder contains a number of subfolders the Deletions subfolder contains the items deleted from the Deleted Items folder. (In Outlook, a user can soft delete an item by pressing Shift+Delete.) This subfolder is exposed to users through the Recover Deleted Items feature in Outlook and Outlook Web App.</t>
  </si>
  <si>
    <t>Restore Deleted Mailboxes</t>
  </si>
  <si>
    <t xml:space="preserve">A soft-deleted mailbox is retained in the source database until the deleted mailbox retention period expires or until the Remove-StoreMailbox cmdlet is used to purge the soft-deleted mailbox. </t>
  </si>
  <si>
    <t>SharePoint Recycle Bin</t>
  </si>
  <si>
    <t>SharePoint Online sites offer end-user and site collection administrator views to the Recycle Bin. The end user can see any items he or she deleted, a site collection administrator, can see all items deleted by any user within the site collection</t>
  </si>
  <si>
    <t>SharePoint Versioning</t>
  </si>
  <si>
    <t>Anyone with permission to manage lists can turn versioning on or off for a library. Versioning is available for list items in all default list types—including calendars, issue tracking lists, and custom lists. It is also available for all file types that can be stored in libraries, including Web Part pages. Versioning is turned on by default when you create new OneDrive for Business libraries in Office 365, and it will automatically save the last ten versions of a document.</t>
  </si>
  <si>
    <t>OneDrive for Business Deletion</t>
  </si>
  <si>
    <t>When a OneDrive for Business site collection is scheduled for deletion, the default action is to transfer ownership of the site to the manager. For this to occur, the user profile Manager property must be set for the original owner of the OneDrive for Business site.</t>
  </si>
  <si>
    <t>Category</t>
  </si>
  <si>
    <t>Identity IA</t>
  </si>
  <si>
    <t>AzureAD</t>
  </si>
  <si>
    <t>Disable Identities that are not active</t>
  </si>
  <si>
    <t>Inactive Mailbox Report</t>
  </si>
  <si>
    <t>Review that Identities created are approved</t>
  </si>
  <si>
    <t>New and Deleted Mailboxes</t>
  </si>
  <si>
    <t>OnPrem</t>
  </si>
  <si>
    <t>Azure AD Connect</t>
  </si>
  <si>
    <t>Synchronization Filtering</t>
  </si>
  <si>
    <t>Create pure Online Administration Accounts</t>
  </si>
  <si>
    <t>In case of a problem with the federated configuration, create online administrator accounts that can be used in scenarios where federated access is not possible.</t>
  </si>
  <si>
    <t>Authentication IA</t>
  </si>
  <si>
    <t>Authentication (IA)</t>
  </si>
  <si>
    <t>Passwords</t>
  </si>
  <si>
    <t>Azure AD Password</t>
  </si>
  <si>
    <t>Password Settings Portal complex use PowerShell</t>
  </si>
  <si>
    <t>Process to roll passwords</t>
  </si>
  <si>
    <t>Machine generate application passwords</t>
  </si>
  <si>
    <t>Use machine-generated passwords for administrator accounts or high-privileged accounts to provide a degree of obstruction. Passwords that aren't tied to an individual should be placed in an audited vault and updated on a regular basis.</t>
  </si>
  <si>
    <t>Multi-factor authentication Office 365</t>
  </si>
  <si>
    <t>Multi Factor Portal</t>
  </si>
  <si>
    <t>Phone Factor</t>
  </si>
  <si>
    <t>Mobile App</t>
  </si>
  <si>
    <t>Text Message Second Factor</t>
  </si>
  <si>
    <t>Multi-factor authentication Azure AD</t>
  </si>
  <si>
    <t>Conditional Access</t>
  </si>
  <si>
    <t>Conditional Access Mobile Devices</t>
  </si>
  <si>
    <t>Compliance Center</t>
  </si>
  <si>
    <t>Active Directory Federation Services</t>
  </si>
  <si>
    <t>Password</t>
  </si>
  <si>
    <t>Passwords in federated solutions are managed from the on-premises environment.</t>
  </si>
  <si>
    <t>Client Access Policies</t>
  </si>
  <si>
    <t>Multi-Factor</t>
  </si>
  <si>
    <t>Smart Card Authentication</t>
  </si>
  <si>
    <t>Admin AC</t>
  </si>
  <si>
    <t>Access Control Admin (AC)</t>
  </si>
  <si>
    <t>The Access Control Admin category covers the aspects of a trusted administration model that is different from the model used for users. If the accounts used for administration can't be monitored or trusted it breaches the security of the entire system.</t>
  </si>
  <si>
    <t>Separate Exchange Administrators</t>
  </si>
  <si>
    <t>Separate SharePoint Administrators</t>
  </si>
  <si>
    <t>Skype4B</t>
  </si>
  <si>
    <t>Azure Administrative Units</t>
  </si>
  <si>
    <t>Exchange Online Privileged Accounts</t>
  </si>
  <si>
    <t>Permissions / Admin Groups</t>
  </si>
  <si>
    <t>Role Group Report</t>
  </si>
  <si>
    <t>SharePoint Online Permissions</t>
  </si>
  <si>
    <t>Customer Lockbox</t>
  </si>
  <si>
    <t>Users AC</t>
  </si>
  <si>
    <t>Access Control Users (AC)</t>
  </si>
  <si>
    <t>The Access Control Users category covers the aspects of a trusted user model that is different from the model used for admins. Scenarios to make users productive are not purely ACL-based but contain a number of settings that can be used by organizations to adhere to their information security policies.</t>
  </si>
  <si>
    <t xml:space="preserve">Exchange </t>
  </si>
  <si>
    <t>Use the rich set of access control features in Exchange Online to help your organization prevent data leakage and unlawful access to data.</t>
  </si>
  <si>
    <t>Restrict forwarding</t>
  </si>
  <si>
    <t>Mailflow Remote Domains</t>
  </si>
  <si>
    <t>Inspect Mailbox Permissions</t>
  </si>
  <si>
    <t>Exchange External Sharing</t>
  </si>
  <si>
    <t>Portal External Sharing</t>
  </si>
  <si>
    <t>Disable E-mail client protocols</t>
  </si>
  <si>
    <t>SharePoint Permission Strategy</t>
  </si>
  <si>
    <t>Manage User Access SharePoint</t>
  </si>
  <si>
    <t>Inspect SharePoint Permissions</t>
  </si>
  <si>
    <t>Ensure that Site Collection administrators regularly verify that the permissions set on a Site Collection reflect the sensitivity of the content. Permission changes are logged and can be reviewed via the Office 365 activity reports.</t>
  </si>
  <si>
    <t>Hide Users in the People Picker</t>
  </si>
  <si>
    <t>SharePoint External Sharing</t>
  </si>
  <si>
    <t>Set up an External Sharing Policy within the organization that includes which sites can be shared externally, with whom, and how. Regularly review which sites are shared externally and ensure that they are hosting content that can be shared with external parties.</t>
  </si>
  <si>
    <t>SharePoint Guest Links</t>
  </si>
  <si>
    <t>SharePoint External Users</t>
  </si>
  <si>
    <t>Keep track of permissions assigned to external parties and review the user profiles associated with the permissions to reduce the risk of data being shared with the wrong party.</t>
  </si>
  <si>
    <t>Restrict External Sharing Invites to the E-mail address sent to</t>
  </si>
  <si>
    <t>Restrict Skype for Business communication with external parties</t>
  </si>
  <si>
    <t>Auditing AU</t>
  </si>
  <si>
    <t>Auditing (AU)</t>
  </si>
  <si>
    <t>Azure AD</t>
  </si>
  <si>
    <t>Azure AD Audit Events</t>
  </si>
  <si>
    <t>Exchange Online Privileged Administrator changes</t>
  </si>
  <si>
    <t>Detect non-owner mailbox access</t>
  </si>
  <si>
    <t>Detect changes to eDiscovery and legal hold</t>
  </si>
  <si>
    <t>List mailboxes under hold</t>
  </si>
  <si>
    <t>Track Protected Documents</t>
  </si>
  <si>
    <t>Detect viewing of documents centrally</t>
  </si>
  <si>
    <t>Performance Monitoring</t>
  </si>
  <si>
    <t>Advanced Threat Analytics</t>
  </si>
  <si>
    <t>Azure AD Connect Health</t>
  </si>
  <si>
    <t>Encryption DP</t>
  </si>
  <si>
    <t>Encryption of information (DP)</t>
  </si>
  <si>
    <t>The Information Encryption category covers the set of features in Office 365 that can be used to encrypt your data.</t>
  </si>
  <si>
    <t>Revoke Access to protected documents</t>
  </si>
  <si>
    <t>Expire documents after # days</t>
  </si>
  <si>
    <t>Bring your own key</t>
  </si>
  <si>
    <t>Enhanced Encryption with customer keys</t>
  </si>
  <si>
    <t>Exchange online provide several enterprise level features for encryption that help organizations meet encryption needs for B2B, B2C as well as corporate information.</t>
  </si>
  <si>
    <t>Exchange TLS encryption</t>
  </si>
  <si>
    <t>Go To Mail Flow and choose Connectors</t>
  </si>
  <si>
    <t>Partner Connector</t>
  </si>
  <si>
    <t>Office 365 Message Encryption</t>
  </si>
  <si>
    <t>Go To Mail Flow and choose Rules</t>
  </si>
  <si>
    <t>Office</t>
  </si>
  <si>
    <t>Office Encryption</t>
  </si>
  <si>
    <t>Data Loss DP</t>
  </si>
  <si>
    <t>Data Loss Prevention (DP)</t>
  </si>
  <si>
    <t>Data loss prevention (DLP) is an important function for organizations to safeguard theirs and their customer’s information. Office 365 contains a rich feature set that can warn users if they are about to do something that violate policy as well as enforcing policy where necessary.</t>
  </si>
  <si>
    <t>Data Loss Prevention Exchange</t>
  </si>
  <si>
    <t>Compliance Management select Data Loss Prevention</t>
  </si>
  <si>
    <t>DLP Procedures</t>
  </si>
  <si>
    <t>DLP Policy Templates</t>
  </si>
  <si>
    <t>Keyword matching</t>
  </si>
  <si>
    <t>Regular expression matching</t>
  </si>
  <si>
    <t>The flexibility of regular expression matching makes this a common choice for implementing matches for data such as driver’s license numbers, addresses and credit card numbers. Common regular expression syntax is used to define the regex patterns.</t>
  </si>
  <si>
    <t>Structured data fingerprinting</t>
  </si>
  <si>
    <t>Policy Tip</t>
  </si>
  <si>
    <t>Policy Tips are informative notices that are displayed to email senders while they’re composing a message. The purpose of the Policy Tip is to educate users that they might be violating the business practices or policies that you are enforcing with the data loss prevention (DLP) policies that organizations have established.</t>
  </si>
  <si>
    <t>Report attempted Policy Violations</t>
  </si>
  <si>
    <t>Top DLP Policies</t>
  </si>
  <si>
    <t>DLP Matches by Severity for Mail</t>
  </si>
  <si>
    <t>Matches based on Severity</t>
  </si>
  <si>
    <t>Data Loss Prevention SharePoint</t>
  </si>
  <si>
    <t>DLP in Office 2016 applications</t>
  </si>
  <si>
    <t>Policy Tips are in-context notifications that educate users as soon as potential policy matches are detected while working in Excel, PowerPoint, and Word.  For example, if you’re working in a spreadsheet that contains credit card numbers, Excel can notify you about the sensitive information before it is shared with others.</t>
  </si>
  <si>
    <t>Plan for File Classification</t>
  </si>
  <si>
    <t>Phishing ATP</t>
  </si>
  <si>
    <t>Anti Spam/Phishing/Anti Malware (ATP)</t>
  </si>
  <si>
    <t>One of the most common causes that accounts and systems are compromised is due to Phishing campaigns. To meet the risks surrounding phishing and malware Office 365 has a robust set of tools to meet these advanced threats. Organizations need to educate users and implement safe guards to meet acceptable risk levels.</t>
  </si>
  <si>
    <t>User Education</t>
  </si>
  <si>
    <t>ATP Protection</t>
  </si>
  <si>
    <t>Detonation Chamber</t>
  </si>
  <si>
    <t>Safe Links</t>
  </si>
  <si>
    <t>Rich reporting and URL trace capabilities</t>
  </si>
  <si>
    <t>ECP select mail flow and then url trace</t>
  </si>
  <si>
    <t>End User Spam Notification</t>
  </si>
  <si>
    <t>Advanced spam filtering options</t>
  </si>
  <si>
    <t>Advanced spam filtering (ASF) options give administrators the ability to inspect various content attributes of a message. The presence of these attributes in a message either increases the spam score of the message (thereby increasing the potential for it to be identified as spam) or marks the message as spam. The ASF options target specific message properties, such as HTML tags and URL redirection, which are commonly found in spam messages.</t>
  </si>
  <si>
    <t>Protection Spam Filter</t>
  </si>
  <si>
    <t>Setup SPF Record</t>
  </si>
  <si>
    <t xml:space="preserve">Select the domain click Find and Fix </t>
  </si>
  <si>
    <t>SPF Record: Hard Fail</t>
  </si>
  <si>
    <t>When this setting is enabled, messages that fail an SPF check (meaning they were sent from an IP address not specified in the SPF record) will be marked as spam. Turning this setting on is recommended for organizations who are concerned about receiving phishing messages. SPF catches the case where the phisher spoofs the 5321 MailFrom.</t>
  </si>
  <si>
    <t>Conditional Sender ID filtering</t>
  </si>
  <si>
    <t>When this setting is enabled, any message that hard fails a conditional Sender ID check is marked as spam. This option combines an SPF check with a Sender ID check to help protect against message headers that contain forged senders.</t>
  </si>
  <si>
    <t>DKIM</t>
  </si>
  <si>
    <t>Exchange Online support inbound validation of Domain Keys Identified Mail (DKIM) messages. DKIM is a method for validating that a message was sent from the domain it says it originated from and that it was not spoofed by someone else. It ties an email message to the organization responsible for sending it. DKIM verification is automatically used for all messages sent over IPv6 communications.</t>
  </si>
  <si>
    <t>DMARC</t>
  </si>
  <si>
    <t>Top senders and recipients</t>
  </si>
  <si>
    <t>The top senders and recipients report can provide indications of e-mails being forwarded outside of the organization or other patterns that may indicate leakage of information.</t>
  </si>
  <si>
    <t>Malware &amp; SPAM Detections</t>
  </si>
  <si>
    <t>Message Trace</t>
  </si>
  <si>
    <t>Message traces can be used to quickly identify the persons receiving a message. This may be useful in an early stage for phishing messages.</t>
  </si>
  <si>
    <t>Remove Potential Phishing messages</t>
  </si>
  <si>
    <t>Preserve DP</t>
  </si>
  <si>
    <t>Placing All Mailboxes under hold</t>
  </si>
  <si>
    <t>Currently PowerShell is the best option</t>
  </si>
  <si>
    <t>Query Based hold</t>
  </si>
  <si>
    <t>Query based hold in Office 365 allow organizations to not only hold information from Exchange but also for Skype for business and SharePoint.</t>
  </si>
  <si>
    <t>Select eDiscovery to create a new hold</t>
  </si>
  <si>
    <t>Journaling</t>
  </si>
  <si>
    <t>Journaling allow for content to be journaled to on-premises archival systems.</t>
  </si>
  <si>
    <t>Before rolling out a solution for SharePoint and OneDrive for business it is important to note the big difference between a document management system and communication like e-mail or IM. Capturing all data may not represent the accurate picture since it could be compared of capturing all drafts and mutations an e-mail goes through before it is sent. SharePoint has several built in functions to meet organizations requirements of records management.</t>
  </si>
  <si>
    <t>Use Records Center</t>
  </si>
  <si>
    <t>The Records Center is intended to serve as a central repository in which an organization can store and manage all of its records such as legal or financial documents. The Records Center supports the entire records management process, from records collection through records management to records disposition.</t>
  </si>
  <si>
    <t>File Server Ingestion</t>
  </si>
  <si>
    <t>Because shared files are widely distributed across networks it is hard to identify key intellectual property but it also poses a risk in case of litigation. You can use the Microsoft Office 365 Import service to migrate files from your on-premises file shares or from your own premises SharePoint Server site.</t>
  </si>
  <si>
    <t>Non Microsoft System Data</t>
  </si>
  <si>
    <t>To accommodate customers who require archiving of non-Microsoft data in Office 365, we are partnering with 3rd parties to be able to ingest information from 3rd parties.</t>
  </si>
  <si>
    <t>Skype for Business</t>
  </si>
  <si>
    <t>There are regulatory mandates that require Skype for business IM's and meeting content to be Archived. Office 365 allow for this data to be archived to user’s mailboxes.</t>
  </si>
  <si>
    <t>Archive Meeting content and Lync conversations</t>
  </si>
  <si>
    <t xml:space="preserve">Organizations can archive Skype for Business Online content, such as IM conversations, to a user’s mailbox in Exchange Online.  This functionality requires placing a Litigation Hold or an In-Place Hold on the user's mailbox. </t>
  </si>
  <si>
    <t>For compliance, turn off non-archived features</t>
  </si>
  <si>
    <t>Discover DP</t>
  </si>
  <si>
    <t>Office 365 eDiscovery</t>
  </si>
  <si>
    <t>This part list the cross Office 365 Options for eDiscovery. Information that is sought for is usually stored across Office 365 and not only in a specific workload.</t>
  </si>
  <si>
    <t>Compliance Search</t>
  </si>
  <si>
    <t>Organizations can use Compliance Search in the Office 365 Compliance Center to search mailboxes, SharePoint Online sites, and OneDrive for Business locations in your Office 365 organization. Compliance Search is a new eDiscovery search tool with new and improved scaling and performance capabilities. Use Compliance Search to run very large eDiscovery searches.</t>
  </si>
  <si>
    <t>Search on Keywords</t>
  </si>
  <si>
    <t>Keywords help you narrow down the specific content that you produce through export for an eDiscovery case. By creating focused searches, you increase the likelihood that content is applicable to a case, and reduce the amount of content that you need to manage.</t>
  </si>
  <si>
    <t>Deduplication of results</t>
  </si>
  <si>
    <t>Deduplication will exclude duplicate messages. Only a single instance of a message will be included in the result set exported to the PST file.</t>
  </si>
  <si>
    <t>Export Data for review</t>
  </si>
  <si>
    <t>Organizations can export the information to share it with other team or agencies, the export includes a load file based on the Electronic Discovery Reference Model standard.</t>
  </si>
  <si>
    <t>With Equivio Zoom you can better understand your Office 365 data and reduce your eDiscovery costs. Equivio Zoom helps you analyze unstructured data within Office 365, perform more efficient document review, and make decisions to reduce data for eDiscovery</t>
  </si>
  <si>
    <t>Near-Duplicate Detection</t>
  </si>
  <si>
    <t>Provides information about how similar documents are to each other</t>
  </si>
  <si>
    <t>Thread Analysis</t>
  </si>
  <si>
    <t>Thread Analysis identifies emails that contain other emails in a thread, allowing compliance experts to review just the unique emails rather than every single one. These features reduce document review costs significantly.</t>
  </si>
  <si>
    <t>Relevance</t>
  </si>
  <si>
    <t>Teach the system to identify relevant documents. Zoom learns from your tagging decisions on sample documents, and the system applies statistical and self-learning techniques to calculate the relevance of each document in the data set.</t>
  </si>
  <si>
    <t xml:space="preserve">Themed </t>
  </si>
  <si>
    <t>Themes groups related documents, allowing compliance experts to identify topics of interest, drill down to discover more material, find similar documents, and intuitively explore data sets by following up on related themes</t>
  </si>
  <si>
    <t>Time vs. Accuracy</t>
  </si>
  <si>
    <t>Help compliance experts to zoom in to data based on the time to process to strike the right balance between time and accuracy.</t>
  </si>
  <si>
    <t>External Data Sources</t>
  </si>
  <si>
    <t>Together with partners we will be able to support eDiscovery across, Social — Twitter, Facebook, Yammer, LinkedIn, as a few examples, Instant messaging — Yahoo Messenger, GoogleTalk, Cisco Jabber, Document collaboration — Box, DropBox, Verticals — SalesForce Chatter, Thomson Reuters, Bloomberg, SMS/text messaging — BlackBerry, MobileGuard, etc.</t>
  </si>
  <si>
    <t>Delete DM</t>
  </si>
  <si>
    <t>Delete (DM)</t>
  </si>
  <si>
    <t>Organizations need to determine retention policies based on regulatory and internal government requirements. Keeping information longer than necessary may pose legal threats to the organization. Office 365 has several tools that help organizations handle information throughout the lifecycle.</t>
  </si>
  <si>
    <t>Compliance Center select Retention Policies</t>
  </si>
  <si>
    <t>SharePoint allow for compliance officers to create policies, which define things such as; The retention policy for a whole site and the team mailbox, if one is associated with the site. What causes a project to be closed. When a project should expire.</t>
  </si>
  <si>
    <t>Document Deletion Policy</t>
  </si>
  <si>
    <t>Document deletion policies allow organizations to proactively delete documents in a site after a specific period of time — for example, an organization can delete documents in users’ OneDrive for Business sites five years after the documents were created.</t>
  </si>
  <si>
    <t>Site Closure Policy</t>
  </si>
  <si>
    <t>Organizations can use site policies to help control site proliferation. A site policy defines the lifecycle of a site by specifying when the site will be closed and when it will be deleted.</t>
  </si>
  <si>
    <t>Retention allows organizations to manage the lifecycle of content in Office 365 such as email by removing the content after it’s no longer required. Exchange allow for centralized as well as user managed policies.</t>
  </si>
  <si>
    <t>Retention Tags and Policies</t>
  </si>
  <si>
    <t xml:space="preserve">Exchange Online, Messaging records management (MRM) helps organizations to manage email lifecycle and reduce legal risks associated with e-mail and other communications. MRM makes it easier to keep messages needed to comply with company policy, government regulations, or legal needs, and to remove content that has no legal or business value. </t>
  </si>
  <si>
    <t>Incident IR</t>
  </si>
  <si>
    <t>Incident Response (IR)</t>
  </si>
  <si>
    <t>Keep the contact details in the Office 365 Portal up to date</t>
  </si>
  <si>
    <t>Microsoft will provide notifications and updates to defined contacts within customer estate, these will need to be maintained</t>
  </si>
  <si>
    <t>Management Portal</t>
  </si>
  <si>
    <t>Disable Account</t>
  </si>
  <si>
    <t>In some cases, it may be necessary to block access to a specific account. Currently we cannot immediately terminate access to an account. This method will prevent future authentication.</t>
  </si>
  <si>
    <t>Select user go to settings and set status Blocked</t>
  </si>
  <si>
    <t>Delete Mailbox when disable account</t>
  </si>
  <si>
    <t>Data spillage</t>
  </si>
  <si>
    <t>Data spillage is when data is shared or transmitted against an organization or business policy. The data can be subject to a non-disclosure agreement, personally identifiable information, or other classified or unclassified data that has been distributed in an unauthorized manner. For example, a government agency mistakenly transmits classified data within an unclassified system or a commercial customer has a disgruntled employee who transmits company data against policy. </t>
  </si>
  <si>
    <t>Data Spillage E-mail compliance search</t>
  </si>
  <si>
    <t>Data spillage SharePoint Compliance Search</t>
  </si>
  <si>
    <t>Log Incident with partner or Microsoft</t>
  </si>
  <si>
    <t>Configuration checklist</t>
  </si>
  <si>
    <t>Network NS</t>
  </si>
  <si>
    <t>Network Services</t>
  </si>
  <si>
    <t>Office 365 provides secure networking out of the box by providing strong transport encryption mechanisms for service connections. In this section we list a few of the additional features organizations may decide to implement.</t>
  </si>
  <si>
    <t>Express Route</t>
  </si>
  <si>
    <t xml:space="preserve"> ExpressRoute provides organizations with dedicated network connectivity through a private connection from their network to Office 365. With ExpressRoute most Office 365 network traffic avoid the public Internet, providing additional data privacy.</t>
  </si>
  <si>
    <t>IP,URL Filtering</t>
  </si>
  <si>
    <t>If your organization restricts computers on your network from connecting to the Internet, this article lists the endpoints (FQDNs, IPv4, and IPv6 address ranges) that you should include in your outbound allow lists and Internet Explorer Trusted Sites Zone of client computers to ensure your computers can successfully use Office 365. FQDN allow lists are the recommended approach due to the modern web architecture of Office 365. FQDN allow lists are the recommended approach due to the modern web architecture of Office 365.</t>
  </si>
  <si>
    <t>Limit access to VPN/Direct Access/Local Networks</t>
  </si>
  <si>
    <t>Organizations that is using VPN or Direct Access configured can limit access to Office 365 based on conditional access rules based on the IP scopes used by the organization.</t>
  </si>
  <si>
    <t>Client CM</t>
  </si>
  <si>
    <t>Client</t>
  </si>
  <si>
    <t>Client Applications and OS (CM)</t>
  </si>
  <si>
    <t>Windows Powered PCs</t>
  </si>
  <si>
    <t xml:space="preserve">The following features primarily related to Windows operating systems. </t>
  </si>
  <si>
    <t>Microsoft Security Compliance Manager</t>
  </si>
  <si>
    <t>Security compliance Manager provides ready-to-deploy policies and DCM (Desired Configuration Management) configuration packs based on Microsoft security guide recommendations and industry best practices, allowing you to easily manage configuration drift and address compliance requirements for Windows operating systems, Office applications, and other Microsoft applications.</t>
  </si>
  <si>
    <t>Keep Browsers up to date</t>
  </si>
  <si>
    <t>Select Browser Used Report</t>
  </si>
  <si>
    <t>PC with other OS</t>
  </si>
  <si>
    <t>Keep OS up to date</t>
  </si>
  <si>
    <t>Select OS Used Report</t>
  </si>
  <si>
    <t>Anti Malware</t>
  </si>
  <si>
    <t>Remote Wipe</t>
  </si>
  <si>
    <t>If a device is stolen this function helps limiting the possibility of extracting information from the phone by completely wiping the information.</t>
  </si>
  <si>
    <t>RemoteWipe</t>
  </si>
  <si>
    <t>Policy Settings</t>
  </si>
  <si>
    <t>Keep Device OS up to Date</t>
  </si>
  <si>
    <t>Use dedicated Administrative accounts</t>
  </si>
  <si>
    <t>PS Configure</t>
  </si>
  <si>
    <t>Reduce the number of active identities to reduce licensing costs and the identity attack surface. Periodically check for inactive users and disable accounts that are not active. For example, in Exchange Online, you can use the Get-StaleMailboxDetailReport cmdlet to view mailboxes that have not been accessed for at least the last 30 days. Identities for inactive mailboxes should be disabled.</t>
  </si>
  <si>
    <t xml:space="preserve">Get-SpoActiveUserReport, Get-CsActiveUserReport, Get-StaleMailboxDetailReport </t>
  </si>
  <si>
    <t>Use an approval process to verify that all identities created in your environment are valid. This can help you to detect erroneous and suspicious activities.</t>
  </si>
  <si>
    <t>Get-MsolUser -Filter, Get-MailboxActivityReport</t>
  </si>
  <si>
    <t xml:space="preserve">Make it difficult to crack or guess user passwords.  </t>
  </si>
  <si>
    <t>Set-MsolPasswordPolicy, Set-MsolUser</t>
  </si>
  <si>
    <t>Get-MsolPasswordPolicy, Get-MsolUser</t>
  </si>
  <si>
    <t>https://msdn.microsoft.com/en-us/library/azure/dn394289.aspx</t>
  </si>
  <si>
    <t>Get-MsolUser</t>
  </si>
  <si>
    <t>Separation of Duties</t>
  </si>
  <si>
    <t>Set-MsolRoleMember</t>
  </si>
  <si>
    <t>Get-MsolRoleMember</t>
  </si>
  <si>
    <t>Azure AD Privileged Identity Management</t>
  </si>
  <si>
    <t>Azure AD Privileged Identity Management lets you manage, control and monitor your privileged identities and their access to resources in Azure AD, and in other Microsoft online services such as Office 365 or Microsoft Intune. This feature provide the ability to implement just in time elevation for privileged actions.</t>
  </si>
  <si>
    <t>On by default in Office 365</t>
  </si>
  <si>
    <t xml:space="preserve">Get-AdminAuditLogConfig | FL AdminAuditLogEnabled, Search-AdminAuditLog </t>
  </si>
  <si>
    <t>Get-Mailbox |{$_.ForwardingSMTPAddress -ne $null} |fl ForwardingSMTPAddress,DeliverToMailboxandForward, Get-InboxRule</t>
  </si>
  <si>
    <t xml:space="preserve">Set-RemoteDomain </t>
  </si>
  <si>
    <t>Get-RemoteDomain</t>
  </si>
  <si>
    <t xml:space="preserve">Get-OrganizationRelationship </t>
  </si>
  <si>
    <t>Get-Content &lt;text file&gt; | Set-User -RemotePowerShellEnabled $false</t>
  </si>
  <si>
    <t>Get-User -ResultSize unlimited -Filter {RemotePowerShellEnabled -eq $true}</t>
  </si>
  <si>
    <t>Set-SPOTenant</t>
  </si>
  <si>
    <t>Get-SPOTenant</t>
  </si>
  <si>
    <t xml:space="preserve">Set-SPOSite -SharingCapability, Set-SPOTenant -SharingCapability </t>
  </si>
  <si>
    <t>Get-SPOSite, Get-SPOTenant</t>
  </si>
  <si>
    <t>Remove-SPOExternalUser</t>
  </si>
  <si>
    <t>Set-SPOTenant -RequireAcceptingAccountMatchInvitedAccount</t>
  </si>
  <si>
    <t>Set-SPOTenantSyncClientRestriction</t>
  </si>
  <si>
    <t>Get-SPOTenantSyncClientRestriction</t>
  </si>
  <si>
    <t>Identify privileged actions that occur in Azure Active Directory, including elevation changes, password changes, and so forth. Automate this process by consuming the security audit feed with a Security Information and Event Management system. (SIEM)</t>
  </si>
  <si>
    <t>Get-AdminAuditLogConfig | FL AdminAuditLogEnabled</t>
  </si>
  <si>
    <t>Search-AdminAuditLog -ExternalAccess $true</t>
  </si>
  <si>
    <t>Search-UnifiedAuditLog, Set-UnifiedAuditSetting</t>
  </si>
  <si>
    <t>Get-UnifiedAuditSetting</t>
  </si>
  <si>
    <t>Enable-AadrmUsageLogFeature</t>
  </si>
  <si>
    <t>Get-AadrmConfiguration</t>
  </si>
  <si>
    <t xml:space="preserve">Get-Mailbox -ResultSize Unlimited -Filter {RecipientTypeDetails -eq "UserMailbox"} | Set-Mailbox -LitigationHoldEnabled $true -LitigationHoldDuration </t>
  </si>
  <si>
    <t>Get-Mailbox -ResultSize unlimited | Where-Object {$_.RetentionPolicy -eq "RP-Finance"} | Format-Table Name,RetentionPolicy -Auto</t>
  </si>
  <si>
    <t xml:space="preserve">Set-MsolUser –UserPrincipalName  –BlockCredential $True, </t>
  </si>
  <si>
    <t>New-ComplianceSearchAction</t>
  </si>
  <si>
    <t>Get-ComplianceSearchAction</t>
  </si>
  <si>
    <t>AC</t>
  </si>
  <si>
    <t>DL</t>
  </si>
  <si>
    <t>IR</t>
  </si>
  <si>
    <t>DR</t>
  </si>
  <si>
    <t>Assessed</t>
  </si>
  <si>
    <t>Consideration</t>
  </si>
  <si>
    <t>SC</t>
  </si>
  <si>
    <t>Deploying Password Management and training users to use it</t>
  </si>
  <si>
    <t>Extranet Account Lockout</t>
  </si>
  <si>
    <t>Separate Skype for Business Administrators</t>
  </si>
  <si>
    <t>Exchange Address Book Policies</t>
  </si>
  <si>
    <t>Mail-enabled security groups</t>
  </si>
  <si>
    <t>Monitor External Sharing invitations</t>
  </si>
  <si>
    <t>Restrict OneDrive for Business synchronization to trusted domains</t>
  </si>
  <si>
    <t>Azure AD Groups Activity Report</t>
  </si>
  <si>
    <t>Exchange Online Protection Auditing Reports</t>
  </si>
  <si>
    <t>Exchange Online Protection Privileged Admin Changes</t>
  </si>
  <si>
    <t>Exchange Online Protection Administrator Audit Log</t>
  </si>
  <si>
    <t>SharePoint Search queries Log</t>
  </si>
  <si>
    <t>S/MIME Message Signing and Encryption</t>
  </si>
  <si>
    <t>Attachment handling Outlook on the web</t>
  </si>
  <si>
    <t>Attachment handling Exchange ActiveSync</t>
  </si>
  <si>
    <t>Exchange Online Protection Configuration Best Practices</t>
  </si>
  <si>
    <t>Resilience DR</t>
  </si>
  <si>
    <t xml:space="preserve">To manage identity on-premises and synchronize your directory with Azure Active Directory, use Azure Active Directory Connect to replicate identities from on-premises environments to Azure Active Directory. This requires diligent processes to be in place to manage the on-premises environment. With the introduction of Azure AD Connect, providing access to these apps and moving to the cloud has never been easier. Azure AD Connect provides the following benefits:
- Your users can sign on with a common identity both in the cloud and on-premises. They don't need to remember multiple passwords or accounts and administrators don't have to worry about the additional overhead multiple accounts can bring.
- A single tool and guided experience for connecting your on-premises directories with Azure Active Directory. Once installed the wizard deploys and configures all components required to get your directory integration up and running including sync services, password sync or AD FS, and prerequisites such as the Azure AD PowerShell module.
</t>
  </si>
  <si>
    <t>Organizations with policies that require directory replication filtering can leverage domain-based filtering, organizational unit-based filtering, and attribute filtering.  In Azure AD Connect sync, you can enable filtering at any time. If you have already run the default configurations of directory synchronization and then configured the filtering, the objects that are filtered out are no longer synchronized to Azure AD. As a result of this, any objects in Azure AD that were previously synchronized but were then filtered are deleted in Azure AD. If objects were inadvertently deleted because of a filtering error, you can re-create the objects in Azure AD by removing your filtering configurations, and then synchronize your directories again.</t>
  </si>
  <si>
    <t>Weak passwords trump strong security, so have a good process for passwords and don't re-use them for other systems. Once you've picked strong passwords, handle them appropriately. consider using something stronger than – and in addition to – passwords to identify yourself to the system. Windows, for instance, supports the use of smart cards, which significantly strengthens the account checking the system can perform. You may also want to consider biometric products such as fingerprint and retina scanners. “Two-factor authentication” of this sort incorporates not only something you know (your password) but something you own (a card) or even something you are (a person with your unique fingerprint or retina) – dramatically increasing authentication strength.</t>
  </si>
  <si>
    <t>To make password reset actions effective organizations can use various methods to ensure that every user in the organization can use self-service password reset effectively in case they forget their password to lessen the administrative burden.</t>
  </si>
  <si>
    <t xml:space="preserve">Reset all passwords for high-privileged accounts to complicate a continued foothold in the environment in the event of a breach. </t>
  </si>
  <si>
    <t>Multi-factor authentication (MFA) is a method of authentication that requires the use of more than one verification method and adds a second layer of security to user sign-ins and transactions. You can also use any other MFA solutions that are offered with your on-premises directory. For example, the works with Office 365 program identity providers might offer different MFA solutions that you can manage according to the identity provider's specifications. For more information, see http://go.microsoft.com/fwlink/p/?LinkId=510953.</t>
  </si>
  <si>
    <t xml:space="preserve">Make the connection to a specific user stronger by using a second factor that can be presented by the user when responding to a call. Any of the following may be used for the second factor of authentication:
- Call my mobile phone. The user receives a phone call that asks them to press the pound key. Once the pound key is pressed, the user is logged in.
- Text code to my mobile phone. The user receives a text message containing a six-digit code that they must enter into the portal.
- Call my office phone. This is the same as Call my mobile phone, but it enables the user to select a different phone if they do not have their mobile phone with them.
- Notify me through app. The user configured a smartphone app and they receive a notification in the app that they must confirm the login. Smartphone apps are available for Windows Phone, iPhone, and Android devices.
- Show one-time code in app. The same smartphone app is used. Instead of receiving a notification, the user starts the app and enters the six-digit code from the app into the portal.
</t>
  </si>
  <si>
    <t>Make the connection to a specific user stronger by using a second factor that can be presented to an app running on the user's smartphone. Any of the following may be used for the second factor of authentication:
- Call my mobile phone. The user receives a phone call that asks them to press the pound key. Once the pound key is pressed, the user is logged in.
- Text code to my mobile phone. The user receives a text message containing a six-digit code that they must enter into the portal.
- Call my office phone. This is the same as Call my mobile phone, but it enables the user to select a different phone if they do not have their mobile phone with them.
- Notify me through app. The user configured a smartphone app and they receive a notification in the app that they must confirm the login. Smartphone apps are available for Windows Phone, iPhone, and Android devices.
- Show one-time code in app. The same smartphone app is used. Instead of receiving a notification, the user starts the app and enters the six-digit code from the app into the portal.</t>
  </si>
  <si>
    <t>Make the connection to a specific user stronger by using a second factor that can be presented by that user via a text message. Any of the following may be used for the second factor of authentication:
- Call my mobile phone. The user receives a phone call that asks them to press the pound key. Once the pound key is pressed, the user is logged in.
- Text code to my mobile phone. The user receives a text message containing a six-digit code that they must enter into the portal.
- Call my office phone. This is the same as Call my mobile phone, but it enables the user to select a different phone if they do not have their mobile phone with them.
- Notify me through app. The user configured a smartphone app and they receive a notification in the app that they must confirm the login. Smartphone apps are available for Windows Phone, iPhone, and Android devices.
- Show one-time code in app. The same smartphone app is used. Instead of receiving a notification, the user starts the app and enters the six-digit code from the app into the portal.
Make the connection to a specific user stronger by using a second factor that can be presented by that user via a text message.</t>
  </si>
  <si>
    <t xml:space="preserve">Azure Multi-Factor Authentication helps safeguard access to data and applications while meeting user demand for a simple sign-in process. It provides additional security by requiring a second form of authentication and delivers strong authentication via a range of easy verification options:
- phone call 
- text message
- mobile app notification—allowing users to choose the method they prefer
- mobile app verification code
- 3rd party OATH tokens
Use Trusted IPs and the other methods provided by Azure to provide additional safeguards. </t>
  </si>
  <si>
    <t xml:space="preserve">Conditional Access enables organizations to assess whether users are connecting with trusted devices and to block devices outside of policy.
Personally owned devices of your users can be marked known to your organization by requiring the users to work place join their devices to the Azure Active Directory Device Registration service.
Azure Active Directory Device Registration is the foundation for device-based conditional access scenarios. When a device is registered, Azure Active Directory Device Registration provisions the device with an identity which is used to authenticate the device when the user signs in. The authenticated device, and the attributes of the device, can then be used to enforce conditional access policies for applications that are hosted in the cloud and on-premises. When combined with a Mobile Device Management solution such as Intune, the device attributes in Azure Active Directory will be updated with additional information about the device. This allows you to create conditional access rules that enforce access from devices will meet your standards for security and compliance. Azure Active Directory Device Registration is available in your Azure Active Directory. The service includes support for iOS, Android, and Windows devices. </t>
  </si>
  <si>
    <t>Use Conditional Access to assess whether a user is connecting with a trusted device and to block devices outside of policy. The built-in Mobile Device Management for Office 365 can help you secure and manage your users' mobile devices like iPhones, iPads, Androids, and Windows phones. You can view an inventory of all enrolled devices that connect to your organization, create and manage device security policies, remotely wipe a device, and view detailed device reports.</t>
  </si>
  <si>
    <t>Active Directory Federation Services (AD FS) allows you to federate on-premises identity and authentication with Office 365. It also enables you to provide your users with a Single Sign-On (SSO) experience. SSO allows users to access Microsoft cloud services with their Active Directory corporate credentials. SSO requires both a security token service (STS) infrastructure and Active Directory synchronization.</t>
  </si>
  <si>
    <t>Some organizations may want to create policies that limit access to Microsoft Office 365 services, depending on where the client resides. For example, you might want to:
- Block all extranet client access to Office 365
- Block all extranet client access to Office 365, except for devices accessing Exchange Online for Exchange ActiveSync.
Active Directory Federation Services (AD FS) provides a way for organizations to configure these types of policies. Office 365 customers using Single Sign-On (SSO) who require these policies can use client access policies to restrict access based on the location of the computer or device that is making the request. Client access policies work by identifying which authentication requests should be permitted based upon the attributes of the claims request itself. To provide the additional information, client access policies use a set of claim types that AD FS populates from header information sent by the requesting client.</t>
  </si>
  <si>
    <t>Web Application Proxy provides a number of security features to protect your corporate network, your users, and your resources from external threats. One of these features is AD FS extranet lockout. In case of an attack in the form of authentication requests with invalid (bad) passwords that come through the Web Application Proxy, AD FS extranet lockout enables you to protect your users from an AD FS account lockout. In addition to protecting your users from an AD FS account lockout, AD FS extranet lockout also protects against brute force password guessing attacks.
Use extranet account lockout to lock access via AD FS while not locking the account for internal usage in case of an attack.</t>
  </si>
  <si>
    <t>Tie the user identity closer to the specific user, and make it harder to exploit a compromised password, by using multi-factor authentication (MFA). MFA is a method of authentication that requires the use of more than one verification method and adds a second layer of security to user sign-ins and transactions. It works by requiring any two or more verification methods, such as a randomly generated pass code, a phone call, a smart card (virtual or physical), or a biometric device.</t>
  </si>
  <si>
    <t>Depending on the size of your organization, you may want to designate several admins who serve different functions. The admin has access to all features in the admin center, and can create or edit users, assign admin roles to others, reset user passwords, manage user licenses, and manage domains, among other things.
Office 365 includes a security model that enables separation of administration based on roles. Certain admin roles Office 365 have a corresponding role in Exchange Online, SharePoint Online, and Skype for Business Online.</t>
  </si>
  <si>
    <t>Depending on the size of your organization, you may want to designate several admins who serve different functions. The admin has access to all features in the admin center, and can create or edit users, assign admin roles to others, reset user passwords, manage user licenses, and manage domains, among other things.
Office 365 includes a security model that enables separation of administration based on roles. Certain admin roles Office 365 have a corresponding role in Exchange Online, SharePoint Online, and Skype for Business Online.
Segment permissions to ensure that a single administrator doesn't have greater access than necessary.</t>
  </si>
  <si>
    <t>Limit permissions to allow only relevant staff access to a limited administration surface. This reduces the risk of sharing information between business units. You can achieve this by using administrative units, which are new Azure Active Directory (Azure AD) containers of resources that can be used for delegating administrative permissions over subsets of users, and applying policies to a subset of users. In Azure AD, administrative units enable central administrators to delegate permissions to regional administrators or to set policy at a granular level.
This is useful in organizations with independent divisions; for example, a large university that is made up of many autonomous schools (Business school, Engineering school, etc.) which are independent from each other. Such divisions have their own IT administrators who control access, manage users, and set policies specifically for their division. Central administrators want to be able grant these divisional administrators permissions over the users in their particular divisions. More specifically, using this example, a central administrator can, for instance, create an administrative unit for a particular school (Business school) and populate it with only the Business school users. Then a central administrator can add the Business school IT staff to a scoped role, in other words, grant the IT staff of Business school administrative permissions only over the Business school administrative unit.</t>
  </si>
  <si>
    <t>Perform regular reviews of all users and groups with high levels of permissions. You can search the administrator audit logs to discover who made changes to organization, server, and recipient configuration. This can be helpful when you're trying to track the cause of unexpected behavior, to identify a malicious administrator, to investigate data leaks, or to verify that compliance requirements are being met.</t>
  </si>
  <si>
    <t>If you are a SharePoint Online admin, you probably want to control who can make changes on your site. Ensure that the proper users have administrative privileges to appropriate content. Each site collection has its own set of permission levels. SharePoint comes with some default permission levels that you can use, such as Contribute and View Only. But if one of those doesn’t meet your needs, you can create a new permissions level. It’s a best practice that you don’t change the default permission levels. See also https://support.office.com/en-us/article/How-to-create-and-edit-Permission-Levels-53c86040-07fa-4ea7-bc55-34ee96b437fe#__best_practices_for.</t>
  </si>
  <si>
    <t>Changes to user accounts and permissions should happen regularly to quickly respond to potentially malicious activities. Knowing who has done what with which information is critical for many business requirements, such as regulatory compliance and records management.
You can use the audit feature in SharePoint Online to track which users have taken what actions on the sites, content types, lists, libraries, list items, and library files within your site collections.</t>
  </si>
  <si>
    <t>Microsoft engineers do not have standing access to any service operation. All access is obtained through a rigorous access control technology called Lockbox that enforces access control through multiple levels of approval within Microsoft, providing just-in-time access with  limited and time-bound authorization. In addition, all access control activities in the service are logged and audited.
Customers are part of the Lockbox approval process for instances involving access to customer content. The customer-facing side of the approval process is called Customer Lockbox. Use of the Customer Lockbox feature ensures that a Microsoft engineer does not get access to customer content without the customer’s explicit approval. Customer Lockbox gives customers explicit approval tools in the rare case when a Microsoft engineer needs access to customer content to resolve a customer-reported issue.</t>
  </si>
  <si>
    <t>Regularly review all email forwarding settings to detect fraudulent activity. Email forwarding lets you to set up a mailbox to forward email messages sent to that mailbox to another user’s mailbox in or outside of your organization. But it's a method commonly used by hackers and malicious individuals to steal data and create and maintain a foothold in the environment.</t>
  </si>
  <si>
    <t>Control email forwarding by configuring remote domains. This enables you to reduce risk by forwarding email only to trusted domains. When you set a remote domain, you can control mail flow with more precision, specify message formatting and policy, and specify acceptable character sets for messages sent to or received from the remote domain.</t>
  </si>
  <si>
    <t>Prevent unlawful information disclosure by regularly reviewing all mailbox permissions to ensure that the only appropriate permissions are set. Unusual or unexpected users or permissions should be investigated immediately.</t>
  </si>
  <si>
    <t>With Office 365, administrators can set up different levels of calendar access in Exchange Online to allow businesses to collaborate with other businesses and to let users share their schedules with others. Business-to-business calendar sharing is set up by creating organization relationships. User-to-user calendar sharing is set up by applying sharing policies.
Regularly monitor all external sharing and sharing policies to ensure that they are appropriate, and to prevent the unwanted disclosure of sensitive data outside your organization.</t>
  </si>
  <si>
    <t>Address book policies (ABPs) segment users into specific groups to provide customized views of your organization’s global address list (GAL). When creating an ABP, you assign a GAL, an offline address book (OAB), a room list, and one or more address lists to the policy. You can then assign the ABP to mailbox users, providing them with access to a customized GAL in Outlook and Outlook on the web. The goal is to provide a simpler mechanism to accomplish GAL segmentation for on-premises organizations that require multiple GALs.
Use ABPs to maintain a degree of isolation if your organization does not want users to search for people in other business units.</t>
  </si>
  <si>
    <t>A mail-enabled security group can be used to distribute messages as well as to grant access permissions to resources in Active Directory. You can manage access to information by leveraging the approval flows for sending messages and adding members within mail-enabled security groups.</t>
  </si>
  <si>
    <t>Remote PowerShell enables you to manage your Exchange Online organization from the command line. By default, all accounts you create in Exchange Online are allowed to use remote Shell to access your Exchange Online organization. You can enable or disable a user’s ability to connect to your Exchange Online organization using remote Shell.
Disable PowerShell for all users and applications that do not need it. This will reduce the potential attack surface. Some client-side applications may use PowerShell functionality so perform an assessment before disabling. Skype for Business Online, SharePoint Online, and Azure disable access to PowerShell for non-administrators by default.</t>
  </si>
  <si>
    <t>Reducing the attack surface of your tenant is important from both a security and a compliance standpoint. Disable un-used client access protocols for Exchange Online to limit the attack surface of your tenant.</t>
  </si>
  <si>
    <t>Develop a permissions strategy to keep the environment manageable and secure. An effective permissions strategy will enhance the manageability and performance of your site, ensure compliance with your organization’s data governance policies, and minimize the cost of maintenance for you and your organization.</t>
  </si>
  <si>
    <t>Understand how SharePoint permissions are built on the concepts of SharePoint groups, Permission levels and Permissions inheritance and site structure.
Customize permission settings to better reflect the requirements of your organization. For example, you can stop permission inheritance at a specific location, and you can create new groups and new permission levels.</t>
  </si>
  <si>
    <t>Configure the People Picker options hide certain groups from being displayed, and prevent users from searching for other users in high-security or isolated environments.</t>
  </si>
  <si>
    <t>In regulated industries, it’s often important to audit every conversation with external parties – including any text users add to their external sharing invitations. SharePoint Online has the ability to blind copy the full text of invitation emails to a dedicated archive mailbox.</t>
  </si>
  <si>
    <t>Regularly check guest links generated in the system to ensure that they only publish information with the appropriate classification. You can use the Search feature in the Compliance Center to search for documents stored on SharePoint and OneDrive for Business sites that have been shared with people outside of your organization</t>
  </si>
  <si>
    <t>Enable OneDrive for Business file sync to work only on Active Directory domain-joined computers, and specify which of your domains you want to allow to sync. The Set-SPOTenantSyncClientRestriction cmdlet enables the feature for a tenant and sets the domain GUIDs in the safe recipients. This blocks file sync on personally-owned and unmanaged PCs.</t>
  </si>
  <si>
    <t>Investigate if your organization needs to implement restrictions on external communications. If necessary, disable the ability for your users to use Skype for Business to contact people in other organizations.</t>
  </si>
  <si>
    <t>Azure Active Directory Premium includes a groups activity report that includes all activity for the self-service managed groups in your directory. Keep up with modifications to group membership by regularly reviewing this report.</t>
  </si>
  <si>
    <t>Use Azure Active Directory (Azure AD) access and usage reports to gain visibility into the integrity and security of your organization’s directory. With this information, a directory admin can better determine where possible security risks may lie so that they can adequately plan to mitigate those risks.
Audit all account actions and use Azure AD reports to identify potential fraudulent activities.</t>
  </si>
  <si>
    <t>Leverage the rich set of auditing features in Exchange Online to audit administrator, user, application, and external user access. For example, you can use audit logging to troubleshoot configuration issues by tracking specific changes made by administrators, and to help you meet regulatory, compliance, and litigation requirements. Exchange Online includes both administrator audit logging and mailbox audit logging. These logs can help you determine who has accessed a mailbox and what they’ve done.</t>
  </si>
  <si>
    <t>You can search the administrator audit logs to discover who made changes to organization, server, and recipient configuration. This can be helpful when you're trying to track the cause of unexpected behavior, to identify a malicious administrator, or to verify that compliance requirements are being met.
Regularly review all changes to privileged role groups to detect potentially harmful changes.</t>
  </si>
  <si>
    <t xml:space="preserve">Audit non-owner access activity to identify potential leaks of information and to proactively review non-owner access to mailboxes.
The Non-Owner Mailbox Access Report in the Exchange Admin Center lists the mailboxes that have been accessed by someone other than the person who owns the mailbox. When a mailbox is accessed by a non-owner, Exchange logs information about this action in a mailbox audit log that’s stored as an email message in a hidden folder in the mailbox being audited. Entries from this log are displayed as search results and include a list of mailboxes accessed by a non-owner, who accessed the mailbox and when, the actions performed by the non-owner, and whether the action was successful. By default, entries in the mailbox audit log are retained for 90 days. </t>
  </si>
  <si>
    <t>Your organization may require all mailbox data to be preserved for a specific period. You can use Litigation Hold or In-Place Hold to meet this requirement. After you place a mailbox on Litigation Hold or In-Place Hold, mailbox items that are modified or that are permanently deleted are preserved in the Recoverable Items folder.
Use the hold report to keep track of when Hold is enabled or disabled in a given time period. For each of these change types, the report includes the user who made the change and the time and date the change was made. Regularly review the report to audit changes to eDiscovery and Hold settings to ensure that users that should be under Hold remain under Hold.</t>
  </si>
  <si>
    <t>Your organization may require all mailbox data to be preserved for a specific period. You can use Litigation Hold or In-Place Hold to meet this requirement. After you place a user on Litigation Hold or In-Place Hold, mailbox items that are modified or that are permanently deleted are preserved in the Recoverable Items folder.
If your organization is required to keep users under Hold, regularly review the Hold report to audit changes to settings.</t>
  </si>
  <si>
    <t>You can use the Exchange Admin Center to search for and view entries in the administrator audit log. The administrator audit log records specific actions, based on Exchange Management Shell cmdlet, performed by administrators and users who have been assigned administrative privileges. Entries in the administrator audit log provide you with information about what cmdlet was run, which parameters were used, who ran the cmdlet, and what objects were affected.
Regularly review all configuration changes to ensure that only valid and approved changes have been made to the organization's settings.</t>
  </si>
  <si>
    <t>In Exchange Online, actions performed by Microsoft and delegated administrators are logged in the administrator audit log. You can use the Exchange Admin Center or PowerShell to search for and view audit log entries to determine if external administrators performed any actions on or changed the configuration of your Exchange Online organization. You can also use PowerShell to export these audit log entries.
Regularly audit all activities performed by external administrators, including Microsoft service administrators.</t>
  </si>
  <si>
    <t>Auditing reports in Microsoft Exchange Online Protection (EOP) can help you meet regulatory, compliance, and litigation requirements for your organization. You can obtain auditing reports at any time to determine the changes that have been made to your EOP configuration. These reports can help you troubleshoot configuration issues or find the cause of security-related or compliance-related problems.
Regularly review EOP audit reports to support security and compliance-related work.</t>
  </si>
  <si>
    <t>When an administrator adds members to or removes members from administrator role groups, Microsoft Exchange Online Protection logs each occurrence. When you run an administrator role group report in the Exchange Admin Center, entries are displayed as search results and include the role groups affected, who changed the role group membership and when, and what membership updates were made. Use this report to monitor changes to the administrative permissions assigned to users in your organization.
Regularly review all changes to privileged role groups to detect potentially harmful changes.</t>
  </si>
  <si>
    <t>In Exchange Online Protection (EOP) and Exchange Online, you can use the Exchange Admin Center to search for and view entries in the administrator audit log. The administrator audit log records specific actions performed by administrators and users who have been assigned administrative privileges. Entries in the administrator audit log provide you with information about what cmdlet was run, which parameters were used, who ran the cmdlet, and what objects were affected.
Regularly review all changes to EOP configuration settings, especially those that affect mail flow.</t>
  </si>
  <si>
    <t>In case of a breach, review the keywords that have been used in searches to help identify the information being sought.</t>
  </si>
  <si>
    <t>You can use the Office 365 activity report in the Office 365 Compliance Center to view user and admin activity in your Office 365 organization. The report contains entries for admin activity (admin audit logging) and access to mailboxes (mailbox audit logging) in Exchange Online, user and admin activity in SharePoint Online and OneDrive for Business, and admin activity and user sign-in activity in Azure Active Directory.
Use the Office 365 Activity API to consume a feed of activity data from Office 365 to your on-premises Security Information and Event Management solution.</t>
  </si>
  <si>
    <t>Active Directory Federation Services (AD FS) includes its own dedicated performance counters to help you monitor the performance of both federation servers and federation server proxy computers. Configure performance monitoring for AD FS and keep track of suspicious log on patterns for on-premises accounts.</t>
  </si>
  <si>
    <t>Microsoft Advanced Threat Analytics (ATA) helps you identify breaches and threats using behavioral analysis and provides a clear, actionable report on a simple attack timeline. It's a simple and fast way to understand what is happening within your network by identifying suspicious user and device activity with built-in intelligence and providing clear and relevant threat information on a simple attack timeline. 
ATA leverages deep packet inspection technology, as well as information from additional data sources (Security Information and Event Management and Active Directory) to build an Organizational Security Graph and detect advanced attacks in near real time.
Use advanced threat analytics such as behavioral analysis to detect potential threats in your environment.</t>
  </si>
  <si>
    <t>Azure AD Connect Health helps you monitor and gain insight into your on-premises identity infrastructure and the synchronization services available through Azure AD Connect. It offers you the ability to view alerts, performance, usage patterns, configuration settings, enables you to maintain a reliable connection to Office 365 and much more.
Use Azure AD Connect to monitor the state of directory integration between your on-premises environment and Office 365.</t>
  </si>
  <si>
    <t>When sharing information, users should set an expiration date to prevent access to time-sensitive material. Time-sensitive files should not be able to be opened after a date that you specify. You will still be able to open the original file but after midnight (your current time zone) on the day that you specify, others will not be able to open the file.</t>
  </si>
  <si>
    <t>To help prevent information leakage, Exchange Online includes information rights management (IRM) functionality that provides online and offline protection of email messages and attachments. IRM protection can be applied by users in Outlook and Outlook on the web, and it can be applied by administrators using transport protection rules or Outlook protection rules. IRM helps you and your users control who can access, forward, print, or copy sensitive data within an email. It provides online and offline protection of email messages and attachments, and allow users to control who can access, forward, print, or copy sensitive data within an email.</t>
  </si>
  <si>
    <t>Exchange Online servers always encrypt connections to other Exchange Online servers in our datacenters with TLS 1.2. When you send mail to a recipient that is within your Office 365 organization, that email is automatically sent over a connection that is encrypted using TLS. Also, all email you send to other Office 365 customers are sent over connections that are encrypted using TLS and are secured using Perfect Forward Secrecy.
By default, Exchange Online always uses opportunistic TLS. This means Exchange Online always tries to encrypt connections with the most secure version of TLS first, then works its way down the list of TLS ciphers until it finds one on which both parties can agree. Unless you have configured Exchange Online to ensure that messages to that recipient are only sent through secure connections, then by default the message will be sent unencrypted if the recipient organization doesn’t support TLS encryption. Opportunistic TLS is sufficient for most businesses. However, for business that have compliance requirements such as medical, banking, or government organizations, you can configure Exchange Online to require, or force, TLS.</t>
  </si>
  <si>
    <t>You can create connectors to apply security restrictions to mail exchanges with a partner organization or service provider. A partner can be an organization you do business with, such as a bank. It can also be a cloud email service provider that provides services such as archiving, anti-spam, and so on. 
For example. you can create a connector to enforce encryption via transport layer security (TLS). You can also apply other security restrictions such as specifying domain names or IP address ranges that your partner organization sends mail from.
A partner connector provides the option to encrypt all traffic with partner organizations to avoid disclosure of information.</t>
  </si>
  <si>
    <t>S/MIME (Secure/Multipurpose Internet Mail Extensions) is a widely accepted method, or more precisely a protocol, for sending digitally signed and encrypted messages. S/MIME allows you to encrypt emails and digitally sign them. When you use S/MIME with an email message, it helps the people who receive that message to be certain that what they see in their inbox is the exact message that started with the sender.
Use S/MIME for cryptographic security services such as authentication, message integrity, and non-repudiation of origin (using digital signatures). It can also help enhance privacy and data security (using encryption) for electronic messaging.</t>
  </si>
  <si>
    <t>Office 365 Message Encryption is an easy-to-use service that lets email users send encrypted messages to people inside or outside their organization. Designated recipients can view encrypted messages and return encrypted replies. Regardless of the destination email service—whether it’s Outlook.com, Yahoo, Gmail, or another service—email users can send confidential business communications with an added level of protection against unauthorized access. This allows for enterprise content inspection and it enables you to adhere to compliance policies.</t>
  </si>
  <si>
    <t>Office contains settings that let you control the way that data is encrypted when you use Access, Excel, OneNote, PowerPoint, Project, and Word.
Private keys can be stored in a centralized vault to allow for decryption if password is forgotten or if a user leaves the company.</t>
  </si>
  <si>
    <t>Data loss prevention (DLP) is an important issue for many customers because of the extensive use of email for business critical communication that includes sensitive data. Exchange Online contains a number of DLP features that help organizations enforce policies, and analyze how users adhere to those policies.</t>
  </si>
  <si>
    <t>Data loss prevention (DLP) includes built-in templates and  customizable policies to meet an organization's need to identify sensitive content. DLP policies are simple packages that contain sets of conditions, which are made up of transport rules, actions, and exceptions that you create in the Exchange admin center and then activate to filter email messages and attachments.
You can also inform email senders that they may be about to violate one of your policies—even before they send an offending message by configuring Policy Tips. Policy Tips can be configured to present a brief note in Outlook, Outlook on the web, and OWA for devices, that provides information about possible policy violations during message creation.</t>
  </si>
  <si>
    <t>You can use data loss prevention (DLP) policy templates to get started with your DLP solution in Exchange Online. A DLP policy template is a model for a policy. You can select a template to begin the process of building your own customized DLP policy. Within your DLP policy, you can customize the rules to ensure that it meets your business needs for data loss prevention. Several policy templates are supplied by Microsoft, but these are not the only way to implement a data loss prevention solution in Exchange. Third-party templates and Windows File Classification Infrastructure templates can be imported to help prevent information from being leaked.</t>
  </si>
  <si>
    <t>Data loss prevention (DLP) in Office 365 includes 80 sensitive information types that are ready for you to use in DLP policies. A sensitive information type is defined by a pattern that can be identified by a regular expression or a function. In addition, corroborative evidence such as keywords and checksums can be used to identify a sensitive information type. Confidence level and proximity are also used in the evaluation process.</t>
  </si>
  <si>
    <t>View information about the number of messages that are detected by your data loss prevention (DLP) policies. This includes DLP policy matches and DLP rules matches for sent mail and received mail. You can also view the number of matches, overrides, and false positives for each policy within  the past 24 hours in the Exchange Admin Center.</t>
  </si>
  <si>
    <t>View information about the number of messages that are detected by your data loss prevention (DLP) policies. This includes DLP policy matches and DLP rules matches for sent mail and received mail. You can also view the number of matches, overrides, and false positives for each policy within  the past 24 hours in the Exchange Admin Center. In addition, some reports are grouped by severity. The DLP Matches by Severity for Mail report is an example of a report that groups policy and rule matches based on severity.</t>
  </si>
  <si>
    <t>Administrators can set up both private and public attachment handling in Outlook on the web depending on how you configure your Outlook on the web mailbox policies. The settings for private (internal) and public (external) networks define how users can open, view, send, or receive attachments depending on whether a user is signed in to Outlook on the web on a computer that is part of a private or of a public network. This setting can be used to restrict access to documents from public networks as an example.</t>
  </si>
  <si>
    <t>In Office 365, you can create mobile device mailbox policies to apply a common set of policies or security settings to a collection of users. A default mobile device mailbox policy is created in every Office 365 organization. Administrators can create policies to block attachments from being synchronized to mobile devices to limit exposure.</t>
  </si>
  <si>
    <t>Data loss prevention (DLP) in SharePoint Online provides you with a way to identify that data, so you can work with document owners to reduce any risk to your organization. DLP enables organizations to search and report on sensitive content.</t>
  </si>
  <si>
    <t>Administrators can set up policies for SharePoint Online and OneDrive for Business that automatically apply to Word, Excel and PowerPoint 2016 applications. If users open a sensitive file from SharePoint Online or OneDrive for Business, they will be notified of the sensitive information in context within the Office application. Depending on the policy, the user can simply choose to ignore the policy or be asked to provide a business justification in order to continue working on the sensitive data. Users also have the option of turning off notification policies from within the Office applications. With these advanced capabilities, you will have the ability to create DLP policies across different services while maintaining a productive end-user experience.</t>
  </si>
  <si>
    <t xml:space="preserve">File Classification Infrastructure uses classification rules to automatically scan files and classify them according to the contents of the file. Classification properties are defined centrally in Active Directory so that these definitions can be shared across file servers in the organization. You can create classification rules that scan files for a standard string or for a string that matches a pattern (regular expression). When a configured classification parameter is found in a file, that file is classified as configured in the classification rule.
When deploying file classification across an organization, start by identifying the information that should be classified and the appropriate classification methods that should be used. Be sure to ensure that you consider any regulations, such as HIPAA, while you are listing the classification requirements. </t>
  </si>
  <si>
    <t>It is key to educate users about phishing attacks, malicious and unwanted email, and to recognize possible scams. This enables users to determine for themselves what actions to take if they come across a phishing attempt or other similar scam. Internal notifications can help users with identification and early eradication of a threat.</t>
  </si>
  <si>
    <t xml:space="preserve">Exchange Online Advanced Threat Protection protects mailboxes against new, sophisticated attacks in real-time by protecting against unsafe attachments and malicious links. All suspicious content goes through a real-time behavioral malware analysis that uses machine learning techniques to evaluate the content for suspicious activity. While the content is being scanned, the URLs are rewritten to go through Office 365. The URLs are examined in real time, at the time a user clicks them. Gain critical insights into who is being targeted in your organization and the category of attacks you are facing. </t>
  </si>
  <si>
    <t>Exchange Online Advanced Threat Protection protects mailboxes against new, sophisticated attacks in real-time by protecting against unsafe attachments and malicious links. Safe Links help protect environments when users click a link. While the content is being scanned, the URLs are rewritten to go through Office 365. The URLs are examined in real-time, at the time a user clicks them. If a link is unsafe, the user is warned not to visit the site or informed that the site has been blocked.</t>
  </si>
  <si>
    <t>Exchange Online Advanced Threat Protection protects mailboxes against new, sophisticated attacks in real-time by protecting against unsafe attachments and malicious links. Reports of how your users are accessing different URLs from their mailboxes for getting a clear picture on what type of users are getting targeted. Also, you get details on what messages have been blocked due to unknown viruses or malware.</t>
  </si>
  <si>
    <t>Exchange Online Protection (EOP) is a cloud-hosted email filtering service built to protect customers from spam, phishing and malware, and to implement custom policy rules. Proper configuration of EOP is essential to keep out unwanted e-mail and keep the messaging system secure. Follow Microsoft's recommended best practices for configuring EOP features such as anti-spam, anti-malware, phishing and spoofing prevention, and more.</t>
  </si>
  <si>
    <t>You can configure end-user spam notifications for the default company-wide content filter policy or for custom content filter policies that are applied to domains. Enabling end-user spam notification messages lets your end users self-manage their own spam-quarantined messages. End-user spam notifications cannot be used with policies applied to users or groups, or to a policy with exceptions.</t>
  </si>
  <si>
    <t>SPF records are TXT records that help to prevent other people from using your domain to send spam or other malicious email. Sender policy framework (SPF) records work by identifying the servers that are authorized to send email from your domain. An email system that receives an email from your domain looks at the SPF record, and if the email server that sent the message was an Office 365 server, the message is accepted. If the server that sent the message was your old mail system or a malicious system on the Internet, the message is considered un-safe.</t>
  </si>
  <si>
    <t>DMARC is a technology designed to combat email spoofing and is useful to stop phishing. Specifically, it protects the case where a phisher has spoofed the 5322.From email address, which is the email address displayed in mail clients.</t>
  </si>
  <si>
    <t>This is a reference to the PowerShell cmdlets available to configure anti-spam and anti-malware settings in Exchange Online.</t>
  </si>
  <si>
    <t>Query based hold in Office 365 allow organizations to not only hold information from SharePoint but also for Skype for business, Exchange and OneDrive for Business.</t>
  </si>
  <si>
    <t xml:space="preserve">Checking this option turns off features that aren’t captured when the organization has set up an In-place hold. 
File transfer using instant messaging, Shared OneNote pages, PowerPoint annotations
</t>
  </si>
  <si>
    <t>SharePoint has a rich set of capabilities to restore information that has been modified by mistake or maliciously.</t>
  </si>
  <si>
    <t>When disabling an account deleting the mailbox helps make sure that e-mails are not forwarded or sent from the mailbox. The mailbox can be recovered using the Undo-SoftDeletedMailbox within 30 days.</t>
  </si>
  <si>
    <t xml:space="preserve">Organizations can use the Compliance Search feature in Office 365 to search and remove an email message from all mailboxes in the organization. You can search and remove an email message from all mailboxes in your organization. This can help you find and remove potentially harmful or high-risk email, such as messages that contain dangerous attachment or virus, phishing messages, and messages that contain sensitive data.
</t>
  </si>
  <si>
    <t>Compliance Search in the Office 365 Compliance Center can be used to search mailboxes, SharePoint Online sites, and OneDrive for Business locations in your Office 365 organization. Compliance Search is a new eDiscovery search tool with new and improved scaling and performance capabilities.</t>
  </si>
  <si>
    <t>It may be necessary to clean up the SharePoint recycle bin for the affected Site Collections in the case of a spillage of sensitive information. You have access to two recycle bin stages, a first-level Recycle Bin, and a Second-Stage Recycle Bin. This gives you greater control when users delete files, versions of files, list items, libraries, lists, and folders from a SharePoint site by providing a two-stage safety net before an item is permanently deleted from a site.</t>
  </si>
  <si>
    <t>Portal AD Connect verification</t>
  </si>
  <si>
    <t>Select the user and edit user roles</t>
  </si>
  <si>
    <t>Get-MailboxFolderPermission</t>
  </si>
  <si>
    <t>Get-SPOUser -Site "https://contoso.sharepoint.com/sites/finance"</t>
  </si>
  <si>
    <t>Set-SPOTenant -BccExternalSharingInvitations -BccExternalSharingInvitationsList</t>
  </si>
  <si>
    <t>Get-SPOExternalUser, Get-SPOexternaluser -Siteurl https://contoso.sharepoint.com/sites</t>
  </si>
  <si>
    <t>Navigate to Protection/ Spam filter</t>
  </si>
  <si>
    <t>Select mail flow and then message trace</t>
  </si>
  <si>
    <t>PS Get</t>
  </si>
  <si>
    <t>Hold From a Central Unified Portal</t>
  </si>
  <si>
    <t>Office 365 provides central administration for preserving information across the workloads through the Compliance Center. For ease of feature assessment we have split out the most common features and considerations in the list below.</t>
  </si>
  <si>
    <t>Mobile Devices</t>
  </si>
  <si>
    <t>Microsoft Operators</t>
  </si>
  <si>
    <t>Applications</t>
  </si>
  <si>
    <t xml:space="preserve">Access made by Applications deployed in the tenant can be identified by the UserType Value being set to 5 or 6. This allow for organizations to monitor applications and their behavior. </t>
  </si>
  <si>
    <t>Office 365 Activity API</t>
  </si>
  <si>
    <t>Get-SPOSiteGroup, Get-SPOUser</t>
  </si>
  <si>
    <t>Set-SPOSiteGroup, Set-SPOUser</t>
  </si>
  <si>
    <t>Get-Mailbox -ResultSize Unlimited -Filter {RecipientTypeDetails -eq "UserMailbox"} | Set-Mailbox -AuditEnabled $true</t>
  </si>
  <si>
    <t>Get-Mailbox | FT Name,AuditEnabled</t>
  </si>
  <si>
    <t>Administrator role group changes</t>
  </si>
  <si>
    <t>Verify that high-privileged roles have not been assigned to any un-authorized users. You can search the administrator audit logs or the Activity logs to discover who made changes to organization, server, and recipient configuration. This can be helpful when you're trying to track the cause of unexpected behavior, to identify a malicious administrator, to investigate data leaks, or to verify that compliance requirements are being met.</t>
  </si>
  <si>
    <t>Review Modification of permissions</t>
  </si>
  <si>
    <t>Review Delegated Partner Administrators</t>
  </si>
  <si>
    <t>Ensure that partner organizations don't have standing access to the environment unless warranted. This will limit the potential attack surface.</t>
  </si>
  <si>
    <t>Zero-hour Auto Purge (ZAP)</t>
  </si>
  <si>
    <t>ZAP change the verdict of an unread email from Clean to Spam and move this message from your Inbox to the Junk Email folder. This goes the other way around as well, so if a message was incorrectly marked as Spam (False Negative) and it was moved to Junk Email folder, ZAP will move the message in your Inbox folder.</t>
  </si>
  <si>
    <t>Set-HostedContentFilterPolicy</t>
  </si>
  <si>
    <t>Get-HostedContentFilterPolicy</t>
  </si>
  <si>
    <t>Review Sign-Ins from unknown sources</t>
  </si>
  <si>
    <t>Use this report to identify users who have successfully signed in to your organization while assigned a client IP address that has been recognized by Microsoft as an anonymous proxy IP address. These proxies are often used by users who want to hide their computer’s IP address.</t>
  </si>
  <si>
    <t>Review Sign-ins after multiple failures</t>
  </si>
  <si>
    <t>Use this report to identify users who have successfully signed in after multiple consecutive failed sign-in attempts.</t>
  </si>
  <si>
    <t>Review Signs-ins from multiple geographies</t>
  </si>
  <si>
    <t>Use this report to identify successful sign-in activities from a user where two sign ins appeared to originate from different countries and the time between the sign ins makes it impossible for the user to have travelled between those countries.</t>
  </si>
  <si>
    <t>Review AAD Logons for Anomalies</t>
  </si>
  <si>
    <t>Indicates users whose accounts may have been compromised.</t>
  </si>
  <si>
    <t>Exchange Mailbox Activities (Audit Log Search)</t>
  </si>
  <si>
    <t>These are the activities that can be logged by mailbox audit logging and searched through the Audit Log Search, by default mailbox audit logging is not turned on. Copied messages to another folder, Created item, Deleted messages from Deleted Items folder, Moved messages to another folder, Moved messages to Deleted Items folder, Purged messages from the mailbox, Sent message using Send As permissions, Sent message using Send On Behalf permissions, Updated message, User signed in to mailbox</t>
  </si>
  <si>
    <t>Review configuration changes in organization</t>
  </si>
  <si>
    <t>Review mailbox access by datacenter administrators</t>
  </si>
  <si>
    <t>Office 365 User administration activities</t>
  </si>
  <si>
    <t>These are the administration activities that are logged when an admin adds or changes a user account. Added user, Changed user license, Changed user password, Deleted user, Reset user password, Set property that forces user to change password, Set license properties, Updated user. These activities can be used to review administrator activity on a regular basis to ensure that the activities performed are in accordance to organizational principles.</t>
  </si>
  <si>
    <t>Office 365 Group administration activities</t>
  </si>
  <si>
    <t>Search these logs to identify activities related to an admin or a user creates or changes an Office 365 group or when an admin creates a security group. The activities logged are Added group, Added member to group, Deleted group, Removed member from group, Updated group</t>
  </si>
  <si>
    <t>Application administration activities</t>
  </si>
  <si>
    <t>When an administrator adds or changes an application that's registered in Azure AD these activities are logged. Added delegation entry, Added service principal, Added service principal credentials, Removed delegation entry, Removed service principal, Removed service principal credentials, Set delegation entry. Keeping track of these entries are important since applications can be used to access customer data hence a rouge admin could use applications in an attempt to circumvent security. Both the registration of applications and actions carried by the applications like accessing customer data are logged.</t>
  </si>
  <si>
    <t>Office 365 Role administration activities</t>
  </si>
  <si>
    <t>It is important to keep track of the Azure AD roles in Office 365 to detect potential attempts to elevate permissions. The role administration logging is logging the following activities Add member to Role, Removed a user from a directory role, Set company contact information.</t>
  </si>
  <si>
    <t>Directory administration activities</t>
  </si>
  <si>
    <t>These are the Azure AD directory and domain related activities that are logged when an administrator manages admin roles. Added domain to company, Added partner to company, Removed domain from company, Removed partner from company, Set company information, Set domain authentication, Set federation settings on the domain, Set password policy, Turned on Azure AD sync, Updated domain, Verified domain, Verified email verified domain. These activities are important to ensure that delegation to partner as an example is not done without prior approval.</t>
  </si>
  <si>
    <t xml:space="preserve">Search for eDiscovery activities </t>
  </si>
  <si>
    <t>Regularly review the Office 365 Activity Report in the Compliance Center to review user and administrator activity in your Office 365 tenant. The report contains entries for activity in Exchange Online, SharePoint Online, and OneDrive for Business, and administrator activity reports in Azure Active Directory.</t>
  </si>
  <si>
    <t>File and folder activities</t>
  </si>
  <si>
    <t>Sharing and access request activities</t>
  </si>
  <si>
    <t>Synchronization Activities</t>
  </si>
  <si>
    <t>This category is used to track file synchronization activities in SharePoint Online and OneDrive for Business. It track tasks such as, Allowed computer to sync files, Blocked computer from syncing files, Downloaded files to computer, Downloaded file changes to computer, Uploaded files to document library, Uploaded file changes to document library</t>
  </si>
  <si>
    <t>Site administration activities</t>
  </si>
  <si>
    <t>The list of audited site administration tasks in SharePoint Online is rich and can be used to detect unwanted changes in the SharePoint configuration. Added exempt user agent, Added site collection administrator, Added user to group, Allowed user to create groups, Changed exempt user agents, Changed a sharing policy, Created group, Created Sent To connection, Created site collection, Deleted group, Deleted Sent To connection, Enabled document preview, Enabled legacy workflow, Enabled Office on Demand, Enabled RSS feeds, Enabled result source for People Searches, Modified site permissions, Removed user from group, Removed user from site collection, Renamed site, Requested site admin permissions, Set host site, Updated group</t>
  </si>
  <si>
    <t xml:space="preserve">The Office 365 Management APIs provide a single extensibility platform for all Office 365 customers’ and partners’ management tasks, including service communications, security, compliance, reporting, auditing, user management, and reseller management. All of the Office 365 Management APIs will be consistent in design and implementation with the current suite of Office 365 REST APIs, using common industry-standard approaches, including OAuth v2, OData v4, and JSON. Like the other Office 365 APIs, applications are registered in Azure Active Directory, giving developers a consistent way to authenticate and authorize their apps.
</t>
  </si>
  <si>
    <t>Office 365 Management Audit Log</t>
  </si>
  <si>
    <t xml:space="preserve">Microsoft Data Center Operator events can be identified by the UserType member being set to 3. This allow for organizations to specifically monitor the access and changes made by Microsoft Operators. </t>
  </si>
  <si>
    <t>Advanced Security Management</t>
  </si>
  <si>
    <t xml:space="preserve">Advanced Security Management in Office 365 gives you insights into suspicious activity in Office 365 so you can investigate situations that are potentially problematic and, if needed, take action to address security issues. You can also get Productivity app discovery, which lets you use the information from your organization's log files to understand and act on your users' app usage in Office 365 and other cloud apps. </t>
  </si>
  <si>
    <t>Review Sign ins from possibly infected devices</t>
  </si>
  <si>
    <t>This report attempts to identify your users' devices that that have become infected and are now part of a botnet (also known as a zombie army). We correlate IP addresses of users' sign ins against IP addresses that we know to be in contact with botnet servers.
It is important to identify compromised devices since they possibly carry more than one type of malware that threatens the system. Reach out to the user to get more information.</t>
  </si>
  <si>
    <t>10 immutable laws of security</t>
  </si>
  <si>
    <t>Windows Information Protection (WIP)</t>
  </si>
  <si>
    <t>Windows Information Protection (WIP), helps to protect against this potential data leakage without otherwise interfering with the employee experience. WIP also helps to protect enterprise apps and data against accidental data leak on enterprise-owned devices and personal devices that employees bring to work without requiring changes to your environment or other apps. Finally, another data protection technology, Azure Rights Management also works alongside WIP to extend data protection for data that leaves the device, such as when email attachments are sent from an enterprise aware version of a rights management mail client.</t>
  </si>
  <si>
    <t>Certificate Pinning</t>
  </si>
  <si>
    <t>Certificate and Public Key Pinning is a technical guide to implementing certificate and public key pinning. Windows 10 has built in functionality for certificate pinning while previous versions rely on EMET to provide this functionality.</t>
  </si>
  <si>
    <t>Force Outlook Autodiscovery</t>
  </si>
  <si>
    <t>By default, Outlook uses several methods to reach the AutoDiscover service. For example, for a computer that is not joined to a domain, Outlook tries to connect to the predefined URLs (for example, https://autodiscover.contoso.com/autodiscover/autodiscover.xml) by using DNS. If that fails, Outlook tries the HTTP redirect method. If that does not work, Outlook tries to use the SRV record lookup method. If all lookup methods fail, Outlook cannot obtain "Outlook Anywhere" configuration and URL settings. This setting forces the method used.</t>
  </si>
  <si>
    <t>Keeping the Operating systems up to date is key to protect from malicious code that makes the system vulnerable for attack. Office 365 has reports that provide information about devices connecting to the system.</t>
  </si>
  <si>
    <t>Intune</t>
  </si>
  <si>
    <t>Require password</t>
  </si>
  <si>
    <t>Ensure to enforce a healthy password policy on the devices. A weak password may trump other security investments made.</t>
  </si>
  <si>
    <t>Prevent simple passwords Mobile device does not prevent simple passwords</t>
  </si>
  <si>
    <t>Ensure to enforce a healthy password policy on the devices. A simple password may trump other security investments made,</t>
  </si>
  <si>
    <t>Require alphanumeric password</t>
  </si>
  <si>
    <t>Require minimum password length</t>
  </si>
  <si>
    <t>Require wipe on sign-in failures</t>
  </si>
  <si>
    <t>Lock mobile device on inactivity</t>
  </si>
  <si>
    <t>Expire password on Mobile Device</t>
  </si>
  <si>
    <t>Prevent password re-use on the device</t>
  </si>
  <si>
    <t>Require encryption on Mobile Device</t>
  </si>
  <si>
    <t>The encryption helps to safeguard information in the event a device is stolen or lost and someone attempt to extract information from the stolen device.</t>
  </si>
  <si>
    <t>Prevent jail broken or rooted devices from connecting</t>
  </si>
  <si>
    <t>Jail broken devices introduces a number of vulnerabilities to the overall system and should be blocked to maintain security of the system.</t>
  </si>
  <si>
    <t>Require managing email profile</t>
  </si>
  <si>
    <t>The following option can block users from accessing their Office 365 email if they’re using a manually created email profile.</t>
  </si>
  <si>
    <t>Hard Block clients if they violate policy</t>
  </si>
  <si>
    <t>The following option can block users from accessing their Office 365 if their client is violating the policies configured.</t>
  </si>
  <si>
    <t>Intune mobile app management</t>
  </si>
  <si>
    <t>Protecting your company data at the app level. Since mobile app management does not require device management, you can protect company data on both managed and unmanaged devices. The management is centered on the user identity, which removes the requirement for device management.</t>
  </si>
  <si>
    <t>Supervisory Review</t>
  </si>
  <si>
    <t>Supervisory review policies define which email communications in your organization need review for compliance, and who will perform those reviews. Use this report to see the total number of emails at each stage in the review process</t>
  </si>
  <si>
    <t>Advanced eDiscovery</t>
  </si>
  <si>
    <t>Azure Information Protection Classification</t>
  </si>
  <si>
    <t>Classify data based on source, context, and content at the time of creation or modification, either automatically or manually. Once classified, a persistent label is embedded in the data and actions such as visual marking and encryption can be taken based on the classification and label.</t>
  </si>
  <si>
    <t>Site classification feature</t>
  </si>
  <si>
    <t>Using the new site classification feature, you can apply a custom label to a SharePoint site and its associated Office 365 group. The label identifies the sensitivity of the information for the site and group. The site classification appears in the header of the site and group pages and serves as a reminder to users that your organization has guidance regarding the use and sharing of information on the site.</t>
  </si>
  <si>
    <t>Preserve E-mail</t>
  </si>
  <si>
    <t>Preservation Lock</t>
  </si>
  <si>
    <t>Some organizations may need to comply with rules defined by regulatory bodies such as the Securities and Exchange Commission (SEC) Rule 17a-4, which requires that after a preservation policy is turned on, it cannot be turned off or made less restrictive. To meet this requirement, you can use Preservation Lock. After a policy’s been locked, no one—including the administrator—can turn off the policy or make it less restrictive.</t>
  </si>
  <si>
    <t>Data Resilience DR</t>
  </si>
  <si>
    <t>In 2016, we expect to enable customers to generate and control their own keys for encrypting content in Office 365.</t>
  </si>
  <si>
    <t>Token Life time</t>
  </si>
  <si>
    <t>This feature allows you to create token lifetime policies. These policies define how long tokens issued by Azure AD are considered valid. This influences how often users must enter their credentials. These policies can be set as defaults that apply to all applications in a tenant and they can also be linked to applications or service principals. The policies are managed through Azure PowerShell.</t>
  </si>
  <si>
    <t>Review self-service password reset alt phone and email changes</t>
  </si>
  <si>
    <t>Modification of the contact details may show proof of illicit behavior in the environment.</t>
  </si>
  <si>
    <t>Password Age Meets Policy</t>
  </si>
  <si>
    <t>If the password age doesn't meet the policy reset the password to protect the environment.</t>
  </si>
  <si>
    <t>Password Age Policy &lt; 60 Days</t>
  </si>
  <si>
    <t>This determines how long users can keep a password before they have to change it. The aim is to force users to change their passwords periodically. Generally, you use a shorter period when security is important.</t>
  </si>
  <si>
    <t>Store secrets in a Key Vault</t>
  </si>
  <si>
    <t>Any script or code that uses authenticators should store it in a Secrets Management System. The same is true for other secrets such as certificates. Azure Key Vault helps safeguard cryptographic keys and secrets used by cloud applications and services. By using Key Vault, you can encrypt keys and secrets (such as authentication keys, storage account keys, data encryption keys, .PFX files, and passwords) by using keys that are protected by hardware security modules (HSMs). For added assurance, you can import or generate keys in HSMs. Key Vault streamlines the key management process and enables you to maintain control of keys that access and encrypt your data. Developers can create keys for development and testing in minutes, and then seamlessly migrate them to production keys. Security administrators can grant (and revoke) permission to keys, as needed.</t>
  </si>
  <si>
    <t>Tenant Admins MFA Enabled</t>
  </si>
  <si>
    <t>Users MFA Enabled</t>
  </si>
  <si>
    <t>Conditional Access SharePoint</t>
  </si>
  <si>
    <t>Conditional access in SharePoint and OneDrive goes beyond user permissions: it is based on a combination of factors, such as the identity of a user or group, the network that the user is connected to, the device and application they are using, and the type of data they are trying to access. The access granted to the user adapts to this broader set of conditions. With location-based conditional access policies in SharePoint Online, you can limit access to specific corporate networks or locations. For example, if you restrict access to only your corporate network, users will not be able to access organizational data when they leave the office. This policy helps you prevent access to organization’s data from rogue or insecure networks.</t>
  </si>
  <si>
    <t>Set-SPOTenant- IPAddressEnforcement $true|$false, Set-SPOTenant -IPAddressAllowList “IPList” </t>
  </si>
  <si>
    <t>Conditional Access Exchange</t>
  </si>
  <si>
    <t xml:space="preserve">Client access rules are like transport rules for client connections to your organization. You use conditions and exceptions to identify the connections based on the user or properties of the client or the connection, and actions that define what to do with those connections.
You need to be assigned permissions before you can run this cmdlet. Although all parameters for this cmdlet are listed in this topic, you may not have access to some parameters if they're not included in the permissions assigned to you. Access the administrative documentation set for your Exchange Online release to review the Managing Client Access Rules self-service administration article to determine which role based access control (RBAC) role assignment is required
</t>
  </si>
  <si>
    <t xml:space="preserve">Users can sign in to Active Directory Federation Services (AD FS)-enabled applications using any form of user identifier that is accepted by Active Directory Domain Services (AD DS). These include User Principal Names (UPNs) (e.g., jon@contoso.com) or domain qualified sam-account names (contoso\jon or contoso.com\jon).
You may want your users to use their email addresses when signing in. However, this may not be possible if your AD DS environment is not able to ensure that user UPNs match their email addresses. To solve this problem, you can enable the alternate login ID functionality. This allows you to configure a sign-in experience where the alternate login ID is an attribute of a user object in AD DS other than the UPN.
Alternate logon ID enables organizations to adopt SaaS providers, such as Office 365 with Azure AD, without modifying on-premises UPNs. </t>
  </si>
  <si>
    <t>Office365</t>
  </si>
  <si>
    <t>More than one Tenant Admin Designated</t>
  </si>
  <si>
    <t>Office 365</t>
  </si>
  <si>
    <t>More than 5 Tenant Admins</t>
  </si>
  <si>
    <t>Keep the number of high privileged administrators to a minimum to make the attack surface smaller.</t>
  </si>
  <si>
    <t>AD Connect Password Sync</t>
  </si>
  <si>
    <t>There are many things to take in to account when planning for incident response. In this section we have listed a number of considerations and actions in relation to Incident Response. Remember to create custom plans based on the other functions listed in the Customer master list. On top of incident plans organizations should have a process to integrate with the organizational problem resolution process. See the full Incident Response pivot to get a broader view on how to Prevent Detect Respond and Recover from incidents.</t>
  </si>
  <si>
    <t>Reset Password</t>
  </si>
  <si>
    <t>When a user's password is changed, the refresh token is invalidated. This results in the Office 365 session to be terminated.</t>
  </si>
  <si>
    <t>Inactivate Office 365 sessions</t>
  </si>
  <si>
    <t>This feature provides IT administrators the ability to invalidate a particular users Office 365 sessions across all their devices.</t>
  </si>
  <si>
    <t xml:space="preserve">Revoke-SPOUserSession </t>
  </si>
  <si>
    <t xml:space="preserve">Data spillage Exchange </t>
  </si>
  <si>
    <t xml:space="preserve">You can use the Content Search feature in Office 365 to search for and delete an email message from all mailboxes in your organization. This can help you find and remove the spilled information that contain sensitive data.
</t>
  </si>
  <si>
    <t>Filter Traffic to ADFS servers</t>
  </si>
  <si>
    <t>Policy</t>
  </si>
  <si>
    <t>Information Security Policy</t>
  </si>
  <si>
    <t>Review forwarding being setup</t>
  </si>
  <si>
    <t>Feature</t>
  </si>
  <si>
    <t>Portal</t>
  </si>
  <si>
    <t>Microsoft Intune is the management arm of Microsoft Enterprise Mobility + Security. Enterprise mobility is about enabling your employees to be productive on all of their devices while keeping your organization's information protected.</t>
  </si>
  <si>
    <t>Intune conditional Access Policy</t>
  </si>
  <si>
    <t>Intune Compliance policy settings are used to evaluate the compliance of the device. Conditional access policy uses the evaluation to restrict or allow access to a specific service. When a conditional access policy is used in combination with a compliance policy, only compliant devices will be allowed to access the service. The compliance policy and the conditional access policy are deployed to the user. Any device that the user uses to access the services is checked for compliance with the policies.</t>
  </si>
  <si>
    <t>Intune integration with Lookout</t>
  </si>
  <si>
    <t>You can control access from mobile devices to corporate resources, based on risk assessment conducted by Lookout, a device threat protection solution that is integrated with Microsoft Intune. The risk is based on telemetry that the Lookout service collects from devices for operating system (OS) vulnerabilities, installed malicious apps, and malicious network profiles. Based on Lookout's reported risk assessment enabled through Intune compliance policies, you can configure conditional access policies in Intune and allow or block devices that have been determined to be noncompliant due to threats detected on those devices.</t>
  </si>
  <si>
    <t xml:space="preserve">In Exchange Online both users and administrators can recover data. There may be situations where recoverable data is not available to end users where the recovery need to be conducted by customer administrators. Customer service administrators may need to make recoveries due to modifications of existing calendar items as an example. </t>
  </si>
  <si>
    <r>
      <t xml:space="preserve">Content Search and eDiscovery-related activities that are </t>
    </r>
    <r>
      <rPr>
        <u/>
        <sz val="9"/>
        <color theme="1"/>
        <rFont val="Calibri"/>
        <family val="2"/>
        <scheme val="minor"/>
      </rPr>
      <t>performed in Office 365 Security &amp; Compliance Center or by running the corresponding Windows PowerShell</t>
    </r>
    <r>
      <rPr>
        <sz val="9"/>
        <color theme="1"/>
        <rFont val="Calibri"/>
        <family val="2"/>
        <scheme val="minor"/>
      </rPr>
      <t xml:space="preserve"> cmdlets are logged in the Office 365 audit log. The following tasks are logged, Creating and managing eDiscovery cases, Creating, starting, and editing Content Searches, Performing Content Search actions, such as previewing, exporting, and deleting search results, Configuring permissions filtering for Content Search, Managing the eDiscovery Administrator role</t>
    </r>
  </si>
  <si>
    <t>With Advanced eDiscovery you can better understand your Office 365 data and reduce your eDiscovery costs. eDiscovery helps you analyze unstructured data within Office 365, perform more efficient document review, and make decisions to reduce data for eDiscovery</t>
  </si>
  <si>
    <t xml:space="preserve">Azure Multi-Factor Authentication helps safeguard access to data and applications while meeting user demand for a simple sign-in process. It provides additional security by requiring a second form of authentication and delivers strong authentication via a range of easy verification options:
- phone call 
- text message
- mobile app notification—allowing users to choose the method they prefer
- mobile app verification code
- 3rd party OAUTH tokens
Use Trusted IPs and the other methods provided by Azure to provide additional safeguards. </t>
  </si>
  <si>
    <t>Content Search and eDiscovery-related activities that are performed in Office 365 Security &amp; Compliance Center or by running the corresponding Windows PowerShell cmdlets are logged in the Office 365 audit log. The following tasks are logged, Creating and managing eDiscovery cases, Creating, starting, and editing Content Searches, Performing Content Search actions, such as previewing, exporting, and deleting search results, Configuring permissions filtering for Content Search, Managing the eDiscovery Administrator role</t>
  </si>
  <si>
    <t>The Authentication category covers the options and features available for authentication within Office 365. The list contains Microsoft technologies available both on-premises and in the cloud. Please see this information from the main Customer Security Considerations Pivot if you are using the FedRAMP control listing.</t>
  </si>
  <si>
    <t>The Identity category covers aspects such as how identities are provisioned and controlled, where they are stored, and how to keep them in sync. Please see this information from the main Customer Security Considerations Pivot if you are using the FedRAMP control listing.</t>
  </si>
  <si>
    <t>Do not elevate accounts used for user collaboration to admin privileges use dedicated identities for administrative accounts. Use a naming convention that make them discoverable.</t>
  </si>
  <si>
    <t>Exchange Online Advanced Threat Protection protects mailboxes against new, sophisticated attacks in real-time by protecting against unsafe attachments and malicious links. All suspicious content goes through a real-time behavioral malware analysis that uses machine learning techniques to evaluate the content for suspicious activity. Unsafe attachments are sandboxed in a detonation chamber before being sent to recipients.</t>
  </si>
  <si>
    <t>The malware and SPAM report may provide insight if particular users are more targeted than others within the organization. This may lead to more direct actions to educate the users affected as well as setting stricter Outlook rules.</t>
  </si>
  <si>
    <t>In the case that a phishing campaign has by passed the defenses use the data leakage process to identify and remove the messages from the system. Check flags such as read status to understand how many people may have been exposed.</t>
  </si>
  <si>
    <t>PowerShell cmdlets for Phishing and Anti Spam</t>
  </si>
  <si>
    <t>Do not forget the 10 immutable laws of security when you are securing your workstations. Ensure that the appropriate awareness trainings are done and settings that help users to adhere to them are in place.</t>
  </si>
  <si>
    <t xml:space="preserve">Some organizations may want to block access from the internet to their tenant and not allow direct password attempts through the external facing ADFS server. Not permitting Office 365 access from unknown network sources can be controlled by Client Policies, it doesn't however prevent external users from submitting passwords to the ADFS infrastructure.   It is possible to block all internet access except the Microsoft Online services to access the ADFS service. With modern authentication organizations may choose to not setup an ADFS proxy and only allow clients with access to the corporate network to receive tokens. Note that this should be thoroughly tested before implementation, please see the most current documentation for supported clients as well as administrative interfaces.
</t>
  </si>
  <si>
    <t>The Auditing category covers key aspects of information security that enable examination and re-creation of events. Auditing allow organizations to solve issues as well as to detect and investigate security issues and incidents. If reviewing this from the FedRAMP view please go to the full Customer Security Considerations view.</t>
  </si>
  <si>
    <t xml:space="preserve">This section of the reporting capture the file and folder activities in SharePoint Online and OneDrive for Business such as, Accessed file, Checked in file, Checked out file, Copied file, Deleted file, Discarded file checkout, Downloaded file, Modified file, Moved file, Renamed file, Restored file, Uploaded file. These can be invaluable to detect potential fraudulent behavior. </t>
  </si>
  <si>
    <t>The user sharing and access request activities in SharePoint Online and OneDrive for Business provide insight in to the key areas like Accepted access request, Accepted sharing invitation, Created a company-wide link, Created access request, Created an anonymous link, Created sharing invitation, Denied access request , Removed a company-wide link, Removed an anonymous link, Shared file, folder, or site, Updated an anonymous link, Used an anonymous link, Unshared file, folder, or site, Used a company-wide link, Withdrew sharing invitation.</t>
  </si>
  <si>
    <t>Although most organizations don't need to preserve all e-mail content a frequent practice used is to preserve all e-mail content to not running the risk of missing something in case of a subpoena. To place all mailboxes under hold, follow these instructions.</t>
  </si>
  <si>
    <t xml:space="preserve">Keeping the client applications and operating systems up to date is important to enable a consistent and secure IT environment. In this part we are referring to a few key resources  to review as well as features provided by Office 365 to keep your clients secure. </t>
  </si>
  <si>
    <t>There need to be an escalation chain defined for when and who to contact in case of a security incident. Note that this may include several instances within the organization. If a partner is used the escalation may best be directed to the partner initially.</t>
  </si>
  <si>
    <t xml:space="preserve">To properly understand dependencies across the environment it is beneficial to visualize them by creating maps. This helps visualizing how the solution fits together without reading through an endless amount of configuration checklists and architectural documents. Linking the visualized service map to the baseline configuration will make it easier to spot potential deviations as well as the impact that new solutions may have on the environment. </t>
  </si>
  <si>
    <t>O365</t>
  </si>
  <si>
    <t>Azure Information Protection</t>
  </si>
  <si>
    <t>Use Microsoft Azure Rights Management (Azure Information Protection) to help you protect your organization’s sensitive information from unauthorized access, and control how this information is used. Rights Management uses encryption, identity, and authorization policies to help secure your files and email. For example, you can configure a file so that it can be accessed only by people in your organization, or control whether the file can be edited, or restricted to read-only, or prevent it from being printed. You can configure emails similarly, and in addition, prevent them from being forwarded or prevent the use of the Reply All option.</t>
  </si>
  <si>
    <t>Portal Azure Information Protection</t>
  </si>
  <si>
    <t>Azure Information Protection Departmental Templates</t>
  </si>
  <si>
    <t>With Microsoft Azure Rights Management Services (Azure Information Protection), users are able to apply default templates that make it easy for them to apply policies to sensitive files that restrict access to authorized users in your organization.  In addition, the Information Protection sharing application (https://technet.microsoft.com/library/dn339006.aspx) lets users define their own set of permissions. And, for the Outlook client and Outlook Web Access, users can select the Do Not Forward option for email messages.</t>
  </si>
  <si>
    <t>After you have protected your documents by using the Azure Active Directory Rights Management Services (Information Protection) sharing application, you can track how people are using your protected documents, and if necessary, revoke access to them when you want to stop sharing. You can do this using the document tracking site, which can be accessed from Windows computers, Mac computers, and even from tablets and phones.
After an appropriate period of time, users should revoke access to sensitive information that has been shared to protect the information from potential leakage.</t>
  </si>
  <si>
    <t>By default, Azure Information Protection generates your tenant key and manages most aspects of the tenant key lifecycle. This is the simplest option with the lowest administrative overheads. Alternatively, your organization might require complete control over your tenant key, which involves creating your tenant key and keeping the master copy on your premises. This scenario is often referred to as bring your own key (BYOK). BYOK works seamlessly with every application that integrates with Azure Information Protection. This includes cloud services such as SharePoint Online, on-premises servers that run Exchange and SharePoint that work with Azure Information Protection by using the Information Protection connector, and client applications such as Office 2013 and Office 2016.  Azure Information Protection BYOK is not compatible with Exchange Online. If you want to use Exchange Online, we recommend that you deploy Azure Information Protection in the default key management mode now, where Microsoft generates and manages your key. You have the option to move to BYOK later, for example, when Exchange Online does support Azure Information Protection BYOK.</t>
  </si>
  <si>
    <t>Azure Information Protection Supported Clients</t>
  </si>
  <si>
    <t>To effectively use an encryption solution broad client support is required. Not all supported client devices currently support all Azure Active Directory Rights Management Services (Information Protection) capabilities. Information Protection supports computers running Windows 7 and higher, Mac OS X 10.8 and higher, Windows Phone 8.1 and higher, Android 4.0.3 and higher, and iOS 7 and higher on iPad and iPhone.</t>
  </si>
  <si>
    <t>SharePoint Information Protection Integration</t>
  </si>
  <si>
    <t>Within SharePoint, information right management (IRM) protection is applied to files at the list and library level. Before your organization can use IRM protection, you must first set up Azure Active Directory Rights Management Services (Information Protection). SharePoint Online IRM relies on Information Protection to encrypt and assign usage restrictions.
You can for example protect content stored in SharePoint site collections using Information Protection. This protects lawfully-downloaded information from leakage independently of storage.</t>
  </si>
  <si>
    <t>Exchange Information Protection Integration</t>
  </si>
  <si>
    <t>Azure Information Protection Logging</t>
  </si>
  <si>
    <t>Use the Azure Active Directory Rights Management Services (Information Protection) logs to audit requests, including requests from users, actions performed by Information Protection administrators in organizations, and actions performed by Microsoft operators to support Information Protection deployments. Information Protection writes logs in W3C extended log format into an Azure storage account that you provide.
Information Protection logging information is available to you in near-real time, so that you can continuously monitor your company’s use of Information Protection . 99.9% of logs are available within 15 minutes of an Information Protection-initiated action. For example, you might want to be alerted if there is a sudden increase of people reading Information Protection-protected data outside standard working hours, which could indicate that a malicious user is collecting information to sell to competitors. Or, if the same user apparently accesses data from two different IP addresses within a short time frame, which could indicate that a user account has been compromised.
If you have an information leak, you are likely to be asked who recently accessed specific documents and what information did a suspected person access recently. You can answer these type of questions when you use Information Protection and logging because people who use protected content must always get an Information Protection license to open documents and pictures that are protected by Information Protection, even if these files are moved by email or copied to USB drives or other storage devices. This means that you can use Information Protection logs as a definitive source of information for forensic analysis when you protect your data by using Information Protection.</t>
  </si>
  <si>
    <t>After you have protected your documents by using the Azure Active Directory Rights Management Services (Information Protection) sharing application, you can track how people are using your protected documents, and if necessary, revoke access to them when you want to stop sharing. To do this, you use the document tracking site, which you can access from Windows computers, Mac computers, and even from tablets and phones.
Use Azure Active Directory Information Protection to track usage of protected information. Senders can view which recipients have opened file(s), information about unauthorized access attempts, and view the most recent state of the file.</t>
  </si>
  <si>
    <t>Use the Azure Active Directory Rights Management Services (Information Protection) logs to audit requests, including requests from users, actions performed by Information Protection administrators in organizations, and actions performed by Microsoft operators to support Information Protection deployments. Information Protection writes logs in W3C extended log format into an Azure storage account that you provide.
Azure Active Directory Rights Management Services (Information Protection) logging can help you detect the use of protected information that may be out of policy or for forensic investigations. You can automate this process by consuming the security audit feed with a Security Information and Event Management system.</t>
  </si>
  <si>
    <t xml:space="preserve">Get-O365ClientBrowserDetailReport </t>
  </si>
  <si>
    <t>Get-O365ClientOSDetailReport</t>
  </si>
  <si>
    <t>SharePoint (Activity Report)</t>
  </si>
  <si>
    <t>The Authentication category covers the options and features available for authentication within Office 365. The list contains Microsoft technologies available both on-premises and in the cloud. Please see this information from the main Customer Security Considerations Pivot if you are using the Fed Ramp control listing.</t>
  </si>
  <si>
    <t>Delegate Admin privileges to more than user in case that the primary admin cannot fulfil the administrative duties.</t>
  </si>
  <si>
    <t>Disable Remote PowerShell</t>
  </si>
  <si>
    <t>If your organization performs Information Protection work that involves sharing documents or collaborating directly with vendors, clients, or customers, then you might want to use the external sharing features of SharePoint Online to share content with people outside your organization who do not have licenses for Office 365. See https://support.office.com/en-us/article/Manage-external-sharing-for-your-SharePoint-Online-environment-c8a462eb-0723-4b0b-8d0a-70feafe4be85 for more information about external sharing.
When sharing information externally, consider requiring external users who have received invitations to sign-in with a Microsoft account before they can access the content.</t>
  </si>
  <si>
    <t>Document Fingerprinting makes it easier for organizations to protect information by identifying standard for Information Protection that are used within the organization. Document Fingerprinting is a Data Loss Prevention (DLP) feature that converts a standard form into a sensitive information type, which you can use to define transport rules and DLP policies. For example, you can create a document fingerprint based on a blank patent template and then create a DLP policy that detects and blocks all outgoing patent templates with sensitive content filled in.</t>
  </si>
  <si>
    <t>The Auditing category covers key aspects of information security that enable examination and re-creation of events. Auditing allow organizations to solve issues as well as to detect and investigate security issues and incidents. If reviewing this from the Fed ramp view please go to the full Customer Security Considerations view.</t>
  </si>
  <si>
    <t>Keeping browsers up to date is key for safety and security as well as user experience. There are many vulnerabilities that make use of outdated browsers. Identity theft, phishing sites, viruses, Trojans, spyware, adware, to name a few of the malwares exploiting browser vulnerabilities.</t>
  </si>
  <si>
    <t>Strong password, not jailbroken, wipe if the incorrect password is used # of times and other policies that can be enforced if not met Office 365 will block the connection.</t>
  </si>
  <si>
    <t>Alternate Logon ID</t>
  </si>
  <si>
    <t>The Identity category covers aspects such as how identities are provisioned and controlled, where they are stored, and how to keep them in sync. Please see this information from the main Customer Security Considerations Pivot if you are using the Fed Ramp control listing.</t>
  </si>
  <si>
    <t>With directory sync, you can manage the entire lifecycle of your cloud user and group accounts using your on-premises Active Directory management tools. When password sync is enabled on your directory sync computer, your users will be able to sign into Microsoft cloud services, such as Office 365, Dynamics CRM, and Microsoft Intune, using the same password as they use when logging into your on-premises network. When your users change their passwords in your corporate network, those changes are synchronized to the cloud. Password synchronization presents a way for organization to lower the operational costs for identity management. Management of password policies occur on the authoritative directory.</t>
  </si>
  <si>
    <t>Customers are responsible for developing and maintaining appropriate Access Control policies and procedures that govern access management activities for their organization and users. Review Microsoft s Security Policy at the Service Trust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</si>
</sst>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1"/>
      <color theme="1"/>
      <name val="Calibri"/>
      <family val="2"/>
      <scheme val="minor"/>
    </font>
    <font>
      <b/>
      <sz val="9"/>
      <color rgb="FFFFFFFF"/>
      <name val="Calibri Light"/>
      <family val="2"/>
      <scheme val="major"/>
    </font>
    <font>
      <u/>
      <sz val="11"/>
      <color theme="10"/>
      <name val="Calibri"/>
      <family val="2"/>
      <scheme val="minor"/>
    </font>
    <font>
      <u/>
      <sz val="9"/>
      <color theme="10"/>
      <name val="Calibri"/>
      <family val="2"/>
      <scheme val="minor"/>
    </font>
    <font>
      <b/>
      <sz val="9"/>
      <color rgb="FFFFFFFF"/>
      <name val="Calibri Light"/>
      <family val="2"/>
    </font>
    <font>
      <b/>
      <sz val="10"/>
      <color rgb="FFFFFFFF"/>
      <name val="Calibri Light"/>
      <family val="2"/>
    </font>
    <font>
      <sz val="10"/>
      <color theme="0"/>
      <name val="Calibri"/>
      <family val="2"/>
      <scheme val="minor"/>
    </font>
    <font>
      <sz val="10"/>
      <color theme="1"/>
      <name val="Calibri"/>
      <family val="2"/>
      <scheme val="minor"/>
    </font>
    <font>
      <sz val="9"/>
      <name val="Calibri Light"/>
      <family val="2"/>
      <scheme val="major"/>
    </font>
    <font>
      <sz val="9"/>
      <color rgb="FFC00000"/>
      <name val="Courier New"/>
      <family val="3"/>
    </font>
    <font>
      <sz val="9"/>
      <color theme="1"/>
      <name val="Calibri"/>
      <family val="2"/>
      <scheme val="minor"/>
    </font>
    <font>
      <sz val="9"/>
      <color rgb="FFC00000"/>
      <name val="Calibri"/>
      <family val="2"/>
      <scheme val="minor"/>
    </font>
    <font>
      <sz val="9"/>
      <color rgb="FFC00000"/>
      <name val="Calibri Light"/>
      <family val="2"/>
      <scheme val="major"/>
    </font>
    <font>
      <sz val="11"/>
      <color theme="1"/>
      <name val="Calibri Light"/>
      <family val="2"/>
      <scheme val="major"/>
    </font>
    <font>
      <sz val="11"/>
      <color theme="0"/>
      <name val="Calibri"/>
      <family val="2"/>
      <scheme val="minor"/>
    </font>
    <font>
      <sz val="11"/>
      <color rgb="FFC00000"/>
      <name val="Courier New"/>
      <family val="3"/>
    </font>
    <font>
      <sz val="9"/>
      <color theme="0"/>
      <name val="Calibri"/>
      <family val="2"/>
      <scheme val="minor"/>
    </font>
    <font>
      <b/>
      <sz val="9"/>
      <color theme="0"/>
      <name val="Calibri"/>
      <family val="2"/>
      <scheme val="minor"/>
    </font>
    <font>
      <u/>
      <sz val="9"/>
      <color theme="1"/>
      <name val="Calibri"/>
      <family val="2"/>
      <scheme val="minor"/>
    </font>
    <font>
      <sz val="10"/>
      <name val="Calibri Light"/>
      <family val="2"/>
      <scheme val="major"/>
    </font>
    <font>
      <sz val="9"/>
      <color rgb="FF000000"/>
      <name val="Calibri"/>
      <family val="2"/>
      <scheme val="minor"/>
    </font>
    <font>
      <b/>
      <sz val="9"/>
      <color rgb="FFFFFFFF"/>
      <name val="Calibri"/>
      <family val="2"/>
      <scheme val="minor"/>
    </font>
    <font>
      <sz val="9"/>
      <name val="Calibri"/>
      <family val="2"/>
      <scheme val="minor"/>
    </font>
    <font>
      <b/>
      <sz val="9"/>
      <color rgb="FF3F3F3F"/>
      <name val="Calibri"/>
      <family val="2"/>
      <scheme val="minor"/>
    </font>
    <font>
      <sz val="8"/>
      <color theme="0"/>
      <name val="Calibri"/>
      <family val="2"/>
      <scheme val="minor"/>
    </font>
    <font>
      <sz val="8"/>
      <color theme="1"/>
      <name val="Calibri"/>
      <family val="2"/>
      <scheme val="minor"/>
    </font>
    <font>
      <u/>
      <sz val="9"/>
      <color rgb="FF0070C0"/>
      <name val="Calibri"/>
      <family val="2"/>
      <scheme val="minor"/>
    </font>
    <font>
      <sz val="9"/>
      <color rgb="FF0070C0"/>
      <name val="Calibri"/>
      <family val="2"/>
      <scheme val="minor"/>
    </font>
    <font>
      <sz val="9"/>
      <color rgb="FF0070C0"/>
      <name val="Courier New"/>
      <family val="3"/>
    </font>
    <font>
      <sz val="11"/>
      <color rgb="FF0070C0"/>
      <name val="Calibri"/>
      <family val="2"/>
      <scheme val="minor"/>
    </font>
  </fonts>
  <fills count="15">
    <fill>
      <patternFill patternType="none"/>
    </fill>
    <fill>
      <patternFill patternType="gray125"/>
    </fill>
    <fill>
      <patternFill patternType="solid">
        <fgColor theme="0" tint="-0.14999847407452621"/>
        <bgColor indexed="64"/>
      </patternFill>
    </fill>
    <fill>
      <patternFill patternType="solid">
        <fgColor theme="8" tint="0.39997558519241921"/>
        <bgColor indexed="65"/>
      </patternFill>
    </fill>
    <fill>
      <patternFill patternType="solid">
        <fgColor theme="0" tint="-4.9989318521683403E-2"/>
        <bgColor indexed="64"/>
      </patternFill>
    </fill>
    <fill>
      <patternFill patternType="solid">
        <fgColor rgb="FF70AD47"/>
        <bgColor indexed="64"/>
      </patternFill>
    </fill>
    <fill>
      <patternFill patternType="solid">
        <fgColor theme="9" tint="0.79998168889431442"/>
        <bgColor theme="9" tint="0.79998168889431442"/>
      </patternFill>
    </fill>
    <fill>
      <patternFill patternType="solid">
        <fgColor theme="9" tint="0.39997558519241921"/>
        <bgColor indexed="64"/>
      </patternFill>
    </fill>
    <fill>
      <patternFill patternType="solid">
        <fgColor theme="9"/>
      </patternFill>
    </fill>
    <fill>
      <patternFill patternType="solid">
        <fgColor theme="9"/>
        <bgColor theme="9"/>
      </patternFill>
    </fill>
    <fill>
      <patternFill patternType="solid">
        <fgColor theme="9" tint="0.59999389629810485"/>
        <bgColor theme="9" tint="0.59999389629810485"/>
      </patternFill>
    </fill>
    <fill>
      <patternFill patternType="solid">
        <fgColor theme="9"/>
        <bgColor theme="9" tint="0.59999389629810485"/>
      </patternFill>
    </fill>
    <fill>
      <patternFill patternType="solid">
        <fgColor theme="9"/>
        <bgColor theme="9" tint="0.79998168889431442"/>
      </patternFill>
    </fill>
    <fill>
      <patternFill patternType="solid">
        <fgColor theme="9"/>
        <bgColor indexed="64"/>
      </patternFill>
    </fill>
    <fill>
      <patternFill patternType="solid">
        <fgColor theme="6" tint="0.59999389629810485"/>
        <bgColor indexed="64"/>
      </patternFill>
    </fill>
  </fills>
  <borders count="26">
    <border>
      <left/>
      <right/>
      <top/>
      <bottom/>
      <diagonal/>
    </border>
    <border>
      <left style="medium">
        <color rgb="FF70AD47"/>
      </left>
      <right/>
      <top style="medium">
        <color rgb="FF70AD47"/>
      </top>
      <bottom style="medium">
        <color rgb="FF70AD47"/>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thin">
        <color theme="9"/>
      </left>
      <right style="thin">
        <color theme="9"/>
      </right>
      <top style="medium">
        <color rgb="FF4472C4"/>
      </top>
      <bottom style="medium">
        <color rgb="FF70AD47"/>
      </bottom>
      <diagonal/>
    </border>
    <border>
      <left style="thin">
        <color theme="9"/>
      </left>
      <right style="medium">
        <color rgb="FF70AD47"/>
      </right>
      <top style="medium">
        <color rgb="FF4472C4"/>
      </top>
      <bottom style="medium">
        <color rgb="FF70AD47"/>
      </bottom>
      <diagonal/>
    </border>
    <border>
      <left style="medium">
        <color rgb="FF70AD47"/>
      </left>
      <right style="thin">
        <color theme="9"/>
      </right>
      <top style="medium">
        <color rgb="FF4472C4"/>
      </top>
      <bottom style="medium">
        <color rgb="FF70AD47"/>
      </bottom>
      <diagonal/>
    </border>
    <border>
      <left style="thin">
        <color theme="9"/>
      </left>
      <right style="medium">
        <color rgb="FFA8D08D"/>
      </right>
      <top style="thin">
        <color theme="9"/>
      </top>
      <bottom style="medium">
        <color rgb="FFA8D08D"/>
      </bottom>
      <diagonal/>
    </border>
    <border>
      <left style="medium">
        <color rgb="FFA8D08D"/>
      </left>
      <right style="medium">
        <color rgb="FFA8D08D"/>
      </right>
      <top style="thin">
        <color theme="9"/>
      </top>
      <bottom style="medium">
        <color rgb="FFA8D08D"/>
      </bottom>
      <diagonal/>
    </border>
    <border>
      <left style="medium">
        <color rgb="FF70AD47"/>
      </left>
      <right style="medium">
        <color rgb="FF70AD47"/>
      </right>
      <top/>
      <bottom style="medium">
        <color rgb="FF70AD47"/>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9"/>
      </left>
      <right/>
      <top style="medium">
        <color rgb="FF4472C4"/>
      </top>
      <bottom/>
      <diagonal/>
    </border>
    <border>
      <left style="medium">
        <color rgb="FF70AD47"/>
      </left>
      <right/>
      <top style="medium">
        <color rgb="FF4472C4"/>
      </top>
      <bottom/>
      <diagonal/>
    </border>
    <border>
      <left style="medium">
        <color rgb="FF70AD47"/>
      </left>
      <right style="medium">
        <color rgb="FF70AD47"/>
      </right>
      <top style="medium">
        <color rgb="FF4472C4"/>
      </top>
      <bottom/>
      <diagonal/>
    </border>
    <border>
      <left style="thin">
        <color theme="9"/>
      </left>
      <right style="thin">
        <color theme="9"/>
      </right>
      <top style="thin">
        <color theme="9"/>
      </top>
      <bottom style="medium">
        <color rgb="FF8EAADB"/>
      </bottom>
      <diagonal/>
    </border>
    <border>
      <left/>
      <right/>
      <top style="medium">
        <color rgb="FF70AD47"/>
      </top>
      <bottom/>
      <diagonal/>
    </border>
    <border>
      <left style="thin">
        <color theme="9"/>
      </left>
      <right style="medium">
        <color rgb="FFA8D08D"/>
      </right>
      <top/>
      <bottom style="medium">
        <color rgb="FFA8D08D"/>
      </bottom>
      <diagonal/>
    </border>
    <border>
      <left/>
      <right/>
      <top/>
      <bottom style="medium">
        <color rgb="FFA8D08D"/>
      </bottom>
      <diagonal/>
    </border>
    <border>
      <left/>
      <right/>
      <top style="thin">
        <color theme="9"/>
      </top>
      <bottom/>
      <diagonal/>
    </border>
    <border>
      <left/>
      <right/>
      <top style="thin">
        <color theme="9"/>
      </top>
      <bottom style="medium">
        <color rgb="FFA8D08D"/>
      </bottom>
      <diagonal/>
    </border>
    <border>
      <left/>
      <right style="medium">
        <color rgb="FFA8D08D"/>
      </right>
      <top style="thin">
        <color theme="9"/>
      </top>
      <bottom style="medium">
        <color rgb="FFA8D08D"/>
      </bottom>
      <diagonal/>
    </border>
  </borders>
  <cellStyleXfs count="5">
    <xf numFmtId="0" fontId="0" fillId="0" borderId="0"/>
    <xf numFmtId="0" fontId="2" fillId="0" borderId="0" applyNumberFormat="0" applyFill="0" applyBorder="0" applyAlignment="0" applyProtection="0"/>
    <xf numFmtId="0" fontId="6" fillId="3" borderId="0" applyNumberFormat="0" applyBorder="0" applyAlignment="0" applyProtection="0"/>
    <xf numFmtId="0" fontId="2" fillId="0" borderId="0" applyNumberFormat="0"/>
    <xf numFmtId="0" fontId="14" fillId="8" borderId="0" applyNumberFormat="0" applyBorder="0" applyAlignment="0" applyProtection="0"/>
  </cellStyleXfs>
  <cellXfs count="136">
    <xf numFmtId="0" fontId="0" fillId="0" borderId="0" xfId="0"/>
    <xf numFmtId="0" fontId="0" fillId="2" borderId="0" xfId="0" applyFill="1"/>
    <xf numFmtId="0" fontId="0" fillId="2" borderId="0" xfId="0" applyFill="1" applyAlignment="1">
      <alignment wrapText="1"/>
    </xf>
    <xf numFmtId="0" fontId="0" fillId="4" borderId="0" xfId="0" applyFill="1"/>
    <xf numFmtId="0" fontId="7" fillId="2" borderId="0" xfId="0" applyFont="1" applyFill="1" applyAlignment="1">
      <alignment wrapText="1"/>
    </xf>
    <xf numFmtId="0" fontId="7" fillId="2" borderId="0" xfId="0" applyFont="1" applyFill="1"/>
    <xf numFmtId="49" fontId="0" fillId="2" borderId="0" xfId="0" applyNumberFormat="1" applyFill="1"/>
    <xf numFmtId="49" fontId="0" fillId="2" borderId="0" xfId="0" applyNumberFormat="1" applyFill="1" applyAlignment="1">
      <alignment wrapText="1"/>
    </xf>
    <xf numFmtId="0" fontId="10" fillId="2" borderId="0" xfId="0" applyFont="1" applyFill="1" applyAlignment="1">
      <alignment wrapText="1"/>
    </xf>
    <xf numFmtId="0" fontId="1" fillId="5" borderId="2" xfId="0" applyFont="1" applyFill="1" applyBorder="1" applyAlignment="1">
      <alignment vertical="center" wrapText="1"/>
    </xf>
    <xf numFmtId="0" fontId="1" fillId="5" borderId="3" xfId="0" applyFont="1" applyFill="1" applyBorder="1" applyAlignment="1">
      <alignment vertical="center" wrapText="1"/>
    </xf>
    <xf numFmtId="0" fontId="4" fillId="5" borderId="1" xfId="0" applyFont="1" applyFill="1" applyBorder="1" applyAlignment="1">
      <alignment vertical="center" wrapText="1"/>
    </xf>
    <xf numFmtId="0" fontId="5" fillId="5" borderId="2" xfId="0" applyFont="1" applyFill="1" applyBorder="1" applyAlignment="1">
      <alignment vertical="center" wrapText="1"/>
    </xf>
    <xf numFmtId="0" fontId="3" fillId="0" borderId="8" xfId="1" applyFont="1" applyBorder="1" applyAlignment="1">
      <alignment vertical="center" wrapText="1"/>
    </xf>
    <xf numFmtId="0" fontId="1" fillId="5" borderId="4" xfId="0" applyFont="1" applyFill="1" applyBorder="1" applyAlignment="1">
      <alignment vertical="center" wrapText="1"/>
    </xf>
    <xf numFmtId="0" fontId="1" fillId="5" borderId="5" xfId="0" applyFont="1" applyFill="1" applyBorder="1" applyAlignment="1">
      <alignment vertical="center" wrapText="1"/>
    </xf>
    <xf numFmtId="0" fontId="4" fillId="5" borderId="6" xfId="0" applyFont="1" applyFill="1" applyBorder="1" applyAlignment="1">
      <alignment vertical="center" wrapText="1"/>
    </xf>
    <xf numFmtId="0" fontId="5" fillId="5" borderId="4" xfId="0" applyFont="1" applyFill="1" applyBorder="1" applyAlignment="1">
      <alignment vertical="center" wrapText="1"/>
    </xf>
    <xf numFmtId="0" fontId="5" fillId="5" borderId="5" xfId="0" applyFont="1" applyFill="1" applyBorder="1" applyAlignment="1">
      <alignment vertical="center" wrapText="1"/>
    </xf>
    <xf numFmtId="0" fontId="1" fillId="5" borderId="9" xfId="0" applyFont="1" applyFill="1" applyBorder="1" applyAlignment="1">
      <alignment vertical="center" wrapText="1"/>
    </xf>
    <xf numFmtId="0" fontId="0" fillId="0" borderId="0" xfId="0"/>
    <xf numFmtId="0" fontId="0" fillId="4" borderId="0" xfId="0" applyFill="1"/>
    <xf numFmtId="0" fontId="0" fillId="2" borderId="0" xfId="0" applyFill="1"/>
    <xf numFmtId="0" fontId="13" fillId="2" borderId="0" xfId="0" applyFont="1" applyFill="1"/>
    <xf numFmtId="0" fontId="0" fillId="0" borderId="0" xfId="0" applyAlignment="1">
      <alignment wrapText="1"/>
    </xf>
    <xf numFmtId="0" fontId="2" fillId="0" borderId="0" xfId="3"/>
    <xf numFmtId="0" fontId="15" fillId="0" borderId="0" xfId="0" applyFont="1"/>
    <xf numFmtId="0" fontId="10" fillId="0" borderId="0" xfId="0" applyFont="1" applyAlignment="1">
      <alignment wrapText="1"/>
    </xf>
    <xf numFmtId="0" fontId="16" fillId="8" borderId="0" xfId="4" applyFont="1" applyAlignment="1">
      <alignment wrapText="1"/>
    </xf>
    <xf numFmtId="0" fontId="16" fillId="8" borderId="0" xfId="4" applyFont="1"/>
    <xf numFmtId="0" fontId="3" fillId="0" borderId="0" xfId="3" applyFont="1"/>
    <xf numFmtId="0" fontId="9" fillId="0" borderId="0" xfId="0" applyFont="1"/>
    <xf numFmtId="0" fontId="10" fillId="2" borderId="0" xfId="0" applyFont="1" applyFill="1"/>
    <xf numFmtId="0" fontId="10" fillId="0" borderId="0" xfId="0" applyFont="1" applyBorder="1" applyAlignment="1">
      <alignment wrapText="1"/>
    </xf>
    <xf numFmtId="0" fontId="3" fillId="0" borderId="0" xfId="3" applyFont="1" applyBorder="1"/>
    <xf numFmtId="0" fontId="9" fillId="0" borderId="0" xfId="0" applyFont="1" applyBorder="1"/>
    <xf numFmtId="0" fontId="4" fillId="5" borderId="4" xfId="0" applyFont="1" applyFill="1" applyBorder="1" applyAlignment="1">
      <alignment vertical="center" wrapText="1"/>
    </xf>
    <xf numFmtId="0" fontId="4" fillId="5" borderId="5" xfId="0" applyFont="1" applyFill="1" applyBorder="1" applyAlignment="1">
      <alignment vertical="center" wrapText="1"/>
    </xf>
    <xf numFmtId="0" fontId="3" fillId="0" borderId="0" xfId="3" applyFont="1" applyAlignment="1">
      <alignment wrapText="1"/>
    </xf>
    <xf numFmtId="0" fontId="9" fillId="0" borderId="0" xfId="0" applyFont="1" applyAlignment="1">
      <alignment wrapText="1"/>
    </xf>
    <xf numFmtId="0" fontId="17" fillId="9" borderId="10" xfId="0" applyFont="1" applyFill="1" applyBorder="1" applyAlignment="1">
      <alignment wrapText="1"/>
    </xf>
    <xf numFmtId="0" fontId="17" fillId="9" borderId="11" xfId="0" applyFont="1" applyFill="1" applyBorder="1" applyAlignment="1">
      <alignment wrapText="1"/>
    </xf>
    <xf numFmtId="0" fontId="16" fillId="8" borderId="12" xfId="4" applyFont="1" applyFill="1" applyBorder="1" applyAlignment="1">
      <alignment wrapText="1"/>
    </xf>
    <xf numFmtId="0" fontId="16" fillId="8" borderId="13" xfId="4" applyFont="1" applyFill="1" applyBorder="1" applyAlignment="1">
      <alignment wrapText="1"/>
    </xf>
    <xf numFmtId="0" fontId="10" fillId="6" borderId="12" xfId="0" applyFont="1" applyFill="1" applyBorder="1" applyAlignment="1">
      <alignment wrapText="1"/>
    </xf>
    <xf numFmtId="0" fontId="10" fillId="6" borderId="13" xfId="0" applyFont="1" applyFill="1" applyBorder="1" applyAlignment="1">
      <alignment wrapText="1"/>
    </xf>
    <xf numFmtId="0" fontId="10" fillId="10" borderId="12" xfId="0" applyFont="1" applyFill="1" applyBorder="1" applyAlignment="1">
      <alignment wrapText="1"/>
    </xf>
    <xf numFmtId="0" fontId="10" fillId="10" borderId="13" xfId="0" applyFont="1" applyFill="1" applyBorder="1" applyAlignment="1">
      <alignment wrapText="1"/>
    </xf>
    <xf numFmtId="0" fontId="10" fillId="10" borderId="14" xfId="0" applyFont="1" applyFill="1" applyBorder="1" applyAlignment="1">
      <alignment wrapText="1"/>
    </xf>
    <xf numFmtId="0" fontId="10" fillId="10" borderId="15" xfId="0" applyFont="1" applyFill="1" applyBorder="1" applyAlignment="1">
      <alignment wrapText="1"/>
    </xf>
    <xf numFmtId="0" fontId="9" fillId="6" borderId="13" xfId="0" applyFont="1" applyFill="1" applyBorder="1" applyAlignment="1">
      <alignment wrapText="1"/>
    </xf>
    <xf numFmtId="0" fontId="9" fillId="10" borderId="13" xfId="0" applyFont="1" applyFill="1" applyBorder="1" applyAlignment="1">
      <alignment wrapText="1"/>
    </xf>
    <xf numFmtId="0" fontId="9" fillId="10" borderId="15" xfId="0" applyFont="1" applyFill="1" applyBorder="1" applyAlignment="1">
      <alignment wrapText="1"/>
    </xf>
    <xf numFmtId="0" fontId="16" fillId="8" borderId="0" xfId="4" applyFont="1" applyFill="1" applyBorder="1" applyAlignment="1">
      <alignment wrapText="1"/>
    </xf>
    <xf numFmtId="0" fontId="9" fillId="6" borderId="0" xfId="0" applyFont="1" applyFill="1" applyBorder="1" applyAlignment="1">
      <alignment wrapText="1"/>
    </xf>
    <xf numFmtId="0" fontId="9" fillId="10" borderId="0" xfId="0" applyFont="1" applyFill="1" applyBorder="1" applyAlignment="1">
      <alignment wrapText="1"/>
    </xf>
    <xf numFmtId="49" fontId="8" fillId="8" borderId="0" xfId="4" applyNumberFormat="1" applyFont="1" applyBorder="1" applyAlignment="1">
      <alignment vertical="center" wrapText="1"/>
    </xf>
    <xf numFmtId="0" fontId="8" fillId="0" borderId="0" xfId="3" applyFont="1" applyBorder="1" applyAlignment="1">
      <alignment vertical="center" wrapText="1"/>
    </xf>
    <xf numFmtId="0" fontId="12" fillId="0" borderId="0" xfId="0" applyFont="1" applyBorder="1" applyAlignment="1">
      <alignment vertical="center" wrapText="1"/>
    </xf>
    <xf numFmtId="0" fontId="9" fillId="0" borderId="0" xfId="0" applyFont="1" applyBorder="1" applyAlignment="1">
      <alignment vertical="center" wrapText="1"/>
    </xf>
    <xf numFmtId="0" fontId="9" fillId="0" borderId="0" xfId="0" applyFont="1" applyBorder="1" applyAlignment="1">
      <alignment wrapText="1"/>
    </xf>
    <xf numFmtId="0" fontId="3" fillId="10" borderId="13" xfId="3" applyFont="1" applyFill="1" applyBorder="1" applyAlignment="1">
      <alignment wrapText="1"/>
    </xf>
    <xf numFmtId="0" fontId="3" fillId="6" borderId="13" xfId="3" applyFont="1" applyFill="1" applyBorder="1" applyAlignment="1">
      <alignment wrapText="1"/>
    </xf>
    <xf numFmtId="0" fontId="3" fillId="10" borderId="15" xfId="3" applyFont="1" applyFill="1" applyBorder="1" applyAlignment="1">
      <alignment wrapText="1"/>
    </xf>
    <xf numFmtId="0" fontId="9" fillId="6" borderId="13" xfId="0" applyFont="1" applyFill="1" applyBorder="1" applyAlignment="1">
      <alignment vertical="center" wrapText="1"/>
    </xf>
    <xf numFmtId="0" fontId="9" fillId="10" borderId="13" xfId="0" applyFont="1" applyFill="1" applyBorder="1" applyAlignment="1">
      <alignment vertical="center" wrapText="1"/>
    </xf>
    <xf numFmtId="0" fontId="0" fillId="4" borderId="0" xfId="0" applyFill="1" applyAlignment="1">
      <alignment wrapText="1"/>
    </xf>
    <xf numFmtId="0" fontId="3" fillId="10" borderId="13" xfId="1" applyFont="1" applyFill="1" applyBorder="1" applyAlignment="1">
      <alignment wrapText="1"/>
    </xf>
    <xf numFmtId="0" fontId="1" fillId="5" borderId="16" xfId="0" applyFont="1" applyFill="1" applyBorder="1" applyAlignment="1">
      <alignment vertical="center" wrapText="1"/>
    </xf>
    <xf numFmtId="0" fontId="4" fillId="5" borderId="17" xfId="0" applyFont="1" applyFill="1" applyBorder="1" applyAlignment="1">
      <alignment vertical="center" wrapText="1"/>
    </xf>
    <xf numFmtId="0" fontId="5" fillId="5" borderId="16" xfId="0" applyFont="1" applyFill="1" applyBorder="1" applyAlignment="1">
      <alignment vertical="center" wrapText="1"/>
    </xf>
    <xf numFmtId="0" fontId="1" fillId="5" borderId="18" xfId="0" applyFont="1" applyFill="1" applyBorder="1" applyAlignment="1">
      <alignment vertical="center" wrapText="1"/>
    </xf>
    <xf numFmtId="0" fontId="19" fillId="2" borderId="0" xfId="0" applyFont="1" applyFill="1" applyBorder="1" applyAlignment="1">
      <alignment vertical="center" wrapText="1"/>
    </xf>
    <xf numFmtId="0" fontId="0" fillId="6" borderId="19" xfId="0" applyFont="1" applyFill="1" applyBorder="1" applyAlignment="1">
      <alignment wrapText="1"/>
    </xf>
    <xf numFmtId="0" fontId="9" fillId="0" borderId="0" xfId="0" applyFont="1" applyAlignment="1">
      <alignment vertical="center" wrapText="1"/>
    </xf>
    <xf numFmtId="0" fontId="3" fillId="0" borderId="0" xfId="3" applyFont="1" applyBorder="1" applyAlignment="1">
      <alignment wrapText="1"/>
    </xf>
    <xf numFmtId="0" fontId="4" fillId="5" borderId="2" xfId="0" applyFont="1" applyFill="1" applyBorder="1" applyAlignment="1">
      <alignment vertical="center" wrapText="1"/>
    </xf>
    <xf numFmtId="49" fontId="10" fillId="2" borderId="0" xfId="0" applyNumberFormat="1" applyFont="1" applyFill="1" applyAlignment="1">
      <alignment wrapText="1"/>
    </xf>
    <xf numFmtId="0" fontId="21" fillId="5" borderId="4" xfId="0" applyFont="1" applyFill="1" applyBorder="1" applyAlignment="1">
      <alignment vertical="center" wrapText="1"/>
    </xf>
    <xf numFmtId="0" fontId="21" fillId="5" borderId="5" xfId="0" applyFont="1" applyFill="1" applyBorder="1" applyAlignment="1">
      <alignment vertical="center" wrapText="1"/>
    </xf>
    <xf numFmtId="0" fontId="21" fillId="5" borderId="6" xfId="0" applyFont="1" applyFill="1" applyBorder="1" applyAlignment="1">
      <alignment vertical="center" wrapText="1"/>
    </xf>
    <xf numFmtId="0" fontId="20" fillId="0" borderId="7" xfId="0" applyFont="1" applyBorder="1" applyAlignment="1">
      <alignment vertical="center" wrapText="1"/>
    </xf>
    <xf numFmtId="0" fontId="23" fillId="0" borderId="7" xfId="0" applyFont="1" applyBorder="1" applyAlignment="1">
      <alignment vertical="center" wrapText="1"/>
    </xf>
    <xf numFmtId="0" fontId="3" fillId="0" borderId="7" xfId="1" applyFont="1" applyBorder="1" applyAlignment="1">
      <alignment vertical="center" wrapText="1"/>
    </xf>
    <xf numFmtId="0" fontId="22" fillId="0" borderId="7" xfId="0" applyFont="1" applyBorder="1" applyAlignment="1">
      <alignment vertical="top" wrapText="1"/>
    </xf>
    <xf numFmtId="0" fontId="11" fillId="0" borderId="7" xfId="0" applyFont="1" applyBorder="1" applyAlignment="1">
      <alignment vertical="center" wrapText="1"/>
    </xf>
    <xf numFmtId="49" fontId="21" fillId="5" borderId="5" xfId="0" applyNumberFormat="1" applyFont="1" applyFill="1" applyBorder="1" applyAlignment="1">
      <alignment vertical="center" wrapText="1"/>
    </xf>
    <xf numFmtId="49" fontId="16" fillId="8" borderId="0" xfId="4" applyNumberFormat="1" applyFont="1" applyAlignment="1">
      <alignment wrapText="1"/>
    </xf>
    <xf numFmtId="49" fontId="10" fillId="0" borderId="0" xfId="0" applyNumberFormat="1" applyFont="1" applyAlignment="1">
      <alignment wrapText="1"/>
    </xf>
    <xf numFmtId="49" fontId="10" fillId="2" borderId="0" xfId="0" applyNumberFormat="1" applyFont="1" applyFill="1"/>
    <xf numFmtId="0" fontId="24" fillId="8" borderId="0" xfId="4" applyFont="1" applyAlignment="1">
      <alignment wrapText="1"/>
    </xf>
    <xf numFmtId="0" fontId="25" fillId="0" borderId="0" xfId="0" applyFont="1" applyAlignment="1">
      <alignment wrapText="1"/>
    </xf>
    <xf numFmtId="0" fontId="10" fillId="11" borderId="12" xfId="0" applyFont="1" applyFill="1" applyBorder="1" applyAlignment="1">
      <alignment wrapText="1"/>
    </xf>
    <xf numFmtId="0" fontId="10" fillId="11" borderId="13" xfId="0" applyFont="1" applyFill="1" applyBorder="1" applyAlignment="1">
      <alignment wrapText="1"/>
    </xf>
    <xf numFmtId="0" fontId="3" fillId="11" borderId="13" xfId="3" applyFont="1" applyFill="1" applyBorder="1" applyAlignment="1">
      <alignment wrapText="1"/>
    </xf>
    <xf numFmtId="0" fontId="9" fillId="11" borderId="13" xfId="0" applyFont="1" applyFill="1" applyBorder="1" applyAlignment="1">
      <alignment wrapText="1"/>
    </xf>
    <xf numFmtId="0" fontId="10" fillId="12" borderId="12" xfId="0" applyFont="1" applyFill="1" applyBorder="1" applyAlignment="1">
      <alignment wrapText="1"/>
    </xf>
    <xf numFmtId="0" fontId="10" fillId="12" borderId="13" xfId="0" applyFont="1" applyFill="1" applyBorder="1" applyAlignment="1">
      <alignment wrapText="1"/>
    </xf>
    <xf numFmtId="0" fontId="3" fillId="12" borderId="13" xfId="3" applyFont="1" applyFill="1" applyBorder="1" applyAlignment="1">
      <alignment wrapText="1"/>
    </xf>
    <xf numFmtId="0" fontId="9" fillId="12" borderId="13" xfId="0" applyFont="1" applyFill="1" applyBorder="1" applyAlignment="1">
      <alignment wrapText="1"/>
    </xf>
    <xf numFmtId="0" fontId="16" fillId="8" borderId="20" xfId="4" applyFont="1" applyBorder="1" applyAlignment="1">
      <alignment wrapText="1"/>
    </xf>
    <xf numFmtId="0" fontId="16" fillId="8" borderId="0" xfId="4" applyFont="1" applyBorder="1" applyAlignment="1">
      <alignment wrapText="1"/>
    </xf>
    <xf numFmtId="0" fontId="9" fillId="0" borderId="22" xfId="0" applyFont="1" applyBorder="1" applyAlignment="1">
      <alignment vertical="center" wrapText="1"/>
    </xf>
    <xf numFmtId="0" fontId="9" fillId="0" borderId="23" xfId="0" applyFont="1" applyBorder="1" applyAlignment="1">
      <alignment vertical="center" wrapText="1"/>
    </xf>
    <xf numFmtId="0" fontId="9" fillId="0" borderId="24" xfId="0" applyFont="1" applyBorder="1" applyAlignment="1">
      <alignment vertical="center" wrapText="1"/>
    </xf>
    <xf numFmtId="0" fontId="20" fillId="2" borderId="25" xfId="0" applyFont="1" applyFill="1" applyBorder="1" applyAlignment="1">
      <alignment vertical="center" wrapText="1"/>
    </xf>
    <xf numFmtId="0" fontId="11" fillId="0" borderId="21" xfId="0" applyFont="1" applyBorder="1" applyAlignment="1">
      <alignment vertical="center" wrapText="1"/>
    </xf>
    <xf numFmtId="0" fontId="11" fillId="0" borderId="0" xfId="0" applyFont="1" applyBorder="1" applyAlignment="1">
      <alignment vertical="center" wrapText="1"/>
    </xf>
    <xf numFmtId="0" fontId="11" fillId="7" borderId="0" xfId="0" applyFont="1" applyFill="1" applyBorder="1" applyAlignment="1">
      <alignment vertical="center" wrapText="1"/>
    </xf>
    <xf numFmtId="0" fontId="16" fillId="8" borderId="0" xfId="4" applyFont="1" applyBorder="1"/>
    <xf numFmtId="0" fontId="22" fillId="0" borderId="0" xfId="3" applyFont="1" applyAlignment="1">
      <alignment wrapText="1"/>
    </xf>
    <xf numFmtId="0" fontId="22" fillId="6" borderId="13" xfId="3" applyFont="1" applyFill="1" applyBorder="1" applyAlignment="1">
      <alignment wrapText="1"/>
    </xf>
    <xf numFmtId="0" fontId="3" fillId="0" borderId="0" xfId="1" applyFont="1"/>
    <xf numFmtId="0" fontId="10" fillId="0" borderId="0" xfId="0" applyFont="1" applyAlignment="1">
      <alignment wrapText="1"/>
    </xf>
    <xf numFmtId="0" fontId="3" fillId="0" borderId="0" xfId="3" applyFont="1" applyAlignment="1">
      <alignment wrapText="1"/>
    </xf>
    <xf numFmtId="0" fontId="3" fillId="10" borderId="13" xfId="1" applyFont="1" applyFill="1" applyBorder="1" applyAlignment="1">
      <alignment wrapText="1"/>
    </xf>
    <xf numFmtId="0" fontId="3" fillId="0" borderId="0" xfId="1" applyFont="1" applyAlignment="1">
      <alignment wrapText="1"/>
    </xf>
    <xf numFmtId="0" fontId="22" fillId="10" borderId="13" xfId="3" applyFont="1" applyFill="1" applyBorder="1" applyAlignment="1">
      <alignment wrapText="1"/>
    </xf>
    <xf numFmtId="0" fontId="3" fillId="6" borderId="13" xfId="1" applyFont="1" applyFill="1" applyBorder="1" applyAlignment="1">
      <alignment wrapText="1"/>
    </xf>
    <xf numFmtId="0" fontId="22" fillId="11" borderId="13" xfId="3" applyFont="1" applyFill="1" applyBorder="1" applyAlignment="1">
      <alignment wrapText="1"/>
    </xf>
    <xf numFmtId="0" fontId="10" fillId="13" borderId="0" xfId="0" applyFont="1" applyFill="1" applyAlignment="1">
      <alignment wrapText="1"/>
    </xf>
    <xf numFmtId="0" fontId="9" fillId="11" borderId="0" xfId="0" applyFont="1" applyFill="1" applyBorder="1" applyAlignment="1">
      <alignment wrapText="1"/>
    </xf>
    <xf numFmtId="49" fontId="26" fillId="0" borderId="0" xfId="3" applyNumberFormat="1" applyFont="1" applyBorder="1" applyAlignment="1">
      <alignment wrapText="1"/>
    </xf>
    <xf numFmtId="0" fontId="22" fillId="0" borderId="0" xfId="0" applyFont="1" applyBorder="1" applyAlignment="1">
      <alignment wrapText="1"/>
    </xf>
    <xf numFmtId="0" fontId="27" fillId="14" borderId="0" xfId="0" applyFont="1" applyFill="1" applyAlignment="1">
      <alignment wrapText="1"/>
    </xf>
    <xf numFmtId="0" fontId="26" fillId="14" borderId="0" xfId="3" applyFont="1" applyFill="1"/>
    <xf numFmtId="0" fontId="28" fillId="14" borderId="0" xfId="0" applyFont="1" applyFill="1"/>
    <xf numFmtId="0" fontId="29" fillId="14" borderId="0" xfId="0" applyFont="1" applyFill="1"/>
    <xf numFmtId="0" fontId="22" fillId="0" borderId="0" xfId="3" applyFont="1" applyBorder="1" applyAlignment="1">
      <alignment wrapText="1"/>
    </xf>
    <xf numFmtId="0" fontId="26" fillId="8" borderId="0" xfId="4" applyFont="1" applyAlignment="1">
      <alignment wrapText="1"/>
    </xf>
    <xf numFmtId="0" fontId="10" fillId="0" borderId="0" xfId="3" applyFont="1" applyAlignment="1">
      <alignment wrapText="1"/>
    </xf>
    <xf numFmtId="49" fontId="10" fillId="13" borderId="0" xfId="0" applyNumberFormat="1" applyFont="1" applyFill="1" applyAlignment="1">
      <alignment wrapText="1"/>
    </xf>
    <xf numFmtId="0" fontId="3" fillId="13" borderId="0" xfId="3" applyFont="1" applyFill="1"/>
    <xf numFmtId="0" fontId="9" fillId="13" borderId="0" xfId="0" applyFont="1" applyFill="1" applyAlignment="1">
      <alignment wrapText="1"/>
    </xf>
    <xf numFmtId="0" fontId="9" fillId="13" borderId="0" xfId="0" applyFont="1" applyFill="1" applyBorder="1" applyAlignment="1">
      <alignment wrapText="1"/>
    </xf>
    <xf numFmtId="0" fontId="10" fillId="13" borderId="0" xfId="3" applyFont="1" applyFill="1" applyAlignment="1">
      <alignment wrapText="1"/>
    </xf>
  </cellXfs>
  <cellStyles count="5">
    <cellStyle name="60% - Accent5" xfId="2" builtinId="48" customBuiltin="1"/>
    <cellStyle name="Accent6" xfId="4" builtinId="49"/>
    <cellStyle name="Hyperlink" xfId="1" builtinId="8"/>
    <cellStyle name="Hyperlink 2" xfId="3"/>
    <cellStyle name="Normal" xfId="0" builtinId="0"/>
  </cellStyles>
  <dxfs count="118">
    <dxf>
      <font>
        <strike val="0"/>
        <outline val="0"/>
        <shadow val="0"/>
        <vertAlign val="baseline"/>
        <sz val="9"/>
        <color auto="1"/>
        <name val="Calibri Light"/>
        <scheme val="major"/>
      </font>
      <alignment horizontal="general" vertical="center" textRotation="0" wrapText="1" indent="0" justifyLastLine="0" shrinkToFit="0" readingOrder="0"/>
    </dxf>
    <dxf>
      <font>
        <strike val="0"/>
        <outline val="0"/>
        <shadow val="0"/>
        <u val="none"/>
        <vertAlign val="baseline"/>
        <sz val="9"/>
        <color rgb="FFC00000"/>
        <name val="Calibri Light"/>
        <scheme val="major"/>
      </font>
      <alignment horizontal="general" vertical="center" textRotation="0" wrapText="1" indent="0" justifyLastLine="0" shrinkToFit="0" readingOrder="0"/>
      <border diagonalUp="0" diagonalDown="0" outline="0">
        <left style="medium">
          <color rgb="FF8EAADB"/>
        </left>
        <right style="medium">
          <color rgb="FF8EAADB"/>
        </right>
        <top/>
        <bottom style="medium">
          <color rgb="FF8EAADB"/>
        </bottom>
      </border>
    </dxf>
    <dxf>
      <font>
        <strike val="0"/>
        <outline val="0"/>
        <shadow val="0"/>
        <u val="none"/>
        <vertAlign val="baseline"/>
        <sz val="9"/>
        <color rgb="FFC00000"/>
        <name val="Calibri Light"/>
        <scheme val="major"/>
      </font>
      <alignment horizontal="general" vertical="center" textRotation="0" wrapText="1" indent="0" justifyLastLine="0" shrinkToFit="0" readingOrder="0"/>
      <border diagonalUp="0" diagonalDown="0" outline="0">
        <left style="medium">
          <color rgb="FFA8D08D"/>
        </left>
        <right/>
        <top/>
        <bottom style="medium">
          <color rgb="FF8EAADB"/>
        </bottom>
      </border>
    </dxf>
    <dxf>
      <font>
        <strike val="0"/>
        <outline val="0"/>
        <shadow val="0"/>
        <u val="none"/>
        <vertAlign val="baseline"/>
        <sz val="9"/>
        <color auto="1"/>
        <name val="Calibri Light"/>
        <scheme val="major"/>
      </font>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9"/>
        <color auto="1"/>
        <name val="Calibri Light"/>
        <scheme val="major"/>
      </font>
      <numFmt numFmtId="30" formatCode="@"/>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9"/>
        <color auto="1"/>
        <name val="Calibri Light"/>
        <scheme val="major"/>
      </font>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9"/>
        <color auto="1"/>
        <name val="Calibri Light"/>
        <scheme val="major"/>
      </font>
      <alignment horizontal="general" vertical="center" textRotation="0" wrapText="1" indent="0" justifyLastLine="0" shrinkToFit="0" readingOrder="0"/>
      <border diagonalUp="0" diagonalDown="0" outline="0">
        <left/>
        <right/>
        <top/>
        <bottom style="medium">
          <color rgb="FF8EAADB"/>
        </bottom>
      </border>
    </dxf>
    <dxf>
      <border outline="0">
        <top style="thin">
          <color rgb="FF9BC2E6"/>
        </top>
      </border>
    </dxf>
    <dxf>
      <border outline="0">
        <top style="medium">
          <color rgb="FF4472C4"/>
        </top>
        <bottom style="medium">
          <color rgb="FF8EAADB"/>
        </bottom>
      </border>
    </dxf>
    <dxf>
      <font>
        <strike val="0"/>
        <outline val="0"/>
        <shadow val="0"/>
        <vertAlign val="baseline"/>
        <sz val="9"/>
        <name val="Calibri Light"/>
        <scheme val="major"/>
      </font>
      <alignment horizontal="general" textRotation="0" wrapText="1" indent="0" justifyLastLine="0" shrinkToFit="0" readingOrder="0"/>
    </dxf>
    <dxf>
      <border outline="0">
        <bottom style="medium">
          <color rgb="FF70AD47"/>
        </bottom>
      </border>
    </dxf>
    <dxf>
      <font>
        <b/>
        <i val="0"/>
        <strike val="0"/>
        <condense val="0"/>
        <extend val="0"/>
        <outline val="0"/>
        <shadow val="0"/>
        <u val="none"/>
        <vertAlign val="baseline"/>
        <sz val="9"/>
        <color rgb="FFFFFFFF"/>
        <name val="Calibri Light"/>
        <scheme val="major"/>
      </font>
      <fill>
        <patternFill patternType="solid">
          <fgColor indexed="64"/>
          <bgColor rgb="FF70AD47"/>
        </patternFill>
      </fill>
      <alignment horizontal="general" vertical="center" textRotation="0" wrapText="1" indent="0" justifyLastLine="0" shrinkToFit="0" readingOrder="0"/>
      <border diagonalUp="0" diagonalDown="0" outline="0">
        <left style="medium">
          <color rgb="FF70AD47"/>
        </left>
        <right style="medium">
          <color rgb="FF70AD47"/>
        </right>
        <top/>
        <bottom/>
      </border>
    </dxf>
    <dxf>
      <font>
        <strike val="0"/>
        <outline val="0"/>
        <shadow val="0"/>
        <vertAlign val="baseline"/>
        <sz val="9"/>
        <color auto="1"/>
        <name val="Calibri Light"/>
        <scheme val="major"/>
      </font>
      <alignment horizontal="general" vertical="center" textRotation="0" wrapText="1" indent="0" justifyLastLine="0" shrinkToFit="0" readingOrder="0"/>
    </dxf>
    <dxf>
      <font>
        <strike val="0"/>
        <outline val="0"/>
        <shadow val="0"/>
        <u val="none"/>
        <vertAlign val="baseline"/>
        <sz val="9"/>
        <color rgb="FFC00000"/>
        <name val="Calibri Light"/>
        <scheme val="major"/>
      </font>
      <alignment horizontal="general" vertical="center" textRotation="0" wrapText="1" indent="0" justifyLastLine="0" shrinkToFit="0" readingOrder="0"/>
      <border diagonalUp="0" diagonalDown="0" outline="0">
        <left style="medium">
          <color rgb="FF8EAADB"/>
        </left>
        <right style="medium">
          <color rgb="FF8EAADB"/>
        </right>
        <top/>
        <bottom style="medium">
          <color rgb="FF8EAADB"/>
        </bottom>
      </border>
    </dxf>
    <dxf>
      <font>
        <strike val="0"/>
        <outline val="0"/>
        <shadow val="0"/>
        <u val="none"/>
        <vertAlign val="baseline"/>
        <sz val="9"/>
        <color rgb="FFC00000"/>
        <name val="Calibri Light"/>
        <scheme val="major"/>
      </font>
      <alignment horizontal="general" vertical="center" textRotation="0" wrapText="1" indent="0" justifyLastLine="0" shrinkToFit="0" readingOrder="0"/>
      <border diagonalUp="0" diagonalDown="0" outline="0">
        <left style="medium">
          <color rgb="FFA8D08D"/>
        </left>
        <right/>
        <top/>
        <bottom style="medium">
          <color rgb="FF8EAADB"/>
        </bottom>
      </border>
    </dxf>
    <dxf>
      <font>
        <strike val="0"/>
        <outline val="0"/>
        <shadow val="0"/>
        <u val="none"/>
        <vertAlign val="baseline"/>
        <sz val="9"/>
        <color auto="1"/>
        <name val="Calibri Light"/>
        <scheme val="major"/>
      </font>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9"/>
        <color auto="1"/>
        <name val="Calibri Light"/>
        <scheme val="major"/>
      </font>
      <numFmt numFmtId="30" formatCode="@"/>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9"/>
        <color auto="1"/>
        <name val="Calibri Light"/>
        <scheme val="major"/>
      </font>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9"/>
        <color auto="1"/>
        <name val="Calibri Light"/>
        <scheme val="major"/>
      </font>
      <alignment horizontal="general" vertical="center" textRotation="0" wrapText="1" indent="0" justifyLastLine="0" shrinkToFit="0" readingOrder="0"/>
      <border diagonalUp="0" diagonalDown="0" outline="0">
        <left/>
        <right/>
        <top/>
        <bottom style="medium">
          <color rgb="FF8EAADB"/>
        </bottom>
      </border>
    </dxf>
    <dxf>
      <border outline="0">
        <top style="thin">
          <color rgb="FF9BC2E6"/>
        </top>
      </border>
    </dxf>
    <dxf>
      <border outline="0">
        <top style="medium">
          <color rgb="FF4472C4"/>
        </top>
        <bottom style="medium">
          <color rgb="FF8EAADB"/>
        </bottom>
      </border>
    </dxf>
    <dxf>
      <font>
        <strike val="0"/>
        <outline val="0"/>
        <shadow val="0"/>
        <vertAlign val="baseline"/>
        <sz val="9"/>
        <name val="Calibri Light"/>
        <scheme val="none"/>
      </font>
      <alignment horizontal="general" textRotation="0" wrapText="1" indent="0" justifyLastLine="0" shrinkToFit="0" readingOrder="0"/>
    </dxf>
    <dxf>
      <border outline="0">
        <bottom style="medium">
          <color rgb="FF70AD47"/>
        </bottom>
      </border>
    </dxf>
    <dxf>
      <font>
        <strike val="0"/>
        <outline val="0"/>
        <shadow val="0"/>
        <vertAlign val="baseline"/>
        <sz val="9"/>
      </font>
      <alignment horizontal="general" vertical="bottom" textRotation="0" wrapText="1" indent="0" justifyLastLine="0" shrinkToFit="0" readingOrder="0"/>
    </dxf>
    <dxf>
      <font>
        <strike val="0"/>
        <outline val="0"/>
        <shadow val="0"/>
        <vertAlign val="baseline"/>
        <sz val="9"/>
      </font>
      <fill>
        <patternFill patternType="solid">
          <fgColor indexed="64"/>
          <bgColor theme="0" tint="-0.14999847407452621"/>
        </patternFill>
      </fill>
      <alignment horizontal="general" textRotation="0" wrapText="1" indent="0" justifyLastLine="0" shrinkToFit="0" readingOrder="0"/>
      <border diagonalUp="0" diagonalDown="0">
        <left style="medium">
          <color rgb="FFA8D08D"/>
        </left>
        <right/>
      </border>
    </dxf>
    <dxf>
      <font>
        <strike val="0"/>
        <outline val="0"/>
        <shadow val="0"/>
        <u val="none"/>
        <vertAlign val="baseline"/>
        <sz val="9"/>
        <color rgb="FFC00000"/>
        <name val="Courier New"/>
        <scheme val="none"/>
      </font>
      <fill>
        <patternFill patternType="solid">
          <fgColor indexed="64"/>
          <bgColor rgb="FFD9E2F3"/>
        </patternFill>
      </fill>
      <alignment horizontal="general" vertical="center" textRotation="0" wrapText="1" indent="0" justifyLastLine="0" shrinkToFit="0" readingOrder="0"/>
      <border diagonalUp="0" diagonalDown="0">
        <left style="medium">
          <color rgb="FFA8D08D"/>
        </left>
        <right style="medium">
          <color rgb="FF8EAADB"/>
        </right>
        <top/>
        <bottom style="medium">
          <color rgb="FF8EAADB"/>
        </bottom>
      </border>
    </dxf>
    <dxf>
      <font>
        <strike val="0"/>
        <outline val="0"/>
        <shadow val="0"/>
        <u val="none"/>
        <vertAlign val="baseline"/>
        <sz val="9"/>
        <color rgb="FFC00000"/>
        <name val="Calibri Light"/>
        <scheme val="major"/>
      </font>
      <fill>
        <patternFill patternType="solid">
          <fgColor indexed="64"/>
          <bgColor rgb="FFD9E2F3"/>
        </patternFill>
      </fill>
      <alignment horizontal="general" vertical="center" textRotation="0" wrapText="1" indent="0" justifyLastLine="0" shrinkToFit="0" readingOrder="0"/>
      <border diagonalUp="0" diagonalDown="0">
        <left/>
        <right style="medium">
          <color rgb="FF8EAADB"/>
        </right>
        <top/>
        <bottom style="medium">
          <color rgb="FF8EAADB"/>
        </bottom>
      </border>
    </dxf>
    <dxf>
      <font>
        <strike val="0"/>
        <outline val="0"/>
        <shadow val="0"/>
        <u val="none"/>
        <vertAlign val="baseline"/>
        <sz val="9"/>
        <color auto="1"/>
        <name val="Calibri Light"/>
        <scheme val="major"/>
      </font>
      <alignment horizontal="general" vertical="center" textRotation="0" wrapText="1" indent="0" justifyLastLine="0" shrinkToFit="0" readingOrder="0"/>
      <border diagonalUp="0" diagonalDown="0">
        <left style="medium">
          <color rgb="FF8EAADB"/>
        </left>
        <right/>
        <top/>
        <bottom style="medium">
          <color rgb="FF8EAADB"/>
        </bottom>
      </border>
    </dxf>
    <dxf>
      <font>
        <strike val="0"/>
        <outline val="0"/>
        <shadow val="0"/>
        <u val="none"/>
        <vertAlign val="baseline"/>
        <sz val="9"/>
        <color auto="1"/>
        <name val="Calibri Light"/>
        <scheme val="major"/>
      </font>
      <numFmt numFmtId="30" formatCode="@"/>
      <fill>
        <patternFill patternType="solid">
          <fgColor indexed="64"/>
          <bgColor rgb="FFD9E2F3"/>
        </patternFill>
      </fill>
      <alignment horizontal="general" vertical="center" textRotation="0" wrapText="1" indent="0" justifyLastLine="0" shrinkToFit="0" readingOrder="0"/>
      <border diagonalUp="0" diagonalDown="0">
        <left/>
        <right style="medium">
          <color rgb="FF8EAADB"/>
        </right>
        <top/>
        <bottom style="medium">
          <color rgb="FF8EAADB"/>
        </bottom>
      </border>
    </dxf>
    <dxf>
      <font>
        <b/>
        <strike val="0"/>
        <outline val="0"/>
        <shadow val="0"/>
        <u val="none"/>
        <vertAlign val="baseline"/>
        <sz val="9"/>
        <color rgb="FF3F3F3F"/>
        <name val="Calibri Light"/>
        <scheme val="major"/>
      </font>
      <fill>
        <patternFill patternType="solid">
          <fgColor indexed="64"/>
          <bgColor rgb="FFD9E2F3"/>
        </patternFill>
      </fill>
      <alignment horizontal="general" vertical="center" textRotation="0" wrapText="1" indent="0" justifyLastLine="0" shrinkToFit="0" readingOrder="0"/>
      <border diagonalUp="0" diagonalDown="0">
        <left/>
        <right style="medium">
          <color rgb="FF8EAADB"/>
        </right>
        <top/>
        <bottom style="medium">
          <color rgb="FF8EAADB"/>
        </bottom>
      </border>
    </dxf>
    <dxf>
      <font>
        <b/>
        <strike val="0"/>
        <outline val="0"/>
        <shadow val="0"/>
        <u val="none"/>
        <vertAlign val="baseline"/>
        <sz val="9"/>
        <color rgb="FF000000"/>
        <name val="Calibri Light"/>
        <scheme val="major"/>
      </font>
      <fill>
        <patternFill patternType="solid">
          <fgColor indexed="64"/>
          <bgColor rgb="FFD9E2F3"/>
        </patternFill>
      </fill>
      <alignment horizontal="general" vertical="center" textRotation="0" wrapText="1" indent="0" justifyLastLine="0" shrinkToFit="0" readingOrder="0"/>
      <border diagonalUp="0" diagonalDown="0">
        <left/>
        <right style="medium">
          <color rgb="FF8EAADB"/>
        </right>
        <top/>
        <bottom style="medium">
          <color rgb="FF8EAADB"/>
        </bottom>
      </border>
    </dxf>
    <dxf>
      <border outline="0">
        <top style="thin">
          <color rgb="FF9BC2E6"/>
        </top>
      </border>
    </dxf>
    <dxf>
      <border diagonalUp="0" diagonalDown="0">
        <left/>
        <right/>
        <top style="medium">
          <color rgb="FF4472C4"/>
        </top>
        <bottom style="medium">
          <color rgb="FF8EAADB"/>
        </bottom>
      </border>
    </dxf>
    <dxf>
      <font>
        <strike val="0"/>
        <outline val="0"/>
        <shadow val="0"/>
        <vertAlign val="baseline"/>
        <sz val="9"/>
      </font>
      <alignment horizontal="general" textRotation="0" wrapText="1" indent="0" justifyLastLine="0" shrinkToFit="0" readingOrder="0"/>
    </dxf>
    <dxf>
      <border outline="0">
        <bottom style="medium">
          <color rgb="FF70AD47"/>
        </bottom>
      </border>
    </dxf>
    <dxf>
      <font>
        <strike val="0"/>
        <outline val="0"/>
        <shadow val="0"/>
        <vertAlign val="baseline"/>
        <sz val="9"/>
      </font>
      <alignment horizontal="general" vertical="bottom" textRotation="0" wrapText="1" indent="0" justifyLastLine="0" shrinkToFit="0" readingOrder="0"/>
    </dxf>
    <dxf>
      <font>
        <sz val="10"/>
        <color rgb="FFC00000"/>
        <name val="Courier New"/>
        <scheme val="none"/>
      </font>
      <fill>
        <patternFill patternType="solid">
          <fgColor indexed="64"/>
          <bgColor theme="0"/>
        </patternFill>
      </fill>
      <alignment horizontal="general" vertical="center" textRotation="0" wrapText="1" indent="0" justifyLastLine="0" shrinkToFit="0" readingOrder="0"/>
      <border diagonalUp="0" diagonalDown="0">
        <left/>
        <right style="medium">
          <color rgb="FFA8D08D"/>
        </right>
        <top/>
        <bottom style="medium">
          <color rgb="FFA8D08D"/>
        </bottom>
        <vertical/>
        <horizontal/>
      </border>
    </dxf>
    <dxf>
      <font>
        <strike val="0"/>
        <outline val="0"/>
        <shadow val="0"/>
        <u val="none"/>
        <vertAlign val="baseline"/>
        <sz val="10"/>
        <color rgb="FFC00000"/>
        <name val="Calibri Light"/>
        <scheme val="none"/>
      </font>
      <fill>
        <patternFill patternType="solid">
          <fgColor indexed="64"/>
          <bgColor theme="0"/>
        </patternFill>
      </fill>
      <alignment horizontal="general" vertical="center" textRotation="0" wrapText="1" indent="0" justifyLastLine="0" shrinkToFit="0" readingOrder="0"/>
      <border diagonalUp="0" diagonalDown="0">
        <left/>
        <right style="medium">
          <color rgb="FFA8D08D"/>
        </right>
        <top/>
        <bottom style="medium">
          <color rgb="FFA8D08D"/>
        </bottom>
        <vertical/>
        <horizontal/>
      </border>
    </dxf>
    <dxf>
      <font>
        <strike val="0"/>
        <outline val="0"/>
        <shadow val="0"/>
        <u/>
        <vertAlign val="baseline"/>
        <sz val="9"/>
        <color theme="10"/>
        <name val="Calibri Light"/>
        <scheme val="major"/>
      </font>
      <fill>
        <patternFill patternType="solid">
          <fgColor indexed="64"/>
          <bgColor theme="0"/>
        </patternFill>
      </fill>
      <alignment horizontal="general" vertical="top" textRotation="0" wrapText="1" indent="0" justifyLastLine="0" shrinkToFit="0" readingOrder="0"/>
      <border diagonalUp="0" diagonalDown="0">
        <left style="medium">
          <color rgb="FFA8D08D"/>
        </left>
        <right style="medium">
          <color rgb="FFA8D08D"/>
        </right>
        <top/>
        <bottom style="medium">
          <color rgb="FFA8D08D"/>
        </bottom>
        <vertical/>
        <horizontal/>
      </border>
    </dxf>
    <dxf>
      <font>
        <strike val="0"/>
        <outline val="0"/>
        <shadow val="0"/>
        <u val="none"/>
        <vertAlign val="baseline"/>
        <sz val="9"/>
        <color auto="1"/>
        <name val="Calibri Light"/>
        <scheme val="major"/>
      </font>
      <numFmt numFmtId="30" formatCode="@"/>
      <fill>
        <patternFill patternType="solid">
          <fgColor indexed="64"/>
          <bgColor theme="0"/>
        </patternFill>
      </fill>
      <alignment horizontal="general" vertical="top" textRotation="0" wrapText="1" indent="0" justifyLastLine="0" shrinkToFit="0" readingOrder="0"/>
      <border diagonalUp="0" diagonalDown="0">
        <left/>
        <right style="medium">
          <color rgb="FFA8D08D"/>
        </right>
        <top/>
        <bottom style="medium">
          <color rgb="FFA8D08D"/>
        </bottom>
        <vertical/>
        <horizontal/>
      </border>
    </dxf>
    <dxf>
      <font>
        <strike val="0"/>
        <outline val="0"/>
        <shadow val="0"/>
        <u/>
        <vertAlign val="baseline"/>
        <sz val="9"/>
        <color theme="10"/>
        <name val="Calibri Light"/>
        <scheme val="major"/>
      </font>
      <numFmt numFmtId="30" formatCode="@"/>
      <fill>
        <patternFill patternType="solid">
          <fgColor indexed="64"/>
          <bgColor theme="0"/>
        </patternFill>
      </fill>
      <alignment horizontal="general" vertical="center" textRotation="0" wrapText="1" indent="0" justifyLastLine="0" shrinkToFit="0" readingOrder="0"/>
      <border diagonalUp="0" diagonalDown="0">
        <left/>
        <right style="medium">
          <color rgb="FFA8D08D"/>
        </right>
        <top/>
        <bottom style="medium">
          <color rgb="FFA8D08D"/>
        </bottom>
        <vertical/>
        <horizontal/>
      </border>
    </dxf>
    <dxf>
      <font>
        <b/>
        <strike val="0"/>
        <outline val="0"/>
        <shadow val="0"/>
        <u val="none"/>
        <vertAlign val="baseline"/>
        <sz val="9"/>
        <color rgb="FF3F3F3F"/>
        <name val="Calibri Light"/>
        <scheme val="major"/>
      </font>
      <fill>
        <patternFill patternType="solid">
          <fgColor indexed="64"/>
          <bgColor theme="0"/>
        </patternFill>
      </fill>
      <alignment horizontal="general" vertical="center" textRotation="0" wrapText="1" indent="0" justifyLastLine="0" shrinkToFit="0" readingOrder="0"/>
      <border diagonalUp="0" diagonalDown="0">
        <left/>
        <right style="medium">
          <color rgb="FFA8D08D"/>
        </right>
        <top/>
        <bottom style="medium">
          <color rgb="FFA8D08D"/>
        </bottom>
        <vertical/>
        <horizontal/>
      </border>
    </dxf>
    <dxf>
      <font>
        <b/>
        <strike val="0"/>
        <outline val="0"/>
        <shadow val="0"/>
        <u val="none"/>
        <vertAlign val="baseline"/>
        <sz val="9"/>
        <color rgb="FF000000"/>
        <name val="Calibri Light"/>
        <scheme val="major"/>
      </font>
      <fill>
        <patternFill patternType="solid">
          <fgColor indexed="64"/>
          <bgColor theme="0"/>
        </patternFill>
      </fill>
      <alignment horizontal="general" vertical="center" textRotation="0" wrapText="1" indent="0" justifyLastLine="0" shrinkToFit="0" readingOrder="0"/>
      <border diagonalUp="0" diagonalDown="0">
        <left/>
        <right style="medium">
          <color rgb="FFA8D08D"/>
        </right>
        <top/>
        <bottom style="medium">
          <color rgb="FFA8D08D"/>
        </bottom>
        <vertical/>
        <horizontal/>
      </border>
    </dxf>
    <dxf>
      <border outline="0">
        <top style="thin">
          <color rgb="FF9BC2E6"/>
        </top>
      </border>
    </dxf>
    <dxf>
      <border outline="0">
        <top style="medium">
          <color rgb="FF4472C4"/>
        </top>
        <bottom style="medium">
          <color rgb="FF8EAADB"/>
        </bottom>
      </border>
    </dxf>
    <dxf>
      <border outline="0">
        <bottom style="medium">
          <color rgb="FF70AD47"/>
        </bottom>
      </border>
    </dxf>
    <dxf>
      <font>
        <b/>
        <i val="0"/>
        <strike val="0"/>
        <condense val="0"/>
        <extend val="0"/>
        <outline val="0"/>
        <shadow val="0"/>
        <u val="none"/>
        <vertAlign val="baseline"/>
        <sz val="9"/>
        <color rgb="FFFFFFFF"/>
        <name val="Calibri Light"/>
        <scheme val="major"/>
      </font>
      <fill>
        <patternFill patternType="solid">
          <fgColor indexed="64"/>
          <bgColor rgb="FF70AD47"/>
        </patternFill>
      </fill>
      <alignment horizontal="general" vertical="center" textRotation="0" wrapText="1" indent="0" justifyLastLine="0" shrinkToFit="0" readingOrder="0"/>
      <border diagonalUp="0" diagonalDown="0" outline="0">
        <left style="medium">
          <color rgb="FF70AD47"/>
        </left>
        <right style="medium">
          <color rgb="FF70AD47"/>
        </right>
        <top/>
        <bottom/>
      </border>
    </dxf>
    <dxf>
      <font>
        <strike val="0"/>
        <outline val="0"/>
        <shadow val="0"/>
        <vertAlign val="baseline"/>
        <sz val="10"/>
        <color auto="1"/>
        <name val="Courier New"/>
        <scheme val="none"/>
      </font>
      <alignment horizontal="general" vertical="center" textRotation="0" wrapText="1" indent="0" justifyLastLine="0" shrinkToFit="0" readingOrder="0"/>
    </dxf>
    <dxf>
      <font>
        <strike val="0"/>
        <outline val="0"/>
        <shadow val="0"/>
        <u val="none"/>
        <vertAlign val="baseline"/>
        <sz val="10"/>
        <color rgb="FFC00000"/>
        <name val="Courier New"/>
        <scheme val="none"/>
      </font>
      <alignment horizontal="general" vertical="center" textRotation="0" wrapText="1" indent="0" justifyLastLine="0" shrinkToFit="0" readingOrder="0"/>
      <border diagonalUp="0" diagonalDown="0" outline="0">
        <left style="medium">
          <color rgb="FF8EAADB"/>
        </left>
        <right style="medium">
          <color rgb="FF8EAADB"/>
        </right>
        <top/>
        <bottom style="medium">
          <color rgb="FF8EAADB"/>
        </bottom>
      </border>
    </dxf>
    <dxf>
      <font>
        <strike val="0"/>
        <outline val="0"/>
        <shadow val="0"/>
        <u val="none"/>
        <vertAlign val="baseline"/>
        <sz val="10"/>
        <color rgb="FFC00000"/>
        <name val="Calibri Light"/>
        <scheme val="major"/>
      </font>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10"/>
        <color auto="1"/>
        <name val="Calibri Light"/>
        <scheme val="major"/>
      </font>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10"/>
        <color auto="1"/>
        <name val="Calibri Light"/>
        <scheme val="major"/>
      </font>
      <numFmt numFmtId="30" formatCode="@"/>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10"/>
        <color auto="1"/>
        <name val="Calibri Light"/>
        <scheme val="major"/>
      </font>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10"/>
        <color auto="1"/>
        <name val="Calibri Light"/>
        <scheme val="major"/>
      </font>
      <alignment horizontal="general" vertical="center" textRotation="0" wrapText="1" indent="0" justifyLastLine="0" shrinkToFit="0" readingOrder="0"/>
      <border diagonalUp="0" diagonalDown="0" outline="0">
        <left/>
        <right/>
        <top/>
        <bottom style="medium">
          <color rgb="FF8EAADB"/>
        </bottom>
      </border>
    </dxf>
    <dxf>
      <border outline="0">
        <top style="thin">
          <color rgb="FF9BC2E6"/>
        </top>
      </border>
    </dxf>
    <dxf>
      <border outline="0">
        <top style="medium">
          <color rgb="FF4472C4"/>
        </top>
        <bottom style="medium">
          <color rgb="FF8EAADB"/>
        </bottom>
      </border>
    </dxf>
    <dxf>
      <font>
        <strike val="0"/>
        <outline val="0"/>
        <shadow val="0"/>
        <vertAlign val="baseline"/>
        <sz val="10"/>
        <color auto="1"/>
        <name val="Courier New"/>
        <scheme val="none"/>
      </font>
      <alignment horizontal="general" vertical="center" textRotation="0" wrapText="1" indent="0" justifyLastLine="0" shrinkToFit="0" readingOrder="0"/>
    </dxf>
    <dxf>
      <border outline="0">
        <bottom style="medium">
          <color rgb="FF70AD47"/>
        </bottom>
      </border>
    </dxf>
    <dxf>
      <font>
        <b/>
        <i val="0"/>
        <strike val="0"/>
        <condense val="0"/>
        <extend val="0"/>
        <outline val="0"/>
        <shadow val="0"/>
        <u val="none"/>
        <vertAlign val="baseline"/>
        <sz val="9"/>
        <color rgb="FFFFFFFF"/>
        <name val="Calibri Light"/>
        <scheme val="major"/>
      </font>
      <fill>
        <patternFill patternType="solid">
          <fgColor indexed="64"/>
          <bgColor rgb="FF70AD47"/>
        </patternFill>
      </fill>
      <alignment horizontal="general" vertical="center" textRotation="0" wrapText="1" indent="0" justifyLastLine="0" shrinkToFit="0" readingOrder="0"/>
      <border diagonalUp="0" diagonalDown="0" outline="0">
        <left style="medium">
          <color rgb="FF70AD47"/>
        </left>
        <right style="medium">
          <color rgb="FF70AD47"/>
        </right>
        <top/>
        <bottom/>
      </border>
    </dxf>
    <dxf>
      <font>
        <b val="0"/>
        <i val="0"/>
        <strike val="0"/>
        <condense val="0"/>
        <extend val="0"/>
        <outline val="0"/>
        <shadow val="0"/>
        <u val="none"/>
        <vertAlign val="baseline"/>
        <sz val="10"/>
        <color auto="1"/>
        <name val="Courier New"/>
        <scheme val="none"/>
      </font>
      <fill>
        <patternFill patternType="solid">
          <fgColor indexed="64"/>
          <bgColor rgb="FFD9E2F3"/>
        </patternFill>
      </fill>
      <alignment horizontal="general" vertical="center" textRotation="0" wrapText="1" indent="0" justifyLastLine="0" shrinkToFit="0" readingOrder="0"/>
      <border diagonalUp="0" diagonalDown="0" outline="0">
        <left style="medium">
          <color rgb="FF8EAADB"/>
        </left>
        <right style="medium">
          <color rgb="FF8EAADB"/>
        </right>
        <top/>
        <bottom style="medium">
          <color rgb="FF8EAADB"/>
        </bottom>
      </border>
    </dxf>
    <dxf>
      <font>
        <strike val="0"/>
        <outline val="0"/>
        <shadow val="0"/>
        <u val="none"/>
        <vertAlign val="baseline"/>
        <sz val="9"/>
        <color rgb="FFC00000"/>
        <name val="Courier New"/>
        <scheme val="none"/>
      </font>
      <alignment horizontal="general" vertical="center" textRotation="0" wrapText="1" indent="0" justifyLastLine="0" shrinkToFit="0" readingOrder="0"/>
      <border diagonalUp="0" diagonalDown="0" outline="0">
        <left style="medium">
          <color rgb="FF8EAADB"/>
        </left>
        <right style="medium">
          <color rgb="FF8EAADB"/>
        </right>
        <top/>
        <bottom style="medium">
          <color rgb="FF8EAADB"/>
        </bottom>
      </border>
    </dxf>
    <dxf>
      <font>
        <strike val="0"/>
        <outline val="0"/>
        <shadow val="0"/>
        <u val="none"/>
        <vertAlign val="baseline"/>
        <sz val="9"/>
        <color rgb="FFC00000"/>
        <name val="Calibri Light"/>
        <scheme val="major"/>
      </font>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9"/>
        <color auto="1"/>
        <name val="Calibri Light"/>
        <scheme val="major"/>
      </font>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9"/>
        <color auto="1"/>
        <name val="Calibri Light"/>
        <scheme val="major"/>
      </font>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9"/>
        <color auto="1"/>
        <name val="Calibri Light"/>
        <scheme val="major"/>
      </font>
      <numFmt numFmtId="30" formatCode="@"/>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9"/>
        <color auto="1"/>
        <name val="Calibri Light"/>
        <scheme val="major"/>
      </font>
      <alignment horizontal="general" vertical="center" textRotation="0" wrapText="1" indent="0" justifyLastLine="0" shrinkToFit="0" readingOrder="0"/>
      <border diagonalUp="0" diagonalDown="0" outline="0">
        <left style="medium">
          <color rgb="FF8EAADB"/>
        </left>
        <right/>
        <top/>
        <bottom style="medium">
          <color rgb="FF8EAADB"/>
        </bottom>
      </border>
    </dxf>
    <dxf>
      <font>
        <strike val="0"/>
        <outline val="0"/>
        <shadow val="0"/>
        <u val="none"/>
        <vertAlign val="baseline"/>
        <sz val="9"/>
        <color auto="1"/>
        <name val="Calibri Light"/>
        <scheme val="major"/>
      </font>
      <alignment horizontal="general" vertical="center" textRotation="0" wrapText="1" indent="0" justifyLastLine="0" shrinkToFit="0" readingOrder="0"/>
      <border diagonalUp="0" diagonalDown="0" outline="0">
        <left/>
        <right/>
        <top/>
        <bottom style="medium">
          <color rgb="FF8EAADB"/>
        </bottom>
      </border>
    </dxf>
    <dxf>
      <border outline="0">
        <top style="thin">
          <color rgb="FF9BC2E6"/>
        </top>
      </border>
    </dxf>
    <dxf>
      <border outline="0">
        <top style="medium">
          <color rgb="FF4472C4"/>
        </top>
        <bottom style="medium">
          <color rgb="FF8EAADB"/>
        </bottom>
      </border>
    </dxf>
    <dxf>
      <font>
        <strike val="0"/>
        <outline val="0"/>
        <shadow val="0"/>
        <vertAlign val="baseline"/>
        <sz val="10"/>
        <color auto="1"/>
        <name val="Courier New"/>
        <scheme val="none"/>
      </font>
      <alignment horizontal="general" vertical="center" textRotation="0" wrapText="1" indent="0" justifyLastLine="0" shrinkToFit="0" readingOrder="0"/>
    </dxf>
    <dxf>
      <border outline="0">
        <bottom style="medium">
          <color rgb="FF4472C4"/>
        </bottom>
      </border>
    </dxf>
    <dxf>
      <font>
        <b/>
        <i val="0"/>
        <strike val="0"/>
        <condense val="0"/>
        <extend val="0"/>
        <outline val="0"/>
        <shadow val="0"/>
        <u val="none"/>
        <vertAlign val="baseline"/>
        <sz val="10"/>
        <color rgb="FFFFFFFF"/>
        <name val="Calibri Light"/>
        <scheme val="none"/>
      </font>
      <fill>
        <patternFill patternType="solid">
          <fgColor indexed="64"/>
          <bgColor rgb="FF4472C4"/>
        </patternFill>
      </fill>
      <alignment horizontal="general" vertical="center" textRotation="0" wrapText="1" indent="0" justifyLastLine="0" shrinkToFit="0" readingOrder="0"/>
    </dxf>
    <dxf>
      <font>
        <b val="0"/>
        <i val="0"/>
        <strike val="0"/>
        <condense val="0"/>
        <extend val="0"/>
        <outline val="0"/>
        <shadow val="0"/>
        <u val="none"/>
        <vertAlign val="baseline"/>
        <sz val="9"/>
        <color rgb="FFC00000"/>
        <name val="Courier New"/>
        <scheme val="none"/>
      </font>
      <fill>
        <patternFill patternType="solid">
          <fgColor theme="9" tint="0.59999389629810485"/>
          <bgColor theme="9" tint="0.59999389629810485"/>
        </patternFill>
      </fill>
      <alignment horizontal="general" vertical="bottom" textRotation="0" wrapText="1" indent="0" justifyLastLine="0" shrinkToFit="0" readingOrder="0"/>
    </dxf>
    <dxf>
      <font>
        <b val="0"/>
        <i val="0"/>
        <strike val="0"/>
        <condense val="0"/>
        <extend val="0"/>
        <outline val="0"/>
        <shadow val="0"/>
        <u val="none"/>
        <vertAlign val="baseline"/>
        <sz val="9"/>
        <color rgb="FFC00000"/>
        <name val="Courier New"/>
        <scheme val="none"/>
      </font>
      <fill>
        <patternFill patternType="solid">
          <fgColor theme="9" tint="0.59999389629810485"/>
          <bgColor theme="9" tint="0.59999389629810485"/>
        </patternFill>
      </fill>
      <alignment horizontal="general"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rgb="FFC00000"/>
        <name val="Courier New"/>
        <scheme val="none"/>
      </font>
      <fill>
        <patternFill patternType="solid">
          <fgColor theme="9" tint="0.59999389629810485"/>
          <bgColor theme="9" tint="0.59999389629810485"/>
        </patternFill>
      </fill>
      <alignment horizontal="general"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ertAlign val="baseline"/>
        <sz val="9"/>
        <color theme="10"/>
        <name val="Calibri"/>
        <scheme val="minor"/>
      </font>
      <fill>
        <patternFill patternType="solid">
          <fgColor theme="9" tint="0.59999389629810485"/>
          <bgColor theme="9" tint="0.59999389629810485"/>
        </patternFill>
      </fill>
      <alignment horizontal="general"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name val="Calibri"/>
        <scheme val="minor"/>
      </font>
      <alignment horizontal="general" vertical="bottom" textRotation="0" wrapText="1" indent="0" justifyLastLine="0" shrinkToFit="0" readingOrder="0"/>
    </dxf>
    <dxf>
      <font>
        <b val="0"/>
        <i val="0"/>
        <strike val="0"/>
        <condense val="0"/>
        <extend val="0"/>
        <outline val="0"/>
        <shadow val="0"/>
        <u/>
        <vertAlign val="baseline"/>
        <sz val="9"/>
        <color theme="10"/>
        <name val="Calibri"/>
        <scheme val="minor"/>
      </font>
      <fill>
        <patternFill patternType="solid">
          <fgColor theme="9" tint="0.59999389629810485"/>
          <bgColor theme="9" tint="0.59999389629810485"/>
        </patternFill>
      </fill>
      <alignment horizontal="general"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name val="Calibri"/>
        <scheme val="minor"/>
      </font>
      <fill>
        <patternFill patternType="solid">
          <fgColor theme="9" tint="0.59999389629810485"/>
          <bgColor theme="9" tint="0.59999389629810485"/>
        </patternFill>
      </fill>
      <alignment horizontal="general"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9"/>
        <color theme="1"/>
        <name val="Calibri"/>
        <scheme val="minor"/>
      </font>
      <fill>
        <patternFill patternType="solid">
          <fgColor theme="9" tint="0.59999389629810485"/>
          <bgColor theme="9" tint="0.59999389629810485"/>
        </patternFill>
      </fill>
      <alignment horizontal="general" vertical="bottom" textRotation="0" wrapText="1" indent="0" justifyLastLine="0" shrinkToFit="0" readingOrder="0"/>
      <border diagonalUp="0" diagonalDown="0">
        <left/>
        <right style="thin">
          <color theme="0"/>
        </right>
        <top style="thin">
          <color theme="0"/>
        </top>
        <bottom style="thin">
          <color theme="0"/>
        </bottom>
        <vertical/>
        <horizontal/>
      </border>
    </dxf>
    <dxf>
      <border outline="0">
        <bottom style="thick">
          <color theme="0"/>
        </bottom>
      </border>
    </dxf>
    <dxf>
      <font>
        <b/>
        <i val="0"/>
        <strike val="0"/>
        <condense val="0"/>
        <extend val="0"/>
        <outline val="0"/>
        <shadow val="0"/>
        <u val="none"/>
        <vertAlign val="baseline"/>
        <sz val="9"/>
        <color theme="0"/>
        <name val="Calibri"/>
        <scheme val="minor"/>
      </font>
      <fill>
        <patternFill patternType="solid">
          <fgColor theme="9"/>
          <bgColor theme="9"/>
        </patternFill>
      </fill>
      <alignment horizontal="general" vertical="bottom"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9"/>
        <color rgb="FFC00000"/>
        <name val="Courier New"/>
        <scheme val="none"/>
      </font>
      <fill>
        <patternFill patternType="solid">
          <fgColor indexed="64"/>
          <bgColor rgb="FFE2EFD9"/>
        </patternFill>
      </fill>
      <alignment horizontal="general" vertical="center" textRotation="0" wrapText="1" indent="0" justifyLastLine="0" shrinkToFit="0" readingOrder="0"/>
      <border diagonalUp="0" diagonalDown="0">
        <left style="thin">
          <color theme="9"/>
        </left>
        <right style="medium">
          <color rgb="FFA8D08D"/>
        </right>
        <top style="thin">
          <color theme="9"/>
        </top>
        <bottom style="medium">
          <color rgb="FFA8D08D"/>
        </bottom>
        <vertical/>
      </border>
    </dxf>
    <dxf>
      <font>
        <strike val="0"/>
        <outline val="0"/>
        <shadow val="0"/>
        <vertAlign val="baseline"/>
        <sz val="9"/>
        <color rgb="FFC00000"/>
        <name val="Courier New"/>
        <scheme val="none"/>
      </font>
      <fill>
        <patternFill patternType="solid">
          <fgColor indexed="64"/>
          <bgColor rgb="FFE2EFD9"/>
        </patternFill>
      </fill>
      <alignment horizontal="general" vertical="center" textRotation="0" wrapText="1" indent="0" justifyLastLine="0" shrinkToFit="0" readingOrder="0"/>
      <border diagonalUp="0" diagonalDown="0" outline="0">
        <left style="thin">
          <color theme="9"/>
        </left>
        <right style="medium">
          <color rgb="FFA8D08D"/>
        </right>
        <top style="thin">
          <color theme="9"/>
        </top>
        <bottom style="medium">
          <color rgb="FFA8D08D"/>
        </bottom>
      </border>
    </dxf>
    <dxf>
      <font>
        <strike val="0"/>
        <outline val="0"/>
        <shadow val="0"/>
        <vertAlign val="baseline"/>
        <sz val="9"/>
        <color rgb="FFC00000"/>
        <name val="Calibri Light"/>
        <scheme val="none"/>
      </font>
      <fill>
        <patternFill patternType="solid">
          <fgColor indexed="64"/>
          <bgColor rgb="FFE2EFD9"/>
        </patternFill>
      </fill>
      <alignment horizontal="general" vertical="center" textRotation="0" wrapText="1" indent="0" justifyLastLine="0" shrinkToFit="0" readingOrder="0"/>
      <border diagonalUp="0" diagonalDown="0" outline="0">
        <left style="thin">
          <color theme="9"/>
        </left>
        <right style="medium">
          <color rgb="FFA8D08D"/>
        </right>
        <top style="thin">
          <color theme="9"/>
        </top>
        <bottom style="medium">
          <color rgb="FFA8D08D"/>
        </bottom>
      </border>
    </dxf>
    <dxf>
      <font>
        <strike val="0"/>
        <outline val="0"/>
        <shadow val="0"/>
        <vertAlign val="baseline"/>
        <sz val="9"/>
      </font>
      <fill>
        <patternFill patternType="solid">
          <fgColor indexed="64"/>
          <bgColor rgb="FFE2EFD9"/>
        </patternFill>
      </fill>
      <alignment horizontal="general" vertical="top" textRotation="0" wrapText="1" indent="0" justifyLastLine="0" shrinkToFit="0" readingOrder="0"/>
      <border diagonalUp="0" diagonalDown="0" outline="0">
        <left style="medium">
          <color rgb="FFA8D08D"/>
        </left>
        <right style="medium">
          <color rgb="FFA8D08D"/>
        </right>
        <top style="thin">
          <color theme="9"/>
        </top>
        <bottom style="medium">
          <color rgb="FFA8D08D"/>
        </bottom>
      </border>
    </dxf>
    <dxf>
      <font>
        <strike val="0"/>
        <outline val="0"/>
        <shadow val="0"/>
        <u val="none"/>
        <vertAlign val="baseline"/>
        <sz val="9"/>
        <color auto="1"/>
        <name val="Calibri"/>
        <scheme val="minor"/>
      </font>
      <numFmt numFmtId="30" formatCode="@"/>
      <fill>
        <patternFill patternType="solid">
          <fgColor indexed="64"/>
          <bgColor rgb="FFE2EFD9"/>
        </patternFill>
      </fill>
      <alignment horizontal="general" vertical="center" textRotation="0" wrapText="1" indent="0" justifyLastLine="0" shrinkToFit="0" readingOrder="0"/>
      <border diagonalUp="0" diagonalDown="0" outline="0">
        <left style="thin">
          <color theme="9"/>
        </left>
        <right style="medium">
          <color rgb="FFA8D08D"/>
        </right>
        <top style="thin">
          <color theme="9"/>
        </top>
        <bottom style="medium">
          <color rgb="FFA8D08D"/>
        </bottom>
      </border>
    </dxf>
    <dxf>
      <font>
        <strike val="0"/>
        <outline val="0"/>
        <shadow val="0"/>
        <u/>
        <vertAlign val="baseline"/>
        <sz val="9"/>
        <color theme="10"/>
        <name val="Calibri Light"/>
        <scheme val="major"/>
      </font>
      <fill>
        <patternFill patternType="solid">
          <fgColor indexed="64"/>
          <bgColor rgb="FFE2EFD9"/>
        </patternFill>
      </fill>
      <alignment horizontal="general" vertical="center" textRotation="0" wrapText="1" indent="0" justifyLastLine="0" shrinkToFit="0" readingOrder="0"/>
      <border diagonalUp="0" diagonalDown="0" outline="0">
        <left style="thin">
          <color theme="9"/>
        </left>
        <right style="medium">
          <color rgb="FFA8D08D"/>
        </right>
        <top style="thin">
          <color theme="9"/>
        </top>
        <bottom style="medium">
          <color rgb="FFA8D08D"/>
        </bottom>
      </border>
    </dxf>
    <dxf>
      <font>
        <b/>
        <strike val="0"/>
        <outline val="0"/>
        <shadow val="0"/>
        <vertAlign val="baseline"/>
        <sz val="9"/>
        <color rgb="FF3F3F3F"/>
        <name val="Calibri Light"/>
        <scheme val="major"/>
      </font>
      <fill>
        <patternFill patternType="solid">
          <fgColor indexed="64"/>
          <bgColor rgb="FFE2EFD9"/>
        </patternFill>
      </fill>
      <alignment horizontal="general" vertical="center" textRotation="0" wrapText="1" indent="0" justifyLastLine="0" shrinkToFit="0" readingOrder="0"/>
      <border diagonalUp="0" diagonalDown="0">
        <left style="thin">
          <color theme="9"/>
        </left>
        <right style="medium">
          <color rgb="FFA8D08D"/>
        </right>
        <top style="thin">
          <color theme="9"/>
        </top>
        <bottom style="medium">
          <color rgb="FFA8D08D"/>
        </bottom>
      </border>
    </dxf>
    <dxf>
      <font>
        <strike val="0"/>
        <outline val="0"/>
        <shadow val="0"/>
        <vertAlign val="baseline"/>
        <sz val="9"/>
        <color rgb="FF000000"/>
        <name val="Calibri Light"/>
        <scheme val="major"/>
      </font>
      <fill>
        <patternFill patternType="solid">
          <fgColor indexed="64"/>
          <bgColor rgb="FFE2EFD9"/>
        </patternFill>
      </fill>
      <alignment horizontal="general" vertical="center" textRotation="0" wrapText="1" indent="0" justifyLastLine="0" shrinkToFit="0" readingOrder="0"/>
      <border diagonalUp="0" diagonalDown="0" outline="0">
        <left style="thin">
          <color theme="9"/>
        </left>
        <right style="medium">
          <color rgb="FFA8D08D"/>
        </right>
        <top style="thin">
          <color theme="9"/>
        </top>
        <bottom style="medium">
          <color rgb="FFA8D08D"/>
        </bottom>
      </border>
    </dxf>
    <dxf>
      <border outline="0">
        <top style="thin">
          <color rgb="FF9BC2E6"/>
        </top>
      </border>
    </dxf>
    <dxf>
      <border outline="0">
        <top style="medium">
          <color rgb="FF4472C4"/>
        </top>
        <bottom style="medium">
          <color rgb="FF8EAADB"/>
        </bottom>
      </border>
    </dxf>
    <dxf>
      <font>
        <strike val="0"/>
        <outline val="0"/>
        <shadow val="0"/>
        <vertAlign val="baseline"/>
        <sz val="9"/>
      </font>
    </dxf>
    <dxf>
      <border outline="0">
        <bottom style="medium">
          <color rgb="FF4472C4"/>
        </bottom>
      </border>
    </dxf>
    <dxf>
      <font>
        <b/>
        <i val="0"/>
        <strike val="0"/>
        <condense val="0"/>
        <extend val="0"/>
        <outline val="0"/>
        <shadow val="0"/>
        <u val="none"/>
        <vertAlign val="baseline"/>
        <sz val="9"/>
        <color rgb="FFFFFFFF"/>
        <name val="Calibri Light"/>
        <scheme val="none"/>
      </font>
      <fill>
        <patternFill patternType="solid">
          <fgColor indexed="64"/>
          <bgColor rgb="FF4472C4"/>
        </patternFill>
      </fill>
      <alignment horizontal="general" vertical="center" textRotation="0" wrapText="1" indent="0" justifyLastLine="0" shrinkToFit="0" readingOrder="0"/>
    </dxf>
    <dxf>
      <font>
        <b val="0"/>
        <i val="0"/>
        <strike val="0"/>
        <condense val="0"/>
        <extend val="0"/>
        <outline val="0"/>
        <shadow val="0"/>
        <u val="none"/>
        <vertAlign val="baseline"/>
        <sz val="9"/>
        <color rgb="FFC00000"/>
        <name val="Calibri"/>
        <scheme val="minor"/>
      </font>
      <fill>
        <patternFill patternType="solid">
          <fgColor indexed="64"/>
          <bgColor rgb="FFD9E2F3"/>
        </patternFill>
      </fill>
      <alignment horizontal="general" vertical="center" textRotation="0" wrapText="1" indent="0" justifyLastLine="0" shrinkToFit="0" readingOrder="0"/>
      <border diagonalUp="0" diagonalDown="0" outline="0">
        <left/>
        <right style="medium">
          <color rgb="FF8EAADB"/>
        </right>
        <top/>
        <bottom style="medium">
          <color rgb="FF8EAADB"/>
        </bottom>
      </border>
    </dxf>
    <dxf>
      <font>
        <strike val="0"/>
        <outline val="0"/>
        <shadow val="0"/>
        <vertAlign val="baseline"/>
        <sz val="9"/>
        <color rgb="FFC00000"/>
        <name val="Calibri"/>
        <scheme val="minor"/>
      </font>
      <fill>
        <patternFill patternType="solid">
          <fgColor indexed="64"/>
          <bgColor rgb="FFE2EFD9"/>
        </patternFill>
      </fill>
      <alignment horizontal="general" vertical="center" textRotation="0" wrapText="1" indent="0" justifyLastLine="0" shrinkToFit="0" readingOrder="0"/>
      <border diagonalUp="0" diagonalDown="0">
        <left style="thin">
          <color theme="9"/>
        </left>
        <right style="medium">
          <color rgb="FFA8D08D"/>
        </right>
        <top/>
        <bottom/>
      </border>
    </dxf>
    <dxf>
      <font>
        <strike val="0"/>
        <outline val="0"/>
        <shadow val="0"/>
        <vertAlign val="baseline"/>
        <sz val="9"/>
        <color rgb="FFC00000"/>
        <name val="Calibri"/>
        <scheme val="minor"/>
      </font>
      <fill>
        <patternFill patternType="solid">
          <fgColor indexed="64"/>
          <bgColor rgb="FFE2EFD9"/>
        </patternFill>
      </fill>
      <alignment horizontal="general" vertical="center" textRotation="0" wrapText="1" indent="0" justifyLastLine="0" shrinkToFit="0" readingOrder="0"/>
      <border diagonalUp="0" diagonalDown="0">
        <left style="thin">
          <color theme="9"/>
        </left>
        <right style="medium">
          <color rgb="FFA8D08D"/>
        </right>
        <top/>
        <bottom/>
      </border>
    </dxf>
    <dxf>
      <font>
        <strike val="0"/>
        <outline val="0"/>
        <shadow val="0"/>
        <vertAlign val="baseline"/>
        <sz val="9"/>
        <name val="Calibri"/>
        <scheme val="minor"/>
      </font>
      <fill>
        <patternFill patternType="solid">
          <fgColor indexed="64"/>
          <bgColor rgb="FFE2EFD9"/>
        </patternFill>
      </fill>
      <alignment horizontal="general" vertical="top" textRotation="0" wrapText="1" indent="0" justifyLastLine="0" shrinkToFit="0" readingOrder="0"/>
      <border diagonalUp="0" diagonalDown="0">
        <left style="medium">
          <color rgb="FFA8D08D"/>
        </left>
        <right style="medium">
          <color rgb="FFA8D08D"/>
        </right>
        <top/>
        <bottom/>
      </border>
    </dxf>
    <dxf>
      <font>
        <strike val="0"/>
        <outline val="0"/>
        <shadow val="0"/>
        <u val="none"/>
        <vertAlign val="baseline"/>
        <sz val="9"/>
        <color auto="1"/>
        <name val="Calibri"/>
        <scheme val="minor"/>
      </font>
      <numFmt numFmtId="30" formatCode="@"/>
      <fill>
        <patternFill patternType="solid">
          <fgColor indexed="64"/>
          <bgColor rgb="FFE2EFD9"/>
        </patternFill>
      </fill>
      <alignment horizontal="general" vertical="center" textRotation="0" wrapText="1" indent="0" justifyLastLine="0" shrinkToFit="0" readingOrder="0"/>
      <border diagonalUp="0" diagonalDown="0">
        <left style="thin">
          <color theme="9"/>
        </left>
        <right style="medium">
          <color rgb="FFA8D08D"/>
        </right>
        <top/>
        <bottom/>
      </border>
    </dxf>
    <dxf>
      <font>
        <strike val="0"/>
        <outline val="0"/>
        <shadow val="0"/>
        <u/>
        <vertAlign val="baseline"/>
        <sz val="9"/>
        <color theme="10"/>
        <name val="Calibri"/>
        <scheme val="minor"/>
      </font>
      <fill>
        <patternFill patternType="solid">
          <fgColor indexed="64"/>
          <bgColor rgb="FFE2EFD9"/>
        </patternFill>
      </fill>
      <alignment horizontal="general" vertical="center" textRotation="0" wrapText="1" indent="0" justifyLastLine="0" shrinkToFit="0" readingOrder="0"/>
      <border diagonalUp="0" diagonalDown="0">
        <left style="thin">
          <color theme="9"/>
        </left>
        <right style="medium">
          <color rgb="FFA8D08D"/>
        </right>
        <top/>
        <bottom/>
      </border>
    </dxf>
    <dxf>
      <font>
        <b/>
        <strike val="0"/>
        <outline val="0"/>
        <shadow val="0"/>
        <vertAlign val="baseline"/>
        <sz val="9"/>
        <color rgb="FF3F3F3F"/>
        <name val="Calibri"/>
        <scheme val="minor"/>
      </font>
      <fill>
        <patternFill patternType="solid">
          <fgColor indexed="64"/>
          <bgColor rgb="FFE2EFD9"/>
        </patternFill>
      </fill>
      <alignment horizontal="general" vertical="center" textRotation="0" wrapText="1" indent="0" justifyLastLine="0" shrinkToFit="0" readingOrder="0"/>
      <border diagonalUp="0" diagonalDown="0">
        <left style="thin">
          <color theme="9"/>
        </left>
        <right style="medium">
          <color rgb="FFA8D08D"/>
        </right>
        <top/>
        <bottom/>
      </border>
    </dxf>
    <dxf>
      <font>
        <strike val="0"/>
        <outline val="0"/>
        <shadow val="0"/>
        <vertAlign val="baseline"/>
        <sz val="9"/>
        <color rgb="FF000000"/>
        <name val="Calibri"/>
        <scheme val="minor"/>
      </font>
      <fill>
        <patternFill patternType="solid">
          <fgColor indexed="64"/>
          <bgColor rgb="FFE2EFD9"/>
        </patternFill>
      </fill>
      <alignment horizontal="general" vertical="center" textRotation="0" wrapText="1" indent="0" justifyLastLine="0" shrinkToFit="0" readingOrder="0"/>
      <border diagonalUp="0" diagonalDown="0">
        <left style="thin">
          <color theme="9"/>
        </left>
        <right style="medium">
          <color rgb="FFA8D08D"/>
        </right>
        <top/>
        <bottom/>
      </border>
    </dxf>
    <dxf>
      <border outline="0">
        <top style="thin">
          <color rgb="FF9BC2E6"/>
        </top>
      </border>
    </dxf>
    <dxf>
      <border outline="0">
        <top style="medium">
          <color rgb="FF4472C4"/>
        </top>
        <bottom style="medium">
          <color rgb="FF8EAADB"/>
        </bottom>
      </border>
    </dxf>
    <dxf>
      <font>
        <strike val="0"/>
        <outline val="0"/>
        <shadow val="0"/>
        <vertAlign val="baseline"/>
        <sz val="9"/>
        <name val="Calibri"/>
        <scheme val="minor"/>
      </font>
    </dxf>
    <dxf>
      <border outline="0">
        <bottom style="medium">
          <color rgb="FF4472C4"/>
        </bottom>
      </border>
    </dxf>
    <dxf>
      <font>
        <b/>
        <i val="0"/>
        <strike val="0"/>
        <condense val="0"/>
        <extend val="0"/>
        <outline val="0"/>
        <shadow val="0"/>
        <u val="none"/>
        <vertAlign val="baseline"/>
        <sz val="9"/>
        <color rgb="FFFFFFFF"/>
        <name val="Calibri"/>
        <scheme val="minor"/>
      </font>
      <fill>
        <patternFill patternType="solid">
          <fgColor indexed="64"/>
          <bgColor rgb="FF4472C4"/>
        </patternFill>
      </fill>
      <alignment horizontal="general" vertical="center" textRotation="0" wrapText="1" indent="0" justifyLastLine="0" shrinkToFit="0" readingOrder="0"/>
    </dxf>
    <dxf>
      <font>
        <strike val="0"/>
        <outline val="0"/>
        <shadow val="0"/>
        <vertAlign val="baseline"/>
        <sz val="10"/>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10"/>
      </font>
    </dxf>
    <dxf>
      <font>
        <strike val="0"/>
        <outline val="0"/>
        <shadow val="0"/>
        <vertAlign val="baseline"/>
        <sz val="10"/>
      </font>
    </dxf>
  </dxfs>
  <tableStyles count="0" defaultTableStyle="TableStyleMedium2" defaultPivotStyle="PivotStyleLight16"/>
  <colors>
    <mruColors>
      <color rgb="FF00B082"/>
      <color rgb="FF00DA63"/>
      <color rgb="FF518434"/>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Compromised Device'!A1"/><Relationship Id="rId13" Type="http://schemas.openxmlformats.org/officeDocument/2006/relationships/hyperlink" Target="#'Data Leakage'!A1"/><Relationship Id="rId18" Type="http://schemas.openxmlformats.org/officeDocument/2006/relationships/image" Target="../media/image5.emf"/><Relationship Id="rId3" Type="http://schemas.openxmlformats.org/officeDocument/2006/relationships/hyperlink" Target="#'Security &amp; Compliance'!A1"/><Relationship Id="rId21" Type="http://schemas.openxmlformats.org/officeDocument/2006/relationships/hyperlink" Target="#Phishing!A1"/><Relationship Id="rId7" Type="http://schemas.openxmlformats.org/officeDocument/2006/relationships/hyperlink" Target="#Malware!A1"/><Relationship Id="rId12" Type="http://schemas.openxmlformats.org/officeDocument/2006/relationships/image" Target="../media/image2.emf"/><Relationship Id="rId17" Type="http://schemas.openxmlformats.org/officeDocument/2006/relationships/hyperlink" Target="#ALL!A1"/><Relationship Id="rId2" Type="http://schemas.openxmlformats.org/officeDocument/2006/relationships/image" Target="../media/image1.emf"/><Relationship Id="rId16" Type="http://schemas.openxmlformats.org/officeDocument/2006/relationships/image" Target="../media/image4.emf"/><Relationship Id="rId20" Type="http://schemas.openxmlformats.org/officeDocument/2006/relationships/image" Target="../media/image7.png"/><Relationship Id="rId1" Type="http://schemas.openxmlformats.org/officeDocument/2006/relationships/hyperlink" Target="#'Incident Response'!A1"/><Relationship Id="rId6" Type="http://schemas.openxmlformats.org/officeDocument/2006/relationships/hyperlink" Target="#'Credential Theft'!A1"/><Relationship Id="rId11" Type="http://schemas.openxmlformats.org/officeDocument/2006/relationships/hyperlink" Target="#'Access Control'!A1"/><Relationship Id="rId5" Type="http://schemas.openxmlformats.org/officeDocument/2006/relationships/hyperlink" Target="#'Former Employee'!A1"/><Relationship Id="rId15" Type="http://schemas.openxmlformats.org/officeDocument/2006/relationships/hyperlink" Target="#'Data resiliency'!A1"/><Relationship Id="rId10" Type="http://schemas.openxmlformats.org/officeDocument/2006/relationships/hyperlink" Target="#'Microsoft Operators'!A1"/><Relationship Id="rId19" Type="http://schemas.openxmlformats.org/officeDocument/2006/relationships/image" Target="../media/image6.emf"/><Relationship Id="rId4" Type="http://schemas.openxmlformats.org/officeDocument/2006/relationships/hyperlink" Target="#'Malicious Admin'!A1"/><Relationship Id="rId9" Type="http://schemas.openxmlformats.org/officeDocument/2006/relationships/hyperlink" Target="#'Attacker Foothold'!A1"/><Relationship Id="rId14" Type="http://schemas.openxmlformats.org/officeDocument/2006/relationships/image" Target="../media/image3.emf"/></Relationships>
</file>

<file path=xl/drawings/_rels/drawing2.xml.rels><?xml version="1.0" encoding="UTF-8" standalone="yes"?>
<Relationships xmlns="http://schemas.openxmlformats.org/package/2006/relationships"><Relationship Id="rId1" Type="http://schemas.openxmlformats.org/officeDocument/2006/relationships/hyperlink" Target="#Main!A1"/></Relationships>
</file>

<file path=xl/drawings/_rels/drawing3.xml.rels><?xml version="1.0" encoding="UTF-8" standalone="yes"?>
<Relationships xmlns="http://schemas.openxmlformats.org/package/2006/relationships"><Relationship Id="rId1" Type="http://schemas.openxmlformats.org/officeDocument/2006/relationships/hyperlink" Target="#Main!A1"/></Relationships>
</file>

<file path=xl/drawings/_rels/drawing4.xml.rels><?xml version="1.0" encoding="UTF-8" standalone="yes"?>
<Relationships xmlns="http://schemas.openxmlformats.org/package/2006/relationships"><Relationship Id="rId1" Type="http://schemas.openxmlformats.org/officeDocument/2006/relationships/hyperlink" Target="#Main!A1"/></Relationships>
</file>

<file path=xl/drawings/_rels/drawing5.xml.rels><?xml version="1.0" encoding="UTF-8" standalone="yes"?>
<Relationships xmlns="http://schemas.openxmlformats.org/package/2006/relationships"><Relationship Id="rId1" Type="http://schemas.openxmlformats.org/officeDocument/2006/relationships/hyperlink" Target="#Main!A1"/></Relationships>
</file>

<file path=xl/drawings/_rels/drawing6.xml.rels><?xml version="1.0" encoding="UTF-8" standalone="yes"?>
<Relationships xmlns="http://schemas.openxmlformats.org/package/2006/relationships"><Relationship Id="rId1" Type="http://schemas.openxmlformats.org/officeDocument/2006/relationships/hyperlink" Target="#Main!A1"/></Relationships>
</file>

<file path=xl/drawings/_rels/drawing7.xml.rels><?xml version="1.0" encoding="UTF-8" standalone="yes"?>
<Relationships xmlns="http://schemas.openxmlformats.org/package/2006/relationships"><Relationship Id="rId1" Type="http://schemas.openxmlformats.org/officeDocument/2006/relationships/hyperlink" Target="#Main!A1"/></Relationships>
</file>

<file path=xl/drawings/_rels/drawing8.xml.rels><?xml version="1.0" encoding="UTF-8" standalone="yes"?>
<Relationships xmlns="http://schemas.openxmlformats.org/package/2006/relationships"><Relationship Id="rId1" Type="http://schemas.openxmlformats.org/officeDocument/2006/relationships/hyperlink" Target="#Main!A1"/></Relationships>
</file>

<file path=xl/drawings/_rels/drawing9.xml.rels><?xml version="1.0" encoding="UTF-8" standalone="yes"?>
<Relationships xmlns="http://schemas.openxmlformats.org/package/2006/relationships"><Relationship Id="rId1" Type="http://schemas.openxmlformats.org/officeDocument/2006/relationships/hyperlink" Target="#Main!A1"/></Relationships>
</file>

<file path=xl/drawings/_rels/drawing10.xml.rels><?xml version="1.0" encoding="UTF-8" standalone="yes"?>
<Relationships xmlns="http://schemas.openxmlformats.org/package/2006/relationships"><Relationship Id="rId1" Type="http://schemas.openxmlformats.org/officeDocument/2006/relationships/hyperlink" Target="#Main!A1"/></Relationships>
</file>

<file path=xl/drawings/_rels/drawing11.xml.rels><?xml version="1.0" encoding="UTF-8" standalone="yes"?>
<Relationships xmlns="http://schemas.openxmlformats.org/package/2006/relationships"><Relationship Id="rId1" Type="http://schemas.openxmlformats.org/officeDocument/2006/relationships/hyperlink" Target="#Main!A1"/></Relationships>
</file>

<file path=xl/drawings/_rels/drawing12.xml.rels><?xml version="1.0" encoding="UTF-8" standalone="yes"?>
<Relationships xmlns="http://schemas.openxmlformats.org/package/2006/relationships"><Relationship Id="rId1" Type="http://schemas.openxmlformats.org/officeDocument/2006/relationships/hyperlink" Target="#Main!A1"/></Relationships>
</file>

<file path=xl/drawings/_rels/drawing13.xml.rels><?xml version="1.0" encoding="UTF-8" standalone="yes"?>
<Relationships xmlns="http://schemas.openxmlformats.org/package/2006/relationships"><Relationship Id="rId1" Type="http://schemas.openxmlformats.org/officeDocument/2006/relationships/hyperlink" Target="#Main!A1"/></Relationships>
</file>

<file path=xl/drawings/_rels/drawing14.xml.rels><?xml version="1.0" encoding="UTF-8" standalone="yes"?>
<Relationships xmlns="http://schemas.openxmlformats.org/package/2006/relationships"><Relationship Id="rId1" Type="http://schemas.openxmlformats.org/officeDocument/2006/relationships/hyperlink" Target="#Main!A1"/></Relationships>
</file>

<file path=xl/drawings/_rels/drawing15.xml.rels><?xml version="1.0" encoding="UTF-8" standalone="yes"?>
<Relationships xmlns="http://schemas.openxmlformats.org/package/2006/relationships"><Relationship Id="rId1" Type="http://schemas.openxmlformats.org/officeDocument/2006/relationships/hyperlink" Target="#Main!A1"/></Relationships>
</file>

<file path=xl/drawings/drawing1.xml><?xml version="1.0" encoding="utf-8"?>
<xdr:wsDr xmlns:xdr="http://schemas.openxmlformats.org/drawingml/2006/spreadsheetDrawing" xmlns:a="http://schemas.openxmlformats.org/drawingml/2006/main">
  <xdr:twoCellAnchor>
    <xdr:from>
      <xdr:col>6</xdr:col>
      <xdr:colOff>548118</xdr:colOff>
      <xdr:row>17</xdr:row>
      <xdr:rowOff>31274</xdr:rowOff>
    </xdr:from>
    <xdr:to>
      <xdr:col>11</xdr:col>
      <xdr:colOff>396561</xdr:colOff>
      <xdr:row>24</xdr:row>
      <xdr:rowOff>6683</xdr:rowOff>
    </xdr:to>
    <xdr:grpSp>
      <xdr:nvGrpSpPr>
        <xdr:cNvPr id="110" name="Group 109">
          <a:hlinkClick xmlns:r="http://schemas.openxmlformats.org/officeDocument/2006/relationships" r:id="rId1" tooltip="IR"/>
          <a:extLst>
            <a:ext uri="{FF2B5EF4-FFF2-40B4-BE49-F238E27FC236}">
              <a16:creationId xmlns:a16="http://schemas.microsoft.com/office/drawing/2014/main" id="{00000000-0008-0000-0000-00006E000000}"/>
            </a:ext>
          </a:extLst>
        </xdr:cNvPr>
        <xdr:cNvGrpSpPr/>
      </xdr:nvGrpSpPr>
      <xdr:grpSpPr>
        <a:xfrm>
          <a:off x="4179524" y="3236040"/>
          <a:ext cx="2874615" cy="1295018"/>
          <a:chOff x="6252290" y="3269774"/>
          <a:chExt cx="2896443" cy="1308909"/>
        </a:xfrm>
      </xdr:grpSpPr>
      <xdr:sp macro="" textlink="">
        <xdr:nvSpPr>
          <xdr:cNvPr id="3" name="Rectangle 2">
            <a:hlinkClick xmlns:r="http://schemas.openxmlformats.org/officeDocument/2006/relationships" r:id="rId1" tooltip="IR"/>
            <a:extLst>
              <a:ext uri="{FF2B5EF4-FFF2-40B4-BE49-F238E27FC236}">
                <a16:creationId xmlns:a16="http://schemas.microsoft.com/office/drawing/2014/main" id="{00000000-0008-0000-0000-000003000000}"/>
              </a:ext>
            </a:extLst>
          </xdr:cNvPr>
          <xdr:cNvSpPr/>
        </xdr:nvSpPr>
        <xdr:spPr>
          <a:xfrm>
            <a:off x="6430174" y="3365483"/>
            <a:ext cx="2718559" cy="1213200"/>
          </a:xfrm>
          <a:prstGeom prst="rect">
            <a:avLst/>
          </a:prstGeom>
          <a:ln>
            <a:noFill/>
          </a:ln>
        </xdr:spPr>
        <xdr:style>
          <a:lnRef idx="2">
            <a:schemeClr val="accent5"/>
          </a:lnRef>
          <a:fillRef idx="1">
            <a:schemeClr val="lt1"/>
          </a:fillRef>
          <a:effectRef idx="0">
            <a:schemeClr val="accent5"/>
          </a:effectRef>
          <a:fontRef idx="minor">
            <a:schemeClr val="dk1"/>
          </a:fontRef>
        </xdr:style>
        <xdr:txBody>
          <a:bodyPr wrap="square" lIns="68580" rIns="68580" rtlCol="0" anchor="b"/>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500" b="1" i="0" u="none" strike="noStrike" kern="1200" cap="none" spc="0" normalizeH="0" baseline="0">
                <a:ln>
                  <a:noFill/>
                </a:ln>
                <a:solidFill>
                  <a:srgbClr val="00B050"/>
                </a:solidFill>
                <a:effectLst/>
                <a:uLnTx/>
                <a:uFillTx/>
                <a:latin typeface="Calibri Light" panose="020F0302020204030204"/>
                <a:ea typeface="+mn-ea"/>
                <a:cs typeface="+mn-cs"/>
              </a:rPr>
              <a:t>Incident Response </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500" b="1" i="0" u="none" strike="noStrike" kern="1200" cap="none" spc="0" normalizeH="0" baseline="0">
                <a:ln>
                  <a:noFill/>
                </a:ln>
                <a:solidFill>
                  <a:srgbClr val="00B050"/>
                </a:solidFill>
                <a:effectLst/>
                <a:uLnTx/>
                <a:uFillTx/>
                <a:latin typeface="Calibri Light" panose="020F0302020204030204"/>
                <a:ea typeface="+mn-ea"/>
                <a:cs typeface="+mn-cs"/>
              </a:rPr>
              <a:t>&amp; Recovery</a:t>
            </a:r>
          </a:p>
        </xdr:txBody>
      </xdr:sp>
      <xdr:grpSp>
        <xdr:nvGrpSpPr>
          <xdr:cNvPr id="109" name="Group 108">
            <a:extLst>
              <a:ext uri="{FF2B5EF4-FFF2-40B4-BE49-F238E27FC236}">
                <a16:creationId xmlns:a16="http://schemas.microsoft.com/office/drawing/2014/main" id="{00000000-0008-0000-0000-00006D000000}"/>
              </a:ext>
            </a:extLst>
          </xdr:cNvPr>
          <xdr:cNvGrpSpPr/>
        </xdr:nvGrpSpPr>
        <xdr:grpSpPr>
          <a:xfrm>
            <a:off x="6252290" y="3269774"/>
            <a:ext cx="2788127" cy="999496"/>
            <a:chOff x="6252290" y="3269774"/>
            <a:chExt cx="2788127" cy="999496"/>
          </a:xfrm>
        </xdr:grpSpPr>
        <xdr:sp macro="" textlink="">
          <xdr:nvSpPr>
            <xdr:cNvPr id="11" name="TextBox 53">
              <a:hlinkClick xmlns:r="http://schemas.openxmlformats.org/officeDocument/2006/relationships" r:id="rId1"/>
              <a:extLst>
                <a:ext uri="{FF2B5EF4-FFF2-40B4-BE49-F238E27FC236}">
                  <a16:creationId xmlns:a16="http://schemas.microsoft.com/office/drawing/2014/main" id="{00000000-0008-0000-0000-00000B000000}"/>
                </a:ext>
              </a:extLst>
            </xdr:cNvPr>
            <xdr:cNvSpPr txBox="1"/>
          </xdr:nvSpPr>
          <xdr:spPr>
            <a:xfrm>
              <a:off x="7073902" y="3380207"/>
              <a:ext cx="1966515" cy="56188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000"/>
                <a:t>Features and considerations for incident and recovery management</a:t>
              </a:r>
            </a:p>
          </xdr:txBody>
        </xdr:sp>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
            <a:stretch>
              <a:fillRect/>
            </a:stretch>
          </xdr:blipFill>
          <xdr:spPr>
            <a:xfrm>
              <a:off x="6252290" y="3269774"/>
              <a:ext cx="999496" cy="999496"/>
            </a:xfrm>
            <a:prstGeom prst="rect">
              <a:avLst/>
            </a:prstGeom>
          </xdr:spPr>
        </xdr:pic>
      </xdr:grpSp>
    </xdr:grpSp>
    <xdr:clientData/>
  </xdr:twoCellAnchor>
  <xdr:twoCellAnchor>
    <xdr:from>
      <xdr:col>0</xdr:col>
      <xdr:colOff>183975</xdr:colOff>
      <xdr:row>4</xdr:row>
      <xdr:rowOff>24363</xdr:rowOff>
    </xdr:from>
    <xdr:to>
      <xdr:col>2</xdr:col>
      <xdr:colOff>249044</xdr:colOff>
      <xdr:row>24</xdr:row>
      <xdr:rowOff>6683</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183975" y="764592"/>
          <a:ext cx="1360469" cy="3683462"/>
        </a:xfrm>
        <a:prstGeom prst="rect">
          <a:avLst/>
        </a:prstGeom>
        <a:solidFill>
          <a:srgbClr val="009E49"/>
        </a:solidFill>
        <a:ln>
          <a:noFill/>
        </a:ln>
      </xdr:spPr>
      <xdr:style>
        <a:lnRef idx="2">
          <a:schemeClr val="accent5"/>
        </a:lnRef>
        <a:fillRef idx="1">
          <a:schemeClr val="lt1"/>
        </a:fillRef>
        <a:effectRef idx="0">
          <a:schemeClr val="accent5"/>
        </a:effectRef>
        <a:fontRef idx="minor">
          <a:schemeClr val="dk1"/>
        </a:fontRef>
      </xdr:style>
      <xdr:txBody>
        <a:bodyPr wrap="square" lIns="140970" tIns="93980" rIns="140970" bIns="93980" rtlCol="0" anchor="b"/>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1" i="0" u="none" strike="noStrike" kern="1200" cap="none" spc="0" normalizeH="0" baseline="0">
              <a:ln>
                <a:noFill/>
              </a:ln>
              <a:solidFill>
                <a:schemeClr val="bg1"/>
              </a:solidFill>
              <a:effectLst/>
              <a:uLnTx/>
              <a:uFillTx/>
              <a:latin typeface="Calibri Light" panose="020F0302020204030204"/>
            </a:rPr>
            <a:t>Customer </a:t>
          </a:r>
          <a:r>
            <a:rPr lang="en-US" sz="1100" b="1">
              <a:solidFill>
                <a:schemeClr val="bg1"/>
              </a:solidFill>
              <a:latin typeface="Calibri Light" panose="020F0302020204030204"/>
            </a:rPr>
            <a:t>Control Considerations</a:t>
          </a:r>
          <a:endParaRPr kumimoji="0" lang="en-US" sz="1100" b="1" i="0" u="none" strike="noStrike" kern="1200" cap="none" spc="0" normalizeH="0" baseline="0">
            <a:ln>
              <a:noFill/>
            </a:ln>
            <a:solidFill>
              <a:schemeClr val="bg1"/>
            </a:solidFill>
            <a:effectLst/>
            <a:uLnTx/>
            <a:uFillTx/>
            <a:latin typeface="Calibri Light" panose="020F0302020204030204"/>
          </a:endParaRPr>
        </a:p>
      </xdr:txBody>
    </xdr:sp>
    <xdr:clientData/>
  </xdr:twoCellAnchor>
  <xdr:twoCellAnchor>
    <xdr:from>
      <xdr:col>7</xdr:col>
      <xdr:colOff>78302</xdr:colOff>
      <xdr:row>10</xdr:row>
      <xdr:rowOff>162579</xdr:rowOff>
    </xdr:from>
    <xdr:to>
      <xdr:col>11</xdr:col>
      <xdr:colOff>396560</xdr:colOff>
      <xdr:row>17</xdr:row>
      <xdr:rowOff>42279</xdr:rowOff>
    </xdr:to>
    <xdr:grpSp>
      <xdr:nvGrpSpPr>
        <xdr:cNvPr id="108" name="Group 107">
          <a:hlinkClick xmlns:r="http://schemas.openxmlformats.org/officeDocument/2006/relationships" r:id="rId3" tooltip="SC"/>
          <a:extLst>
            <a:ext uri="{FF2B5EF4-FFF2-40B4-BE49-F238E27FC236}">
              <a16:creationId xmlns:a16="http://schemas.microsoft.com/office/drawing/2014/main" id="{00000000-0008-0000-0000-00006C000000}"/>
            </a:ext>
          </a:extLst>
        </xdr:cNvPr>
        <xdr:cNvGrpSpPr/>
      </xdr:nvGrpSpPr>
      <xdr:grpSpPr>
        <a:xfrm>
          <a:off x="4314943" y="2047735"/>
          <a:ext cx="2739195" cy="1199310"/>
          <a:chOff x="6430174" y="2067579"/>
          <a:chExt cx="2718558" cy="1213200"/>
        </a:xfrm>
      </xdr:grpSpPr>
      <xdr:sp macro="" textlink="">
        <xdr:nvSpPr>
          <xdr:cNvPr id="7" name="Rectangle 6">
            <a:extLst>
              <a:ext uri="{FF2B5EF4-FFF2-40B4-BE49-F238E27FC236}">
                <a16:creationId xmlns:a16="http://schemas.microsoft.com/office/drawing/2014/main" id="{00000000-0008-0000-0000-000007000000}"/>
              </a:ext>
            </a:extLst>
          </xdr:cNvPr>
          <xdr:cNvSpPr/>
        </xdr:nvSpPr>
        <xdr:spPr>
          <a:xfrm>
            <a:off x="6430174" y="2067579"/>
            <a:ext cx="2718558" cy="1213200"/>
          </a:xfrm>
          <a:prstGeom prst="rect">
            <a:avLst/>
          </a:prstGeom>
          <a:ln>
            <a:noFill/>
          </a:ln>
        </xdr:spPr>
        <xdr:style>
          <a:lnRef idx="2">
            <a:schemeClr val="accent5"/>
          </a:lnRef>
          <a:fillRef idx="1">
            <a:schemeClr val="lt1"/>
          </a:fillRef>
          <a:effectRef idx="0">
            <a:schemeClr val="accent5"/>
          </a:effectRef>
          <a:fontRef idx="minor">
            <a:schemeClr val="dk1"/>
          </a:fontRef>
        </xdr:style>
        <xdr:txBody>
          <a:bodyPr wrap="square" lIns="68580" rIns="68580" rtlCol="0" anchor="b"/>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500" b="1" i="0" u="none" strike="noStrike" kern="1200" cap="none" spc="0" normalizeH="0" baseline="0">
                <a:ln>
                  <a:noFill/>
                </a:ln>
                <a:solidFill>
                  <a:srgbClr val="00B050"/>
                </a:solidFill>
                <a:effectLst/>
                <a:uLnTx/>
                <a:uFillTx/>
                <a:latin typeface="Calibri Light" panose="020F0302020204030204"/>
                <a:ea typeface="+mn-ea"/>
                <a:cs typeface="+mn-cs"/>
              </a:rPr>
              <a:t>Security &amp; Compliance Investigations</a:t>
            </a:r>
          </a:p>
        </xdr:txBody>
      </xdr:sp>
      <xdr:sp macro="" textlink="">
        <xdr:nvSpPr>
          <xdr:cNvPr id="10" name="TextBox 52">
            <a:extLst>
              <a:ext uri="{FF2B5EF4-FFF2-40B4-BE49-F238E27FC236}">
                <a16:creationId xmlns:a16="http://schemas.microsoft.com/office/drawing/2014/main" id="{00000000-0008-0000-0000-00000A000000}"/>
              </a:ext>
            </a:extLst>
          </xdr:cNvPr>
          <xdr:cNvSpPr txBox="1"/>
        </xdr:nvSpPr>
        <xdr:spPr>
          <a:xfrm>
            <a:off x="7073902" y="2090499"/>
            <a:ext cx="1966515" cy="40536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000"/>
              <a:t>Features and considerations around search and auditing</a:t>
            </a:r>
          </a:p>
        </xdr:txBody>
      </xdr:sp>
    </xdr:grpSp>
    <xdr:clientData/>
  </xdr:twoCellAnchor>
  <xdr:twoCellAnchor>
    <xdr:from>
      <xdr:col>11</xdr:col>
      <xdr:colOff>483750</xdr:colOff>
      <xdr:row>4</xdr:row>
      <xdr:rowOff>24363</xdr:rowOff>
    </xdr:from>
    <xdr:to>
      <xdr:col>13</xdr:col>
      <xdr:colOff>548819</xdr:colOff>
      <xdr:row>24</xdr:row>
      <xdr:rowOff>6683</xdr:rowOff>
    </xdr:to>
    <xdr:sp macro="" textlink="">
      <xdr:nvSpPr>
        <xdr:cNvPr id="15" name="Rectangle 14">
          <a:extLst>
            <a:ext uri="{FF2B5EF4-FFF2-40B4-BE49-F238E27FC236}">
              <a16:creationId xmlns:a16="http://schemas.microsoft.com/office/drawing/2014/main" id="{00000000-0008-0000-0000-00000F000000}"/>
            </a:ext>
          </a:extLst>
        </xdr:cNvPr>
        <xdr:cNvSpPr/>
      </xdr:nvSpPr>
      <xdr:spPr>
        <a:xfrm>
          <a:off x="7608450" y="764592"/>
          <a:ext cx="1360469" cy="3683462"/>
        </a:xfrm>
        <a:prstGeom prst="rect">
          <a:avLst/>
        </a:prstGeom>
        <a:solidFill>
          <a:srgbClr val="00B294"/>
        </a:solidFill>
        <a:ln>
          <a:noFill/>
        </a:ln>
      </xdr:spPr>
      <xdr:style>
        <a:lnRef idx="2">
          <a:schemeClr val="accent5"/>
        </a:lnRef>
        <a:fillRef idx="1">
          <a:schemeClr val="lt1"/>
        </a:fillRef>
        <a:effectRef idx="0">
          <a:schemeClr val="accent5"/>
        </a:effectRef>
        <a:fontRef idx="minor">
          <a:schemeClr val="dk1"/>
        </a:fontRef>
      </xdr:style>
      <xdr:txBody>
        <a:bodyPr wrap="square" lIns="140970" tIns="93980" rIns="140970" bIns="93980" rtlCol="0" anchor="b"/>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a:solidFill>
                <a:schemeClr val="bg1"/>
              </a:solidFill>
              <a:latin typeface="Calibri Light" panose="020F0302020204030204"/>
            </a:rPr>
            <a:t>Risk Assessment Scenarios</a:t>
          </a:r>
          <a:endParaRPr kumimoji="0" lang="en-US" sz="1200" b="1" i="0" u="none" strike="noStrike" kern="1200" cap="none" spc="0" normalizeH="0" baseline="0">
            <a:ln>
              <a:noFill/>
            </a:ln>
            <a:solidFill>
              <a:schemeClr val="bg1"/>
            </a:solidFill>
            <a:effectLst/>
            <a:uLnTx/>
            <a:uFillTx/>
            <a:latin typeface="Calibri Light" panose="020F0302020204030204"/>
          </a:endParaRPr>
        </a:p>
      </xdr:txBody>
    </xdr:sp>
    <xdr:clientData/>
  </xdr:twoCellAnchor>
  <xdr:twoCellAnchor>
    <xdr:from>
      <xdr:col>13</xdr:col>
      <xdr:colOff>636008</xdr:colOff>
      <xdr:row>4</xdr:row>
      <xdr:rowOff>41391</xdr:rowOff>
    </xdr:from>
    <xdr:to>
      <xdr:col>15</xdr:col>
      <xdr:colOff>288544</xdr:colOff>
      <xdr:row>8</xdr:row>
      <xdr:rowOff>183784</xdr:rowOff>
    </xdr:to>
    <xdr:sp macro="" textlink="">
      <xdr:nvSpPr>
        <xdr:cNvPr id="16" name="Rectangle 15">
          <a:hlinkClick xmlns:r="http://schemas.openxmlformats.org/officeDocument/2006/relationships" r:id="rId4" tooltip="Malicious Customer Administrator"/>
          <a:extLst>
            <a:ext uri="{FF2B5EF4-FFF2-40B4-BE49-F238E27FC236}">
              <a16:creationId xmlns:a16="http://schemas.microsoft.com/office/drawing/2014/main" id="{00000000-0008-0000-0000-000010000000}"/>
            </a:ext>
          </a:extLst>
        </xdr:cNvPr>
        <xdr:cNvSpPr>
          <a:spLocks noChangeAspect="1"/>
        </xdr:cNvSpPr>
      </xdr:nvSpPr>
      <xdr:spPr>
        <a:xfrm>
          <a:off x="9056108" y="781620"/>
          <a:ext cx="947936" cy="882621"/>
        </a:xfrm>
        <a:prstGeom prst="rect">
          <a:avLst/>
        </a:prstGeom>
        <a:solidFill>
          <a:srgbClr val="55D455"/>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wrap="square" lIns="39370" tIns="26670" rIns="39370" bIns="26670"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sz="800">
              <a:solidFill>
                <a:srgbClr val="000000"/>
              </a:solidFill>
            </a:rPr>
            <a:t>Malicious Customer Administrator</a:t>
          </a:r>
        </a:p>
      </xdr:txBody>
    </xdr:sp>
    <xdr:clientData/>
  </xdr:twoCellAnchor>
  <xdr:twoCellAnchor>
    <xdr:from>
      <xdr:col>13</xdr:col>
      <xdr:colOff>636008</xdr:colOff>
      <xdr:row>9</xdr:row>
      <xdr:rowOff>44043</xdr:rowOff>
    </xdr:from>
    <xdr:to>
      <xdr:col>15</xdr:col>
      <xdr:colOff>288544</xdr:colOff>
      <xdr:row>14</xdr:row>
      <xdr:rowOff>1379</xdr:rowOff>
    </xdr:to>
    <xdr:sp macro="" textlink="">
      <xdr:nvSpPr>
        <xdr:cNvPr id="17" name="Rectangle 16">
          <a:hlinkClick xmlns:r="http://schemas.openxmlformats.org/officeDocument/2006/relationships" r:id="rId5" tooltip="Former Employee"/>
          <a:extLst>
            <a:ext uri="{FF2B5EF4-FFF2-40B4-BE49-F238E27FC236}">
              <a16:creationId xmlns:a16="http://schemas.microsoft.com/office/drawing/2014/main" id="{00000000-0008-0000-0000-000011000000}"/>
            </a:ext>
          </a:extLst>
        </xdr:cNvPr>
        <xdr:cNvSpPr>
          <a:spLocks noChangeAspect="1"/>
        </xdr:cNvSpPr>
      </xdr:nvSpPr>
      <xdr:spPr>
        <a:xfrm>
          <a:off x="9056108" y="1709557"/>
          <a:ext cx="947936" cy="882622"/>
        </a:xfrm>
        <a:prstGeom prst="rect">
          <a:avLst/>
        </a:prstGeom>
        <a:solidFill>
          <a:srgbClr val="009E49"/>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wrap="square" lIns="39370" tIns="26670" rIns="39370" bIns="26670"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sz="800">
              <a:solidFill>
                <a:srgbClr val="000000"/>
              </a:solidFill>
            </a:rPr>
            <a:t>Former Employee</a:t>
          </a:r>
        </a:p>
      </xdr:txBody>
    </xdr:sp>
    <xdr:clientData/>
  </xdr:twoCellAnchor>
  <xdr:twoCellAnchor>
    <xdr:from>
      <xdr:col>13</xdr:col>
      <xdr:colOff>636008</xdr:colOff>
      <xdr:row>14</xdr:row>
      <xdr:rowOff>46695</xdr:rowOff>
    </xdr:from>
    <xdr:to>
      <xdr:col>15</xdr:col>
      <xdr:colOff>288544</xdr:colOff>
      <xdr:row>19</xdr:row>
      <xdr:rowOff>4031</xdr:rowOff>
    </xdr:to>
    <xdr:sp macro="" textlink="">
      <xdr:nvSpPr>
        <xdr:cNvPr id="18" name="Rectangle 17">
          <a:hlinkClick xmlns:r="http://schemas.openxmlformats.org/officeDocument/2006/relationships" r:id="rId6" tooltip="Credential Theft"/>
          <a:extLst>
            <a:ext uri="{FF2B5EF4-FFF2-40B4-BE49-F238E27FC236}">
              <a16:creationId xmlns:a16="http://schemas.microsoft.com/office/drawing/2014/main" id="{00000000-0008-0000-0000-000012000000}"/>
            </a:ext>
          </a:extLst>
        </xdr:cNvPr>
        <xdr:cNvSpPr>
          <a:spLocks noChangeAspect="1"/>
        </xdr:cNvSpPr>
      </xdr:nvSpPr>
      <xdr:spPr>
        <a:xfrm>
          <a:off x="9056108" y="2637495"/>
          <a:ext cx="947936" cy="882622"/>
        </a:xfrm>
        <a:prstGeom prst="rect">
          <a:avLst/>
        </a:prstGeom>
        <a:solidFill>
          <a:srgbClr val="00723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wrap="square" lIns="39370" tIns="26670" rIns="39370" bIns="26670"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sz="800">
              <a:solidFill>
                <a:srgbClr val="FFFFFF"/>
              </a:solidFill>
            </a:rPr>
            <a:t>Credential</a:t>
          </a:r>
          <a:r>
            <a:rPr lang="en-GB" sz="800" baseline="0">
              <a:solidFill>
                <a:srgbClr val="FFFFFF"/>
              </a:solidFill>
            </a:rPr>
            <a:t> Theft</a:t>
          </a:r>
          <a:endParaRPr lang="en-GB" sz="800">
            <a:solidFill>
              <a:srgbClr val="FFFFFF"/>
            </a:solidFill>
          </a:endParaRPr>
        </a:p>
      </xdr:txBody>
    </xdr:sp>
    <xdr:clientData/>
  </xdr:twoCellAnchor>
  <xdr:twoCellAnchor>
    <xdr:from>
      <xdr:col>13</xdr:col>
      <xdr:colOff>636008</xdr:colOff>
      <xdr:row>19</xdr:row>
      <xdr:rowOff>49347</xdr:rowOff>
    </xdr:from>
    <xdr:to>
      <xdr:col>15</xdr:col>
      <xdr:colOff>288544</xdr:colOff>
      <xdr:row>24</xdr:row>
      <xdr:rowOff>6683</xdr:rowOff>
    </xdr:to>
    <xdr:sp macro="" textlink="">
      <xdr:nvSpPr>
        <xdr:cNvPr id="19" name="Rectangle 18">
          <a:hlinkClick xmlns:r="http://schemas.openxmlformats.org/officeDocument/2006/relationships" r:id="rId7" tooltip="Malware"/>
          <a:extLst>
            <a:ext uri="{FF2B5EF4-FFF2-40B4-BE49-F238E27FC236}">
              <a16:creationId xmlns:a16="http://schemas.microsoft.com/office/drawing/2014/main" id="{00000000-0008-0000-0000-000013000000}"/>
            </a:ext>
          </a:extLst>
        </xdr:cNvPr>
        <xdr:cNvSpPr>
          <a:spLocks noChangeAspect="1"/>
        </xdr:cNvSpPr>
      </xdr:nvSpPr>
      <xdr:spPr>
        <a:xfrm>
          <a:off x="9056108" y="3565433"/>
          <a:ext cx="947936" cy="882621"/>
        </a:xfrm>
        <a:prstGeom prst="rect">
          <a:avLst/>
        </a:prstGeom>
        <a:solidFill>
          <a:srgbClr val="008272"/>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wrap="square" lIns="39370" tIns="26670" rIns="39370" bIns="26670"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sz="800">
              <a:solidFill>
                <a:srgbClr val="FFFFFF"/>
              </a:solidFill>
            </a:rPr>
            <a:t>Malware</a:t>
          </a:r>
        </a:p>
      </xdr:txBody>
    </xdr:sp>
    <xdr:clientData/>
  </xdr:twoCellAnchor>
  <xdr:twoCellAnchor>
    <xdr:from>
      <xdr:col>15</xdr:col>
      <xdr:colOff>396181</xdr:colOff>
      <xdr:row>4</xdr:row>
      <xdr:rowOff>41391</xdr:rowOff>
    </xdr:from>
    <xdr:to>
      <xdr:col>17</xdr:col>
      <xdr:colOff>48717</xdr:colOff>
      <xdr:row>8</xdr:row>
      <xdr:rowOff>183784</xdr:rowOff>
    </xdr:to>
    <xdr:sp macro="" textlink="">
      <xdr:nvSpPr>
        <xdr:cNvPr id="20" name="Rectangle 19">
          <a:hlinkClick xmlns:r="http://schemas.openxmlformats.org/officeDocument/2006/relationships" r:id="rId8" tooltip="Trusted Device Compromised"/>
          <a:extLst>
            <a:ext uri="{FF2B5EF4-FFF2-40B4-BE49-F238E27FC236}">
              <a16:creationId xmlns:a16="http://schemas.microsoft.com/office/drawing/2014/main" id="{00000000-0008-0000-0000-000014000000}"/>
            </a:ext>
          </a:extLst>
        </xdr:cNvPr>
        <xdr:cNvSpPr>
          <a:spLocks noChangeAspect="1"/>
        </xdr:cNvSpPr>
      </xdr:nvSpPr>
      <xdr:spPr>
        <a:xfrm>
          <a:off x="10111681" y="781620"/>
          <a:ext cx="947936" cy="882621"/>
        </a:xfrm>
        <a:prstGeom prst="rect">
          <a:avLst/>
        </a:prstGeom>
        <a:solidFill>
          <a:srgbClr val="008272"/>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wrap="square" lIns="39370" tIns="26670" rIns="39370" bIns="26670"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sz="800">
              <a:solidFill>
                <a:srgbClr val="FFFFFF"/>
              </a:solidFill>
            </a:rPr>
            <a:t>Trusted Device Compromised</a:t>
          </a:r>
        </a:p>
      </xdr:txBody>
    </xdr:sp>
    <xdr:clientData/>
  </xdr:twoCellAnchor>
  <xdr:twoCellAnchor>
    <xdr:from>
      <xdr:col>15</xdr:col>
      <xdr:colOff>396181</xdr:colOff>
      <xdr:row>9</xdr:row>
      <xdr:rowOff>44043</xdr:rowOff>
    </xdr:from>
    <xdr:to>
      <xdr:col>17</xdr:col>
      <xdr:colOff>48717</xdr:colOff>
      <xdr:row>14</xdr:row>
      <xdr:rowOff>1379</xdr:rowOff>
    </xdr:to>
    <xdr:sp macro="" textlink="">
      <xdr:nvSpPr>
        <xdr:cNvPr id="21" name="Rectangle 20">
          <a:hlinkClick xmlns:r="http://schemas.openxmlformats.org/officeDocument/2006/relationships" r:id="rId9" tooltip="Attacker Foothold"/>
          <a:extLst>
            <a:ext uri="{FF2B5EF4-FFF2-40B4-BE49-F238E27FC236}">
              <a16:creationId xmlns:a16="http://schemas.microsoft.com/office/drawing/2014/main" id="{00000000-0008-0000-0000-000015000000}"/>
            </a:ext>
          </a:extLst>
        </xdr:cNvPr>
        <xdr:cNvSpPr>
          <a:spLocks noChangeAspect="1"/>
        </xdr:cNvSpPr>
      </xdr:nvSpPr>
      <xdr:spPr>
        <a:xfrm>
          <a:off x="10111681" y="1709557"/>
          <a:ext cx="947936" cy="882622"/>
        </a:xfrm>
        <a:prstGeom prst="rect">
          <a:avLst/>
        </a:prstGeom>
        <a:solidFill>
          <a:srgbClr val="55D455"/>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wrap="square" lIns="39370" tIns="26670" rIns="39370" bIns="26670"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sz="800">
              <a:solidFill>
                <a:srgbClr val="000000"/>
              </a:solidFill>
            </a:rPr>
            <a:t>Attacker Foothold</a:t>
          </a:r>
        </a:p>
      </xdr:txBody>
    </xdr:sp>
    <xdr:clientData/>
  </xdr:twoCellAnchor>
  <xdr:twoCellAnchor>
    <xdr:from>
      <xdr:col>15</xdr:col>
      <xdr:colOff>396181</xdr:colOff>
      <xdr:row>14</xdr:row>
      <xdr:rowOff>46695</xdr:rowOff>
    </xdr:from>
    <xdr:to>
      <xdr:col>17</xdr:col>
      <xdr:colOff>48717</xdr:colOff>
      <xdr:row>19</xdr:row>
      <xdr:rowOff>4031</xdr:rowOff>
    </xdr:to>
    <xdr:sp macro="" textlink="">
      <xdr:nvSpPr>
        <xdr:cNvPr id="22" name="Rectangle 21">
          <a:hlinkClick xmlns:r="http://schemas.openxmlformats.org/officeDocument/2006/relationships" r:id="rId10" tooltip="Microsoft Operators"/>
          <a:extLst>
            <a:ext uri="{FF2B5EF4-FFF2-40B4-BE49-F238E27FC236}">
              <a16:creationId xmlns:a16="http://schemas.microsoft.com/office/drawing/2014/main" id="{00000000-0008-0000-0000-000016000000}"/>
            </a:ext>
          </a:extLst>
        </xdr:cNvPr>
        <xdr:cNvSpPr>
          <a:spLocks noChangeAspect="1"/>
        </xdr:cNvSpPr>
      </xdr:nvSpPr>
      <xdr:spPr>
        <a:xfrm>
          <a:off x="10111681" y="2637495"/>
          <a:ext cx="947936" cy="882622"/>
        </a:xfrm>
        <a:prstGeom prst="rect">
          <a:avLst/>
        </a:prstGeom>
        <a:solidFill>
          <a:srgbClr val="009E49"/>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wrap="square" lIns="39370" tIns="26670" rIns="39370" bIns="26670"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sz="800">
              <a:solidFill>
                <a:srgbClr val="000000"/>
              </a:solidFill>
            </a:rPr>
            <a:t>Microsoft Operators</a:t>
          </a:r>
        </a:p>
      </xdr:txBody>
    </xdr:sp>
    <xdr:clientData/>
  </xdr:twoCellAnchor>
  <xdr:twoCellAnchor>
    <xdr:from>
      <xdr:col>2</xdr:col>
      <xdr:colOff>336235</xdr:colOff>
      <xdr:row>10</xdr:row>
      <xdr:rowOff>167357</xdr:rowOff>
    </xdr:from>
    <xdr:to>
      <xdr:col>7</xdr:col>
      <xdr:colOff>6793</xdr:colOff>
      <xdr:row>17</xdr:row>
      <xdr:rowOff>47057</xdr:rowOff>
    </xdr:to>
    <xdr:grpSp>
      <xdr:nvGrpSpPr>
        <xdr:cNvPr id="102" name="Group 101">
          <a:hlinkClick xmlns:r="http://schemas.openxmlformats.org/officeDocument/2006/relationships" r:id="rId11" tooltip="AC"/>
          <a:extLst>
            <a:ext uri="{FF2B5EF4-FFF2-40B4-BE49-F238E27FC236}">
              <a16:creationId xmlns:a16="http://schemas.microsoft.com/office/drawing/2014/main" id="{00000000-0008-0000-0000-000066000000}"/>
            </a:ext>
          </a:extLst>
        </xdr:cNvPr>
        <xdr:cNvGrpSpPr/>
      </xdr:nvGrpSpPr>
      <xdr:grpSpPr>
        <a:xfrm>
          <a:off x="1546704" y="2052513"/>
          <a:ext cx="2696730" cy="1199310"/>
          <a:chOff x="3640107" y="2072357"/>
          <a:chExt cx="2718558" cy="1213200"/>
        </a:xfrm>
      </xdr:grpSpPr>
      <xdr:sp macro="" textlink="">
        <xdr:nvSpPr>
          <xdr:cNvPr id="5" name="Rectangle 4">
            <a:extLst>
              <a:ext uri="{FF2B5EF4-FFF2-40B4-BE49-F238E27FC236}">
                <a16:creationId xmlns:a16="http://schemas.microsoft.com/office/drawing/2014/main" id="{00000000-0008-0000-0000-000005000000}"/>
              </a:ext>
            </a:extLst>
          </xdr:cNvPr>
          <xdr:cNvSpPr/>
        </xdr:nvSpPr>
        <xdr:spPr>
          <a:xfrm>
            <a:off x="3640107" y="2072357"/>
            <a:ext cx="2718558" cy="1213200"/>
          </a:xfrm>
          <a:prstGeom prst="rect">
            <a:avLst/>
          </a:prstGeom>
          <a:ln>
            <a:noFill/>
          </a:ln>
        </xdr:spPr>
        <xdr:style>
          <a:lnRef idx="2">
            <a:schemeClr val="accent5"/>
          </a:lnRef>
          <a:fillRef idx="1">
            <a:schemeClr val="lt1"/>
          </a:fillRef>
          <a:effectRef idx="0">
            <a:schemeClr val="accent5"/>
          </a:effectRef>
          <a:fontRef idx="minor">
            <a:schemeClr val="dk1"/>
          </a:fontRef>
        </xdr:style>
        <xdr:txBody>
          <a:bodyPr wrap="square" lIns="68580" rIns="68580" rtlCol="0" anchor="b"/>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500" b="1" i="0" u="none" strike="noStrike" kern="1200" cap="none" spc="0" normalizeH="0" baseline="0">
                <a:ln>
                  <a:noFill/>
                </a:ln>
                <a:solidFill>
                  <a:srgbClr val="00B050"/>
                </a:solidFill>
                <a:effectLst/>
                <a:uLnTx/>
                <a:uFillTx/>
                <a:latin typeface="Calibri Light" panose="020F0302020204030204"/>
                <a:ea typeface="+mn-ea"/>
                <a:cs typeface="+mn-cs"/>
              </a:rPr>
              <a:t>Access Control</a:t>
            </a:r>
          </a:p>
        </xdr:txBody>
      </xdr:sp>
      <xdr:grpSp>
        <xdr:nvGrpSpPr>
          <xdr:cNvPr id="101" name="Group 100">
            <a:extLst>
              <a:ext uri="{FF2B5EF4-FFF2-40B4-BE49-F238E27FC236}">
                <a16:creationId xmlns:a16="http://schemas.microsoft.com/office/drawing/2014/main" id="{00000000-0008-0000-0000-000065000000}"/>
              </a:ext>
            </a:extLst>
          </xdr:cNvPr>
          <xdr:cNvGrpSpPr/>
        </xdr:nvGrpSpPr>
        <xdr:grpSpPr>
          <a:xfrm>
            <a:off x="3684232" y="2084255"/>
            <a:ext cx="2674433" cy="561885"/>
            <a:chOff x="3684232" y="2084255"/>
            <a:chExt cx="2674433" cy="561885"/>
          </a:xfrm>
        </xdr:grpSpPr>
        <xdr:sp macro="" textlink="">
          <xdr:nvSpPr>
            <xdr:cNvPr id="13" name="TextBox 55">
              <a:extLst>
                <a:ext uri="{FF2B5EF4-FFF2-40B4-BE49-F238E27FC236}">
                  <a16:creationId xmlns:a16="http://schemas.microsoft.com/office/drawing/2014/main" id="{00000000-0008-0000-0000-00000D000000}"/>
                </a:ext>
              </a:extLst>
            </xdr:cNvPr>
            <xdr:cNvSpPr txBox="1"/>
          </xdr:nvSpPr>
          <xdr:spPr>
            <a:xfrm>
              <a:off x="4292722" y="2084255"/>
              <a:ext cx="2065943" cy="56188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000"/>
                <a:t>Features and considerations for how organizations can manage identity and access control</a:t>
              </a:r>
            </a:p>
          </xdr:txBody>
        </xdr:sp>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2"/>
            <a:stretch>
              <a:fillRect/>
            </a:stretch>
          </xdr:blipFill>
          <xdr:spPr>
            <a:xfrm>
              <a:off x="3684232" y="2120828"/>
              <a:ext cx="632518" cy="390673"/>
            </a:xfrm>
            <a:prstGeom prst="rect">
              <a:avLst/>
            </a:prstGeom>
          </xdr:spPr>
        </xdr:pic>
      </xdr:grpSp>
    </xdr:grpSp>
    <xdr:clientData/>
  </xdr:twoCellAnchor>
  <xdr:twoCellAnchor>
    <xdr:from>
      <xdr:col>3</xdr:col>
      <xdr:colOff>438150</xdr:colOff>
      <xdr:row>7</xdr:row>
      <xdr:rowOff>8703</xdr:rowOff>
    </xdr:from>
    <xdr:to>
      <xdr:col>5</xdr:col>
      <xdr:colOff>469162</xdr:colOff>
      <xdr:row>15</xdr:row>
      <xdr:rowOff>70547</xdr:rowOff>
    </xdr:to>
    <xdr:sp macro="" textlink="">
      <xdr:nvSpPr>
        <xdr:cNvPr id="25" name="AutoShape 3">
          <a:extLst>
            <a:ext uri="{FF2B5EF4-FFF2-40B4-BE49-F238E27FC236}">
              <a16:creationId xmlns:a16="http://schemas.microsoft.com/office/drawing/2014/main" id="{00000000-0008-0000-0000-000019000000}"/>
            </a:ext>
          </a:extLst>
        </xdr:cNvPr>
        <xdr:cNvSpPr>
          <a:spLocks noChangeAspect="1" noChangeArrowheads="1" noTextEdit="1"/>
        </xdr:cNvSpPr>
      </xdr:nvSpPr>
      <xdr:spPr bwMode="auto">
        <a:xfrm>
          <a:off x="2266950" y="1342203"/>
          <a:ext cx="1250212" cy="15858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clientData/>
  </xdr:twoCellAnchor>
  <xdr:twoCellAnchor>
    <xdr:from>
      <xdr:col>5</xdr:col>
      <xdr:colOff>77386</xdr:colOff>
      <xdr:row>9</xdr:row>
      <xdr:rowOff>161636</xdr:rowOff>
    </xdr:from>
    <xdr:to>
      <xdr:col>5</xdr:col>
      <xdr:colOff>95836</xdr:colOff>
      <xdr:row>10</xdr:row>
      <xdr:rowOff>80688</xdr:rowOff>
    </xdr:to>
    <xdr:sp macro="" textlink="">
      <xdr:nvSpPr>
        <xdr:cNvPr id="36" name="Freeform 35">
          <a:extLst>
            <a:ext uri="{FF2B5EF4-FFF2-40B4-BE49-F238E27FC236}">
              <a16:creationId xmlns:a16="http://schemas.microsoft.com/office/drawing/2014/main" id="{00000000-0008-0000-0000-000024000000}"/>
            </a:ext>
          </a:extLst>
        </xdr:cNvPr>
        <xdr:cNvSpPr>
          <a:spLocks/>
        </xdr:cNvSpPr>
      </xdr:nvSpPr>
      <xdr:spPr bwMode="auto">
        <a:xfrm>
          <a:off x="3125386" y="1876136"/>
          <a:ext cx="18450" cy="109552"/>
        </a:xfrm>
        <a:custGeom>
          <a:avLst/>
          <a:gdLst>
            <a:gd name="T0" fmla="*/ 0 w 17"/>
            <a:gd name="T1" fmla="*/ 67 h 103"/>
            <a:gd name="T2" fmla="*/ 17 w 17"/>
            <a:gd name="T3" fmla="*/ 0 h 103"/>
            <a:gd name="T4" fmla="*/ 17 w 17"/>
            <a:gd name="T5" fmla="*/ 103 h 103"/>
            <a:gd name="T6" fmla="*/ 0 w 17"/>
            <a:gd name="T7" fmla="*/ 67 h 103"/>
          </a:gdLst>
          <a:ahLst/>
          <a:cxnLst>
            <a:cxn ang="0">
              <a:pos x="T0" y="T1"/>
            </a:cxn>
            <a:cxn ang="0">
              <a:pos x="T2" y="T3"/>
            </a:cxn>
            <a:cxn ang="0">
              <a:pos x="T4" y="T5"/>
            </a:cxn>
            <a:cxn ang="0">
              <a:pos x="T6" y="T7"/>
            </a:cxn>
          </a:cxnLst>
          <a:rect l="0" t="0" r="r" b="b"/>
          <a:pathLst>
            <a:path w="17" h="103">
              <a:moveTo>
                <a:pt x="0" y="67"/>
              </a:moveTo>
              <a:lnTo>
                <a:pt x="17" y="0"/>
              </a:lnTo>
              <a:lnTo>
                <a:pt x="17" y="103"/>
              </a:lnTo>
              <a:lnTo>
                <a:pt x="0" y="67"/>
              </a:lnTo>
              <a:close/>
            </a:path>
          </a:pathLst>
        </a:custGeom>
        <a:solidFill>
          <a:srgbClr val="EA1E8D"/>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clientData/>
  </xdr:twoCellAnchor>
  <xdr:twoCellAnchor>
    <xdr:from>
      <xdr:col>7</xdr:col>
      <xdr:colOff>78301</xdr:colOff>
      <xdr:row>4</xdr:row>
      <xdr:rowOff>24363</xdr:rowOff>
    </xdr:from>
    <xdr:to>
      <xdr:col>11</xdr:col>
      <xdr:colOff>396560</xdr:colOff>
      <xdr:row>10</xdr:row>
      <xdr:rowOff>94563</xdr:rowOff>
    </xdr:to>
    <xdr:grpSp>
      <xdr:nvGrpSpPr>
        <xdr:cNvPr id="112" name="Group 111">
          <a:hlinkClick xmlns:r="http://schemas.openxmlformats.org/officeDocument/2006/relationships" r:id="rId13" tooltip="DL"/>
          <a:extLst>
            <a:ext uri="{FF2B5EF4-FFF2-40B4-BE49-F238E27FC236}">
              <a16:creationId xmlns:a16="http://schemas.microsoft.com/office/drawing/2014/main" id="{00000000-0008-0000-0000-000070000000}"/>
            </a:ext>
          </a:extLst>
        </xdr:cNvPr>
        <xdr:cNvGrpSpPr/>
      </xdr:nvGrpSpPr>
      <xdr:grpSpPr>
        <a:xfrm>
          <a:off x="4314942" y="778426"/>
          <a:ext cx="2739196" cy="1201293"/>
          <a:chOff x="6430173" y="786363"/>
          <a:chExt cx="2718559" cy="1213200"/>
        </a:xfrm>
      </xdr:grpSpPr>
      <xdr:sp macro="" textlink="">
        <xdr:nvSpPr>
          <xdr:cNvPr id="6" name="Rectangle 5">
            <a:extLst>
              <a:ext uri="{FF2B5EF4-FFF2-40B4-BE49-F238E27FC236}">
                <a16:creationId xmlns:a16="http://schemas.microsoft.com/office/drawing/2014/main" id="{00000000-0008-0000-0000-000006000000}"/>
              </a:ext>
            </a:extLst>
          </xdr:cNvPr>
          <xdr:cNvSpPr/>
        </xdr:nvSpPr>
        <xdr:spPr>
          <a:xfrm>
            <a:off x="6430173" y="786363"/>
            <a:ext cx="2718559" cy="1213200"/>
          </a:xfrm>
          <a:prstGeom prst="rect">
            <a:avLst/>
          </a:prstGeom>
          <a:ln>
            <a:noFill/>
          </a:ln>
        </xdr:spPr>
        <xdr:style>
          <a:lnRef idx="2">
            <a:schemeClr val="accent5"/>
          </a:lnRef>
          <a:fillRef idx="1">
            <a:schemeClr val="lt1"/>
          </a:fillRef>
          <a:effectRef idx="0">
            <a:schemeClr val="accent5"/>
          </a:effectRef>
          <a:fontRef idx="minor">
            <a:schemeClr val="dk1"/>
          </a:fontRef>
        </xdr:style>
        <xdr:txBody>
          <a:bodyPr wrap="square" lIns="68580" rIns="68580" rtlCol="0" anchor="b"/>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500" b="1" i="0" u="none" strike="noStrike" kern="1200" cap="none" spc="0" normalizeH="0" baseline="0">
                <a:ln>
                  <a:noFill/>
                </a:ln>
                <a:solidFill>
                  <a:srgbClr val="00B050"/>
                </a:solidFill>
                <a:effectLst/>
                <a:uLnTx/>
                <a:uFillTx/>
                <a:latin typeface="Calibri Light" panose="020F0302020204030204"/>
                <a:ea typeface="+mn-ea"/>
                <a:cs typeface="+mn-cs"/>
              </a:rPr>
              <a:t>Data Leakage</a:t>
            </a:r>
          </a:p>
        </xdr:txBody>
      </xdr:sp>
      <xdr:grpSp>
        <xdr:nvGrpSpPr>
          <xdr:cNvPr id="111" name="Group 110">
            <a:extLst>
              <a:ext uri="{FF2B5EF4-FFF2-40B4-BE49-F238E27FC236}">
                <a16:creationId xmlns:a16="http://schemas.microsoft.com/office/drawing/2014/main" id="{00000000-0008-0000-0000-00006F000000}"/>
              </a:ext>
            </a:extLst>
          </xdr:cNvPr>
          <xdr:cNvGrpSpPr/>
        </xdr:nvGrpSpPr>
        <xdr:grpSpPr>
          <a:xfrm>
            <a:off x="6459632" y="802771"/>
            <a:ext cx="2689100" cy="840788"/>
            <a:chOff x="6459632" y="802771"/>
            <a:chExt cx="2689100" cy="840788"/>
          </a:xfrm>
        </xdr:grpSpPr>
        <xdr:sp macro="" textlink="">
          <xdr:nvSpPr>
            <xdr:cNvPr id="9" name="TextBox 19">
              <a:hlinkClick xmlns:r="http://schemas.openxmlformats.org/officeDocument/2006/relationships" r:id="rId13" tooltip="DL"/>
              <a:extLst>
                <a:ext uri="{FF2B5EF4-FFF2-40B4-BE49-F238E27FC236}">
                  <a16:creationId xmlns:a16="http://schemas.microsoft.com/office/drawing/2014/main" id="{00000000-0008-0000-0000-000009000000}"/>
                </a:ext>
              </a:extLst>
            </xdr:cNvPr>
            <xdr:cNvSpPr txBox="1"/>
          </xdr:nvSpPr>
          <xdr:spPr>
            <a:xfrm>
              <a:off x="7073902" y="802771"/>
              <a:ext cx="2074830" cy="5882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000"/>
                <a:t>Features and considerations for preventing data leaks and methods for responding to a data leak incident</a:t>
              </a:r>
            </a:p>
          </xdr:txBody>
        </xdr:sp>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4"/>
            <a:stretch>
              <a:fillRect/>
            </a:stretch>
          </xdr:blipFill>
          <xdr:spPr>
            <a:xfrm>
              <a:off x="6459632" y="805433"/>
              <a:ext cx="647823" cy="838126"/>
            </a:xfrm>
            <a:prstGeom prst="rect">
              <a:avLst/>
            </a:prstGeom>
          </xdr:spPr>
        </xdr:pic>
      </xdr:grpSp>
    </xdr:grpSp>
    <xdr:clientData/>
  </xdr:twoCellAnchor>
  <xdr:twoCellAnchor>
    <xdr:from>
      <xdr:col>2</xdr:col>
      <xdr:colOff>107448</xdr:colOff>
      <xdr:row>3</xdr:row>
      <xdr:rowOff>104775</xdr:rowOff>
    </xdr:from>
    <xdr:to>
      <xdr:col>7</xdr:col>
      <xdr:colOff>6793</xdr:colOff>
      <xdr:row>10</xdr:row>
      <xdr:rowOff>94565</xdr:rowOff>
    </xdr:to>
    <xdr:grpSp>
      <xdr:nvGrpSpPr>
        <xdr:cNvPr id="99" name="Group 98">
          <a:hlinkClick xmlns:r="http://schemas.openxmlformats.org/officeDocument/2006/relationships" r:id="rId15" tooltip="DR"/>
          <a:extLst>
            <a:ext uri="{FF2B5EF4-FFF2-40B4-BE49-F238E27FC236}">
              <a16:creationId xmlns:a16="http://schemas.microsoft.com/office/drawing/2014/main" id="{00000000-0008-0000-0000-000063000000}"/>
            </a:ext>
          </a:extLst>
        </xdr:cNvPr>
        <xdr:cNvGrpSpPr/>
      </xdr:nvGrpSpPr>
      <xdr:grpSpPr>
        <a:xfrm>
          <a:off x="1317917" y="670322"/>
          <a:ext cx="2925517" cy="1309399"/>
          <a:chOff x="3411320" y="676275"/>
          <a:chExt cx="2947345" cy="1323290"/>
        </a:xfrm>
      </xdr:grpSpPr>
      <xdr:sp macro="" textlink="">
        <xdr:nvSpPr>
          <xdr:cNvPr id="4" name="Rectangle 3">
            <a:extLst>
              <a:ext uri="{FF2B5EF4-FFF2-40B4-BE49-F238E27FC236}">
                <a16:creationId xmlns:a16="http://schemas.microsoft.com/office/drawing/2014/main" id="{00000000-0008-0000-0000-000004000000}"/>
              </a:ext>
            </a:extLst>
          </xdr:cNvPr>
          <xdr:cNvSpPr/>
        </xdr:nvSpPr>
        <xdr:spPr>
          <a:xfrm>
            <a:off x="3640106" y="786365"/>
            <a:ext cx="2718559" cy="1213200"/>
          </a:xfrm>
          <a:prstGeom prst="rect">
            <a:avLst/>
          </a:prstGeom>
          <a:ln>
            <a:noFill/>
          </a:ln>
        </xdr:spPr>
        <xdr:style>
          <a:lnRef idx="2">
            <a:schemeClr val="accent5"/>
          </a:lnRef>
          <a:fillRef idx="1">
            <a:schemeClr val="lt1"/>
          </a:fillRef>
          <a:effectRef idx="0">
            <a:schemeClr val="accent5"/>
          </a:effectRef>
          <a:fontRef idx="minor">
            <a:schemeClr val="dk1"/>
          </a:fontRef>
        </xdr:style>
        <xdr:txBody>
          <a:bodyPr wrap="square" lIns="68580" rIns="68580" rtlCol="0" anchor="b"/>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500" b="1" i="0" u="none" strike="noStrike" kern="1200" cap="none" spc="0" normalizeH="0" baseline="0">
                <a:ln>
                  <a:noFill/>
                </a:ln>
                <a:solidFill>
                  <a:srgbClr val="00B050"/>
                </a:solidFill>
                <a:effectLst/>
                <a:uLnTx/>
                <a:uFillTx/>
                <a:latin typeface="Calibri Light" panose="020F0302020204030204"/>
                <a:ea typeface="+mn-ea"/>
                <a:cs typeface="+mn-cs"/>
              </a:rPr>
              <a:t>Data Resiliency</a:t>
            </a:r>
          </a:p>
        </xdr:txBody>
      </xdr:sp>
      <xdr:sp macro="" textlink="">
        <xdr:nvSpPr>
          <xdr:cNvPr id="12" name="TextBox 54">
            <a:extLst>
              <a:ext uri="{FF2B5EF4-FFF2-40B4-BE49-F238E27FC236}">
                <a16:creationId xmlns:a16="http://schemas.microsoft.com/office/drawing/2014/main" id="{00000000-0008-0000-0000-00000C000000}"/>
              </a:ext>
            </a:extLst>
          </xdr:cNvPr>
          <xdr:cNvSpPr txBox="1"/>
        </xdr:nvSpPr>
        <xdr:spPr>
          <a:xfrm>
            <a:off x="4292722" y="801275"/>
            <a:ext cx="2065943" cy="56188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000"/>
              <a:t>Features and considerations for keeping information secure and recoverable</a:t>
            </a:r>
          </a:p>
        </xdr:txBody>
      </xdr:sp>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6"/>
          <a:stretch>
            <a:fillRect/>
          </a:stretch>
        </xdr:blipFill>
        <xdr:spPr>
          <a:xfrm>
            <a:off x="3411320" y="676275"/>
            <a:ext cx="1102008" cy="1102008"/>
          </a:xfrm>
          <a:prstGeom prst="rect">
            <a:avLst/>
          </a:prstGeom>
        </xdr:spPr>
      </xdr:pic>
    </xdr:grpSp>
    <xdr:clientData/>
  </xdr:twoCellAnchor>
  <xdr:twoCellAnchor>
    <xdr:from>
      <xdr:col>6</xdr:col>
      <xdr:colOff>646764</xdr:colOff>
      <xdr:row>10</xdr:row>
      <xdr:rowOff>78668</xdr:rowOff>
    </xdr:from>
    <xdr:to>
      <xdr:col>8</xdr:col>
      <xdr:colOff>232536</xdr:colOff>
      <xdr:row>15</xdr:row>
      <xdr:rowOff>33408</xdr:rowOff>
    </xdr:to>
    <xdr:grpSp>
      <xdr:nvGrpSpPr>
        <xdr:cNvPr id="43" name="Group 42">
          <a:extLst>
            <a:ext uri="{FF2B5EF4-FFF2-40B4-BE49-F238E27FC236}">
              <a16:creationId xmlns:a16="http://schemas.microsoft.com/office/drawing/2014/main" id="{00000000-0008-0000-0000-00002B000000}"/>
            </a:ext>
          </a:extLst>
        </xdr:cNvPr>
        <xdr:cNvGrpSpPr/>
      </xdr:nvGrpSpPr>
      <xdr:grpSpPr>
        <a:xfrm>
          <a:off x="4240070" y="1963824"/>
          <a:ext cx="834341" cy="897318"/>
          <a:chOff x="6410325" y="479425"/>
          <a:chExt cx="2560638" cy="2560638"/>
        </a:xfrm>
      </xdr:grpSpPr>
      <xdr:grpSp>
        <xdr:nvGrpSpPr>
          <xdr:cNvPr id="46" name="Group 45">
            <a:extLst>
              <a:ext uri="{FF2B5EF4-FFF2-40B4-BE49-F238E27FC236}">
                <a16:creationId xmlns:a16="http://schemas.microsoft.com/office/drawing/2014/main" id="{00000000-0008-0000-0000-00002E000000}"/>
              </a:ext>
            </a:extLst>
          </xdr:cNvPr>
          <xdr:cNvGrpSpPr>
            <a:grpSpLocks noChangeAspect="1"/>
          </xdr:cNvGrpSpPr>
        </xdr:nvGrpSpPr>
        <xdr:grpSpPr bwMode="auto">
          <a:xfrm>
            <a:off x="6410325" y="479425"/>
            <a:ext cx="2560638" cy="2560638"/>
            <a:chOff x="4038" y="302"/>
            <a:chExt cx="1613" cy="1613"/>
          </a:xfrm>
        </xdr:grpSpPr>
        <xdr:sp macro="" textlink="">
          <xdr:nvSpPr>
            <xdr:cNvPr id="53" name="AutoShape 3">
              <a:extLst>
                <a:ext uri="{FF2B5EF4-FFF2-40B4-BE49-F238E27FC236}">
                  <a16:creationId xmlns:a16="http://schemas.microsoft.com/office/drawing/2014/main" id="{00000000-0008-0000-0000-000035000000}"/>
                </a:ext>
              </a:extLst>
            </xdr:cNvPr>
            <xdr:cNvSpPr>
              <a:spLocks noChangeAspect="1" noChangeArrowheads="1" noTextEdit="1"/>
            </xdr:cNvSpPr>
          </xdr:nvSpPr>
          <xdr:spPr bwMode="auto">
            <a:xfrm>
              <a:off x="4038" y="302"/>
              <a:ext cx="1613" cy="1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54" name="Freeform 53">
              <a:extLst>
                <a:ext uri="{FF2B5EF4-FFF2-40B4-BE49-F238E27FC236}">
                  <a16:creationId xmlns:a16="http://schemas.microsoft.com/office/drawing/2014/main" id="{00000000-0008-0000-0000-000036000000}"/>
                </a:ext>
              </a:extLst>
            </xdr:cNvPr>
            <xdr:cNvSpPr>
              <a:spLocks/>
            </xdr:cNvSpPr>
          </xdr:nvSpPr>
          <xdr:spPr bwMode="auto">
            <a:xfrm>
              <a:off x="4406" y="1461"/>
              <a:ext cx="422" cy="258"/>
            </a:xfrm>
            <a:custGeom>
              <a:avLst/>
              <a:gdLst>
                <a:gd name="T0" fmla="*/ 170 w 422"/>
                <a:gd name="T1" fmla="*/ 44 h 258"/>
                <a:gd name="T2" fmla="*/ 170 w 422"/>
                <a:gd name="T3" fmla="*/ 0 h 258"/>
                <a:gd name="T4" fmla="*/ 60 w 422"/>
                <a:gd name="T5" fmla="*/ 0 h 258"/>
                <a:gd name="T6" fmla="*/ 60 w 422"/>
                <a:gd name="T7" fmla="*/ 44 h 258"/>
                <a:gd name="T8" fmla="*/ 0 w 422"/>
                <a:gd name="T9" fmla="*/ 44 h 258"/>
                <a:gd name="T10" fmla="*/ 0 w 422"/>
                <a:gd name="T11" fmla="*/ 55 h 258"/>
                <a:gd name="T12" fmla="*/ 14 w 422"/>
                <a:gd name="T13" fmla="*/ 55 h 258"/>
                <a:gd name="T14" fmla="*/ 14 w 422"/>
                <a:gd name="T15" fmla="*/ 258 h 258"/>
                <a:gd name="T16" fmla="*/ 105 w 422"/>
                <a:gd name="T17" fmla="*/ 258 h 258"/>
                <a:gd name="T18" fmla="*/ 142 w 422"/>
                <a:gd name="T19" fmla="*/ 258 h 258"/>
                <a:gd name="T20" fmla="*/ 170 w 422"/>
                <a:gd name="T21" fmla="*/ 258 h 258"/>
                <a:gd name="T22" fmla="*/ 318 w 422"/>
                <a:gd name="T23" fmla="*/ 258 h 258"/>
                <a:gd name="T24" fmla="*/ 408 w 422"/>
                <a:gd name="T25" fmla="*/ 258 h 258"/>
                <a:gd name="T26" fmla="*/ 408 w 422"/>
                <a:gd name="T27" fmla="*/ 55 h 258"/>
                <a:gd name="T28" fmla="*/ 422 w 422"/>
                <a:gd name="T29" fmla="*/ 55 h 258"/>
                <a:gd name="T30" fmla="*/ 422 w 422"/>
                <a:gd name="T31" fmla="*/ 44 h 258"/>
                <a:gd name="T32" fmla="*/ 170 w 422"/>
                <a:gd name="T33" fmla="*/ 44 h 25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422" h="258">
                  <a:moveTo>
                    <a:pt x="170" y="44"/>
                  </a:moveTo>
                  <a:lnTo>
                    <a:pt x="170" y="0"/>
                  </a:lnTo>
                  <a:lnTo>
                    <a:pt x="60" y="0"/>
                  </a:lnTo>
                  <a:lnTo>
                    <a:pt x="60" y="44"/>
                  </a:lnTo>
                  <a:lnTo>
                    <a:pt x="0" y="44"/>
                  </a:lnTo>
                  <a:lnTo>
                    <a:pt x="0" y="55"/>
                  </a:lnTo>
                  <a:lnTo>
                    <a:pt x="14" y="55"/>
                  </a:lnTo>
                  <a:lnTo>
                    <a:pt x="14" y="258"/>
                  </a:lnTo>
                  <a:lnTo>
                    <a:pt x="105" y="258"/>
                  </a:lnTo>
                  <a:lnTo>
                    <a:pt x="142" y="258"/>
                  </a:lnTo>
                  <a:lnTo>
                    <a:pt x="170" y="258"/>
                  </a:lnTo>
                  <a:lnTo>
                    <a:pt x="318" y="258"/>
                  </a:lnTo>
                  <a:lnTo>
                    <a:pt x="408" y="258"/>
                  </a:lnTo>
                  <a:lnTo>
                    <a:pt x="408" y="55"/>
                  </a:lnTo>
                  <a:lnTo>
                    <a:pt x="422" y="55"/>
                  </a:lnTo>
                  <a:lnTo>
                    <a:pt x="422" y="44"/>
                  </a:lnTo>
                  <a:lnTo>
                    <a:pt x="170" y="44"/>
                  </a:lnTo>
                  <a:close/>
                </a:path>
              </a:pathLst>
            </a:custGeom>
            <a:solidFill>
              <a:srgbClr val="D2D2D2"/>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55" name="Freeform 54">
              <a:extLst>
                <a:ext uri="{FF2B5EF4-FFF2-40B4-BE49-F238E27FC236}">
                  <a16:creationId xmlns:a16="http://schemas.microsoft.com/office/drawing/2014/main" id="{00000000-0008-0000-0000-000037000000}"/>
                </a:ext>
              </a:extLst>
            </xdr:cNvPr>
            <xdr:cNvSpPr>
              <a:spLocks/>
            </xdr:cNvSpPr>
          </xdr:nvSpPr>
          <xdr:spPr bwMode="auto">
            <a:xfrm>
              <a:off x="4915" y="1386"/>
              <a:ext cx="347" cy="333"/>
            </a:xfrm>
            <a:custGeom>
              <a:avLst/>
              <a:gdLst>
                <a:gd name="T0" fmla="*/ 168 w 347"/>
                <a:gd name="T1" fmla="*/ 45 h 333"/>
                <a:gd name="T2" fmla="*/ 168 w 347"/>
                <a:gd name="T3" fmla="*/ 0 h 333"/>
                <a:gd name="T4" fmla="*/ 58 w 347"/>
                <a:gd name="T5" fmla="*/ 0 h 333"/>
                <a:gd name="T6" fmla="*/ 58 w 347"/>
                <a:gd name="T7" fmla="*/ 45 h 333"/>
                <a:gd name="T8" fmla="*/ 0 w 347"/>
                <a:gd name="T9" fmla="*/ 45 h 333"/>
                <a:gd name="T10" fmla="*/ 0 w 347"/>
                <a:gd name="T11" fmla="*/ 54 h 333"/>
                <a:gd name="T12" fmla="*/ 12 w 347"/>
                <a:gd name="T13" fmla="*/ 54 h 333"/>
                <a:gd name="T14" fmla="*/ 12 w 347"/>
                <a:gd name="T15" fmla="*/ 333 h 333"/>
                <a:gd name="T16" fmla="*/ 105 w 347"/>
                <a:gd name="T17" fmla="*/ 333 h 333"/>
                <a:gd name="T18" fmla="*/ 141 w 347"/>
                <a:gd name="T19" fmla="*/ 333 h 333"/>
                <a:gd name="T20" fmla="*/ 168 w 347"/>
                <a:gd name="T21" fmla="*/ 333 h 333"/>
                <a:gd name="T22" fmla="*/ 242 w 347"/>
                <a:gd name="T23" fmla="*/ 333 h 333"/>
                <a:gd name="T24" fmla="*/ 333 w 347"/>
                <a:gd name="T25" fmla="*/ 333 h 333"/>
                <a:gd name="T26" fmla="*/ 333 w 347"/>
                <a:gd name="T27" fmla="*/ 54 h 333"/>
                <a:gd name="T28" fmla="*/ 347 w 347"/>
                <a:gd name="T29" fmla="*/ 54 h 333"/>
                <a:gd name="T30" fmla="*/ 347 w 347"/>
                <a:gd name="T31" fmla="*/ 45 h 333"/>
                <a:gd name="T32" fmla="*/ 168 w 347"/>
                <a:gd name="T33" fmla="*/ 45 h 33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347" h="333">
                  <a:moveTo>
                    <a:pt x="168" y="45"/>
                  </a:moveTo>
                  <a:lnTo>
                    <a:pt x="168" y="0"/>
                  </a:lnTo>
                  <a:lnTo>
                    <a:pt x="58" y="0"/>
                  </a:lnTo>
                  <a:lnTo>
                    <a:pt x="58" y="45"/>
                  </a:lnTo>
                  <a:lnTo>
                    <a:pt x="0" y="45"/>
                  </a:lnTo>
                  <a:lnTo>
                    <a:pt x="0" y="54"/>
                  </a:lnTo>
                  <a:lnTo>
                    <a:pt x="12" y="54"/>
                  </a:lnTo>
                  <a:lnTo>
                    <a:pt x="12" y="333"/>
                  </a:lnTo>
                  <a:lnTo>
                    <a:pt x="105" y="333"/>
                  </a:lnTo>
                  <a:lnTo>
                    <a:pt x="141" y="333"/>
                  </a:lnTo>
                  <a:lnTo>
                    <a:pt x="168" y="333"/>
                  </a:lnTo>
                  <a:lnTo>
                    <a:pt x="242" y="333"/>
                  </a:lnTo>
                  <a:lnTo>
                    <a:pt x="333" y="333"/>
                  </a:lnTo>
                  <a:lnTo>
                    <a:pt x="333" y="54"/>
                  </a:lnTo>
                  <a:lnTo>
                    <a:pt x="347" y="54"/>
                  </a:lnTo>
                  <a:lnTo>
                    <a:pt x="347" y="45"/>
                  </a:lnTo>
                  <a:lnTo>
                    <a:pt x="168" y="45"/>
                  </a:lnTo>
                  <a:close/>
                </a:path>
              </a:pathLst>
            </a:custGeom>
            <a:solidFill>
              <a:srgbClr val="D2D2D2"/>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56" name="Rectangle 55">
              <a:extLst>
                <a:ext uri="{FF2B5EF4-FFF2-40B4-BE49-F238E27FC236}">
                  <a16:creationId xmlns:a16="http://schemas.microsoft.com/office/drawing/2014/main" id="{00000000-0008-0000-0000-000038000000}"/>
                </a:ext>
              </a:extLst>
            </xdr:cNvPr>
            <xdr:cNvSpPr>
              <a:spLocks noChangeArrowheads="1"/>
            </xdr:cNvSpPr>
          </xdr:nvSpPr>
          <xdr:spPr bwMode="auto">
            <a:xfrm>
              <a:off x="4706" y="1366"/>
              <a:ext cx="283" cy="353"/>
            </a:xfrm>
            <a:prstGeom prst="rect">
              <a:avLst/>
            </a:prstGeom>
            <a:solidFill>
              <a:srgbClr val="9B4F9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57" name="Rectangle 56">
              <a:extLst>
                <a:ext uri="{FF2B5EF4-FFF2-40B4-BE49-F238E27FC236}">
                  <a16:creationId xmlns:a16="http://schemas.microsoft.com/office/drawing/2014/main" id="{00000000-0008-0000-0000-000039000000}"/>
                </a:ext>
              </a:extLst>
            </xdr:cNvPr>
            <xdr:cNvSpPr>
              <a:spLocks noChangeArrowheads="1"/>
            </xdr:cNvSpPr>
          </xdr:nvSpPr>
          <xdr:spPr bwMode="auto">
            <a:xfrm>
              <a:off x="4692" y="1355"/>
              <a:ext cx="311" cy="11"/>
            </a:xfrm>
            <a:prstGeom prst="rect">
              <a:avLst/>
            </a:prstGeom>
            <a:solidFill>
              <a:srgbClr val="68217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58" name="Rectangle 57">
              <a:extLst>
                <a:ext uri="{FF2B5EF4-FFF2-40B4-BE49-F238E27FC236}">
                  <a16:creationId xmlns:a16="http://schemas.microsoft.com/office/drawing/2014/main" id="{00000000-0008-0000-0000-00003A000000}"/>
                </a:ext>
              </a:extLst>
            </xdr:cNvPr>
            <xdr:cNvSpPr>
              <a:spLocks noChangeArrowheads="1"/>
            </xdr:cNvSpPr>
          </xdr:nvSpPr>
          <xdr:spPr bwMode="auto">
            <a:xfrm>
              <a:off x="4861" y="1648"/>
              <a:ext cx="37" cy="71"/>
            </a:xfrm>
            <a:prstGeom prst="rect">
              <a:avLst/>
            </a:prstGeom>
            <a:solidFill>
              <a:srgbClr val="68217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59" name="Rectangle 58">
              <a:extLst>
                <a:ext uri="{FF2B5EF4-FFF2-40B4-BE49-F238E27FC236}">
                  <a16:creationId xmlns:a16="http://schemas.microsoft.com/office/drawing/2014/main" id="{00000000-0008-0000-0000-00003B000000}"/>
                </a:ext>
              </a:extLst>
            </xdr:cNvPr>
            <xdr:cNvSpPr>
              <a:spLocks noChangeArrowheads="1"/>
            </xdr:cNvSpPr>
          </xdr:nvSpPr>
          <xdr:spPr bwMode="auto">
            <a:xfrm>
              <a:off x="4797" y="1648"/>
              <a:ext cx="38" cy="71"/>
            </a:xfrm>
            <a:prstGeom prst="rect">
              <a:avLst/>
            </a:prstGeom>
            <a:solidFill>
              <a:srgbClr val="68217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60" name="Rectangle 59">
              <a:extLst>
                <a:ext uri="{FF2B5EF4-FFF2-40B4-BE49-F238E27FC236}">
                  <a16:creationId xmlns:a16="http://schemas.microsoft.com/office/drawing/2014/main" id="{00000000-0008-0000-0000-00003C000000}"/>
                </a:ext>
              </a:extLst>
            </xdr:cNvPr>
            <xdr:cNvSpPr>
              <a:spLocks noChangeArrowheads="1"/>
            </xdr:cNvSpPr>
          </xdr:nvSpPr>
          <xdr:spPr bwMode="auto">
            <a:xfrm>
              <a:off x="4734" y="1398"/>
              <a:ext cx="228" cy="37"/>
            </a:xfrm>
            <a:prstGeom prst="rect">
              <a:avLst/>
            </a:prstGeom>
            <a:solidFill>
              <a:srgbClr val="68217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61" name="Rectangle 60">
              <a:extLst>
                <a:ext uri="{FF2B5EF4-FFF2-40B4-BE49-F238E27FC236}">
                  <a16:creationId xmlns:a16="http://schemas.microsoft.com/office/drawing/2014/main" id="{00000000-0008-0000-0000-00003D000000}"/>
                </a:ext>
              </a:extLst>
            </xdr:cNvPr>
            <xdr:cNvSpPr>
              <a:spLocks noChangeArrowheads="1"/>
            </xdr:cNvSpPr>
          </xdr:nvSpPr>
          <xdr:spPr bwMode="auto">
            <a:xfrm>
              <a:off x="4734" y="1461"/>
              <a:ext cx="228" cy="37"/>
            </a:xfrm>
            <a:prstGeom prst="rect">
              <a:avLst/>
            </a:prstGeom>
            <a:solidFill>
              <a:srgbClr val="68217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62" name="Rectangle 61">
              <a:extLst>
                <a:ext uri="{FF2B5EF4-FFF2-40B4-BE49-F238E27FC236}">
                  <a16:creationId xmlns:a16="http://schemas.microsoft.com/office/drawing/2014/main" id="{00000000-0008-0000-0000-00003E000000}"/>
                </a:ext>
              </a:extLst>
            </xdr:cNvPr>
            <xdr:cNvSpPr>
              <a:spLocks noChangeArrowheads="1"/>
            </xdr:cNvSpPr>
          </xdr:nvSpPr>
          <xdr:spPr bwMode="auto">
            <a:xfrm>
              <a:off x="4734" y="1524"/>
              <a:ext cx="228" cy="37"/>
            </a:xfrm>
            <a:prstGeom prst="rect">
              <a:avLst/>
            </a:prstGeom>
            <a:solidFill>
              <a:srgbClr val="68217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63" name="Rectangle 62">
              <a:extLst>
                <a:ext uri="{FF2B5EF4-FFF2-40B4-BE49-F238E27FC236}">
                  <a16:creationId xmlns:a16="http://schemas.microsoft.com/office/drawing/2014/main" id="{00000000-0008-0000-0000-00003F000000}"/>
                </a:ext>
              </a:extLst>
            </xdr:cNvPr>
            <xdr:cNvSpPr>
              <a:spLocks noChangeArrowheads="1"/>
            </xdr:cNvSpPr>
          </xdr:nvSpPr>
          <xdr:spPr bwMode="auto">
            <a:xfrm>
              <a:off x="4734" y="1587"/>
              <a:ext cx="228" cy="38"/>
            </a:xfrm>
            <a:prstGeom prst="rect">
              <a:avLst/>
            </a:prstGeom>
            <a:solidFill>
              <a:srgbClr val="68217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64" name="Rectangle 63">
              <a:extLst>
                <a:ext uri="{FF2B5EF4-FFF2-40B4-BE49-F238E27FC236}">
                  <a16:creationId xmlns:a16="http://schemas.microsoft.com/office/drawing/2014/main" id="{00000000-0008-0000-0000-000040000000}"/>
                </a:ext>
              </a:extLst>
            </xdr:cNvPr>
            <xdr:cNvSpPr>
              <a:spLocks noChangeArrowheads="1"/>
            </xdr:cNvSpPr>
          </xdr:nvSpPr>
          <xdr:spPr bwMode="auto">
            <a:xfrm>
              <a:off x="4752" y="1312"/>
              <a:ext cx="109" cy="43"/>
            </a:xfrm>
            <a:prstGeom prst="rect">
              <a:avLst/>
            </a:prstGeom>
            <a:solidFill>
              <a:srgbClr val="96969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4597" y="1663"/>
              <a:ext cx="14" cy="56"/>
            </a:xfrm>
            <a:prstGeom prst="rect">
              <a:avLst/>
            </a:prstGeom>
            <a:solidFill>
              <a:srgbClr val="96969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66" name="Oval 65">
              <a:extLst>
                <a:ext uri="{FF2B5EF4-FFF2-40B4-BE49-F238E27FC236}">
                  <a16:creationId xmlns:a16="http://schemas.microsoft.com/office/drawing/2014/main" id="{00000000-0008-0000-0000-000042000000}"/>
                </a:ext>
              </a:extLst>
            </xdr:cNvPr>
            <xdr:cNvSpPr>
              <a:spLocks noChangeArrowheads="1"/>
            </xdr:cNvSpPr>
          </xdr:nvSpPr>
          <xdr:spPr bwMode="auto">
            <a:xfrm>
              <a:off x="4566" y="1614"/>
              <a:ext cx="74" cy="74"/>
            </a:xfrm>
            <a:prstGeom prst="ellipse">
              <a:avLst/>
            </a:prstGeom>
            <a:solidFill>
              <a:srgbClr val="7FBA00"/>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67" name="Oval 66">
              <a:extLst>
                <a:ext uri="{FF2B5EF4-FFF2-40B4-BE49-F238E27FC236}">
                  <a16:creationId xmlns:a16="http://schemas.microsoft.com/office/drawing/2014/main" id="{00000000-0008-0000-0000-000043000000}"/>
                </a:ext>
              </a:extLst>
            </xdr:cNvPr>
            <xdr:cNvSpPr>
              <a:spLocks noChangeArrowheads="1"/>
            </xdr:cNvSpPr>
          </xdr:nvSpPr>
          <xdr:spPr bwMode="auto">
            <a:xfrm>
              <a:off x="4576" y="1575"/>
              <a:ext cx="54" cy="54"/>
            </a:xfrm>
            <a:prstGeom prst="ellipse">
              <a:avLst/>
            </a:prstGeom>
            <a:solidFill>
              <a:srgbClr val="7FBA00"/>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68" name="Rectangle 67">
              <a:extLst>
                <a:ext uri="{FF2B5EF4-FFF2-40B4-BE49-F238E27FC236}">
                  <a16:creationId xmlns:a16="http://schemas.microsoft.com/office/drawing/2014/main" id="{00000000-0008-0000-0000-000044000000}"/>
                </a:ext>
              </a:extLst>
            </xdr:cNvPr>
            <xdr:cNvSpPr>
              <a:spLocks noChangeArrowheads="1"/>
            </xdr:cNvSpPr>
          </xdr:nvSpPr>
          <xdr:spPr bwMode="auto">
            <a:xfrm>
              <a:off x="4497" y="1663"/>
              <a:ext cx="14" cy="56"/>
            </a:xfrm>
            <a:prstGeom prst="rect">
              <a:avLst/>
            </a:prstGeom>
            <a:solidFill>
              <a:srgbClr val="96969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69" name="Oval 68">
              <a:extLst>
                <a:ext uri="{FF2B5EF4-FFF2-40B4-BE49-F238E27FC236}">
                  <a16:creationId xmlns:a16="http://schemas.microsoft.com/office/drawing/2014/main" id="{00000000-0008-0000-0000-000045000000}"/>
                </a:ext>
              </a:extLst>
            </xdr:cNvPr>
            <xdr:cNvSpPr>
              <a:spLocks noChangeArrowheads="1"/>
            </xdr:cNvSpPr>
          </xdr:nvSpPr>
          <xdr:spPr bwMode="auto">
            <a:xfrm>
              <a:off x="4466" y="1614"/>
              <a:ext cx="75" cy="74"/>
            </a:xfrm>
            <a:prstGeom prst="ellipse">
              <a:avLst/>
            </a:prstGeom>
            <a:solidFill>
              <a:srgbClr val="7FBA00"/>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70" name="Oval 69">
              <a:extLst>
                <a:ext uri="{FF2B5EF4-FFF2-40B4-BE49-F238E27FC236}">
                  <a16:creationId xmlns:a16="http://schemas.microsoft.com/office/drawing/2014/main" id="{00000000-0008-0000-0000-000046000000}"/>
                </a:ext>
              </a:extLst>
            </xdr:cNvPr>
            <xdr:cNvSpPr>
              <a:spLocks noChangeArrowheads="1"/>
            </xdr:cNvSpPr>
          </xdr:nvSpPr>
          <xdr:spPr bwMode="auto">
            <a:xfrm>
              <a:off x="4476" y="1575"/>
              <a:ext cx="55" cy="54"/>
            </a:xfrm>
            <a:prstGeom prst="ellipse">
              <a:avLst/>
            </a:prstGeom>
            <a:solidFill>
              <a:srgbClr val="7FBA00"/>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71" name="Rectangle 70">
              <a:extLst>
                <a:ext uri="{FF2B5EF4-FFF2-40B4-BE49-F238E27FC236}">
                  <a16:creationId xmlns:a16="http://schemas.microsoft.com/office/drawing/2014/main" id="{00000000-0008-0000-0000-000047000000}"/>
                </a:ext>
              </a:extLst>
            </xdr:cNvPr>
            <xdr:cNvSpPr>
              <a:spLocks noChangeArrowheads="1"/>
            </xdr:cNvSpPr>
          </xdr:nvSpPr>
          <xdr:spPr bwMode="auto">
            <a:xfrm>
              <a:off x="5155" y="1663"/>
              <a:ext cx="16" cy="56"/>
            </a:xfrm>
            <a:prstGeom prst="rect">
              <a:avLst/>
            </a:prstGeom>
            <a:solidFill>
              <a:srgbClr val="96969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72" name="Oval 71">
              <a:extLst>
                <a:ext uri="{FF2B5EF4-FFF2-40B4-BE49-F238E27FC236}">
                  <a16:creationId xmlns:a16="http://schemas.microsoft.com/office/drawing/2014/main" id="{00000000-0008-0000-0000-000048000000}"/>
                </a:ext>
              </a:extLst>
            </xdr:cNvPr>
            <xdr:cNvSpPr>
              <a:spLocks noChangeArrowheads="1"/>
            </xdr:cNvSpPr>
          </xdr:nvSpPr>
          <xdr:spPr bwMode="auto">
            <a:xfrm>
              <a:off x="5125" y="1614"/>
              <a:ext cx="74" cy="74"/>
            </a:xfrm>
            <a:prstGeom prst="ellipse">
              <a:avLst/>
            </a:prstGeom>
            <a:solidFill>
              <a:srgbClr val="7FBA00"/>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73" name="Oval 72">
              <a:extLst>
                <a:ext uri="{FF2B5EF4-FFF2-40B4-BE49-F238E27FC236}">
                  <a16:creationId xmlns:a16="http://schemas.microsoft.com/office/drawing/2014/main" id="{00000000-0008-0000-0000-000049000000}"/>
                </a:ext>
              </a:extLst>
            </xdr:cNvPr>
            <xdr:cNvSpPr>
              <a:spLocks noChangeArrowheads="1"/>
            </xdr:cNvSpPr>
          </xdr:nvSpPr>
          <xdr:spPr bwMode="auto">
            <a:xfrm>
              <a:off x="5134" y="1575"/>
              <a:ext cx="55" cy="54"/>
            </a:xfrm>
            <a:prstGeom prst="ellipse">
              <a:avLst/>
            </a:prstGeom>
            <a:solidFill>
              <a:srgbClr val="7FBA00"/>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74" name="Rectangle 73">
              <a:extLst>
                <a:ext uri="{FF2B5EF4-FFF2-40B4-BE49-F238E27FC236}">
                  <a16:creationId xmlns:a16="http://schemas.microsoft.com/office/drawing/2014/main" id="{00000000-0008-0000-0000-00004A000000}"/>
                </a:ext>
              </a:extLst>
            </xdr:cNvPr>
            <xdr:cNvSpPr>
              <a:spLocks noChangeArrowheads="1"/>
            </xdr:cNvSpPr>
          </xdr:nvSpPr>
          <xdr:spPr bwMode="auto">
            <a:xfrm>
              <a:off x="5056" y="1663"/>
              <a:ext cx="15" cy="56"/>
            </a:xfrm>
            <a:prstGeom prst="rect">
              <a:avLst/>
            </a:prstGeom>
            <a:solidFill>
              <a:srgbClr val="96969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75" name="Oval 74">
              <a:extLst>
                <a:ext uri="{FF2B5EF4-FFF2-40B4-BE49-F238E27FC236}">
                  <a16:creationId xmlns:a16="http://schemas.microsoft.com/office/drawing/2014/main" id="{00000000-0008-0000-0000-00004B000000}"/>
                </a:ext>
              </a:extLst>
            </xdr:cNvPr>
            <xdr:cNvSpPr>
              <a:spLocks noChangeArrowheads="1"/>
            </xdr:cNvSpPr>
          </xdr:nvSpPr>
          <xdr:spPr bwMode="auto">
            <a:xfrm>
              <a:off x="5025" y="1614"/>
              <a:ext cx="74" cy="74"/>
            </a:xfrm>
            <a:prstGeom prst="ellipse">
              <a:avLst/>
            </a:prstGeom>
            <a:solidFill>
              <a:srgbClr val="7FBA00"/>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76" name="Oval 75">
              <a:extLst>
                <a:ext uri="{FF2B5EF4-FFF2-40B4-BE49-F238E27FC236}">
                  <a16:creationId xmlns:a16="http://schemas.microsoft.com/office/drawing/2014/main" id="{00000000-0008-0000-0000-00004C000000}"/>
                </a:ext>
              </a:extLst>
            </xdr:cNvPr>
            <xdr:cNvSpPr>
              <a:spLocks noChangeArrowheads="1"/>
            </xdr:cNvSpPr>
          </xdr:nvSpPr>
          <xdr:spPr bwMode="auto">
            <a:xfrm>
              <a:off x="5035" y="1575"/>
              <a:ext cx="55" cy="54"/>
            </a:xfrm>
            <a:prstGeom prst="ellipse">
              <a:avLst/>
            </a:prstGeom>
            <a:solidFill>
              <a:srgbClr val="7FBA00"/>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77" name="Rectangle 76">
              <a:extLst>
                <a:ext uri="{FF2B5EF4-FFF2-40B4-BE49-F238E27FC236}">
                  <a16:creationId xmlns:a16="http://schemas.microsoft.com/office/drawing/2014/main" id="{00000000-0008-0000-0000-00004D000000}"/>
                </a:ext>
              </a:extLst>
            </xdr:cNvPr>
            <xdr:cNvSpPr>
              <a:spLocks noChangeArrowheads="1"/>
            </xdr:cNvSpPr>
          </xdr:nvSpPr>
          <xdr:spPr bwMode="auto">
            <a:xfrm>
              <a:off x="5004" y="1267"/>
              <a:ext cx="56" cy="81"/>
            </a:xfrm>
            <a:prstGeom prst="rect">
              <a:avLst/>
            </a:prstGeom>
            <a:solidFill>
              <a:srgbClr val="9B4F9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78" name="Rectangle 77">
              <a:extLst>
                <a:ext uri="{FF2B5EF4-FFF2-40B4-BE49-F238E27FC236}">
                  <a16:creationId xmlns:a16="http://schemas.microsoft.com/office/drawing/2014/main" id="{00000000-0008-0000-0000-00004E000000}"/>
                </a:ext>
              </a:extLst>
            </xdr:cNvPr>
            <xdr:cNvSpPr>
              <a:spLocks noChangeArrowheads="1"/>
            </xdr:cNvSpPr>
          </xdr:nvSpPr>
          <xdr:spPr bwMode="auto">
            <a:xfrm>
              <a:off x="5092" y="1267"/>
              <a:ext cx="174" cy="81"/>
            </a:xfrm>
            <a:prstGeom prst="rect">
              <a:avLst/>
            </a:prstGeom>
            <a:solidFill>
              <a:srgbClr val="9B4F9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79" name="Oval 78">
              <a:extLst>
                <a:ext uri="{FF2B5EF4-FFF2-40B4-BE49-F238E27FC236}">
                  <a16:creationId xmlns:a16="http://schemas.microsoft.com/office/drawing/2014/main" id="{00000000-0008-0000-0000-00004F000000}"/>
                </a:ext>
              </a:extLst>
            </xdr:cNvPr>
            <xdr:cNvSpPr>
              <a:spLocks noChangeArrowheads="1"/>
            </xdr:cNvSpPr>
          </xdr:nvSpPr>
          <xdr:spPr bwMode="auto">
            <a:xfrm>
              <a:off x="4431" y="1001"/>
              <a:ext cx="590" cy="589"/>
            </a:xfrm>
            <a:prstGeom prst="ellipse">
              <a:avLst/>
            </a:prstGeom>
            <a:solidFill>
              <a:srgbClr val="96969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80" name="Oval 79">
              <a:extLst>
                <a:ext uri="{FF2B5EF4-FFF2-40B4-BE49-F238E27FC236}">
                  <a16:creationId xmlns:a16="http://schemas.microsoft.com/office/drawing/2014/main" id="{00000000-0008-0000-0000-000050000000}"/>
                </a:ext>
              </a:extLst>
            </xdr:cNvPr>
            <xdr:cNvSpPr>
              <a:spLocks noChangeArrowheads="1"/>
            </xdr:cNvSpPr>
          </xdr:nvSpPr>
          <xdr:spPr bwMode="auto">
            <a:xfrm>
              <a:off x="4459" y="1029"/>
              <a:ext cx="534" cy="533"/>
            </a:xfrm>
            <a:prstGeom prst="ellipse">
              <a:avLst/>
            </a:prstGeom>
            <a:solidFill>
              <a:srgbClr val="F5F5F5"/>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81" name="Freeform 80">
              <a:extLst>
                <a:ext uri="{FF2B5EF4-FFF2-40B4-BE49-F238E27FC236}">
                  <a16:creationId xmlns:a16="http://schemas.microsoft.com/office/drawing/2014/main" id="{00000000-0008-0000-0000-000051000000}"/>
                </a:ext>
              </a:extLst>
            </xdr:cNvPr>
            <xdr:cNvSpPr>
              <a:spLocks/>
            </xdr:cNvSpPr>
          </xdr:nvSpPr>
          <xdr:spPr bwMode="auto">
            <a:xfrm>
              <a:off x="5060" y="1235"/>
              <a:ext cx="42" cy="145"/>
            </a:xfrm>
            <a:custGeom>
              <a:avLst/>
              <a:gdLst>
                <a:gd name="T0" fmla="*/ 0 w 30"/>
                <a:gd name="T1" fmla="*/ 15 h 104"/>
                <a:gd name="T2" fmla="*/ 0 w 30"/>
                <a:gd name="T3" fmla="*/ 89 h 104"/>
                <a:gd name="T4" fmla="*/ 15 w 30"/>
                <a:gd name="T5" fmla="*/ 104 h 104"/>
                <a:gd name="T6" fmla="*/ 30 w 30"/>
                <a:gd name="T7" fmla="*/ 89 h 104"/>
                <a:gd name="T8" fmla="*/ 30 w 30"/>
                <a:gd name="T9" fmla="*/ 15 h 104"/>
                <a:gd name="T10" fmla="*/ 15 w 30"/>
                <a:gd name="T11" fmla="*/ 0 h 104"/>
                <a:gd name="T12" fmla="*/ 0 w 30"/>
                <a:gd name="T13" fmla="*/ 15 h 104"/>
              </a:gdLst>
              <a:ahLst/>
              <a:cxnLst>
                <a:cxn ang="0">
                  <a:pos x="T0" y="T1"/>
                </a:cxn>
                <a:cxn ang="0">
                  <a:pos x="T2" y="T3"/>
                </a:cxn>
                <a:cxn ang="0">
                  <a:pos x="T4" y="T5"/>
                </a:cxn>
                <a:cxn ang="0">
                  <a:pos x="T6" y="T7"/>
                </a:cxn>
                <a:cxn ang="0">
                  <a:pos x="T8" y="T9"/>
                </a:cxn>
                <a:cxn ang="0">
                  <a:pos x="T10" y="T11"/>
                </a:cxn>
                <a:cxn ang="0">
                  <a:pos x="T12" y="T13"/>
                </a:cxn>
              </a:cxnLst>
              <a:rect l="0" t="0" r="r" b="b"/>
              <a:pathLst>
                <a:path w="30" h="104">
                  <a:moveTo>
                    <a:pt x="0" y="15"/>
                  </a:moveTo>
                  <a:cubicBezTo>
                    <a:pt x="0" y="89"/>
                    <a:pt x="0" y="89"/>
                    <a:pt x="0" y="89"/>
                  </a:cubicBezTo>
                  <a:cubicBezTo>
                    <a:pt x="0" y="98"/>
                    <a:pt x="6" y="104"/>
                    <a:pt x="15" y="104"/>
                  </a:cubicBezTo>
                  <a:cubicBezTo>
                    <a:pt x="23" y="104"/>
                    <a:pt x="30" y="98"/>
                    <a:pt x="30" y="89"/>
                  </a:cubicBezTo>
                  <a:cubicBezTo>
                    <a:pt x="30" y="15"/>
                    <a:pt x="30" y="15"/>
                    <a:pt x="30" y="15"/>
                  </a:cubicBezTo>
                  <a:cubicBezTo>
                    <a:pt x="30" y="7"/>
                    <a:pt x="23" y="0"/>
                    <a:pt x="15" y="0"/>
                  </a:cubicBezTo>
                  <a:cubicBezTo>
                    <a:pt x="6" y="0"/>
                    <a:pt x="0" y="7"/>
                    <a:pt x="0" y="15"/>
                  </a:cubicBezTo>
                  <a:close/>
                </a:path>
              </a:pathLst>
            </a:custGeom>
            <a:solidFill>
              <a:srgbClr val="68217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82" name="Freeform 81">
              <a:extLst>
                <a:ext uri="{FF2B5EF4-FFF2-40B4-BE49-F238E27FC236}">
                  <a16:creationId xmlns:a16="http://schemas.microsoft.com/office/drawing/2014/main" id="{00000000-0008-0000-0000-000052000000}"/>
                </a:ext>
              </a:extLst>
            </xdr:cNvPr>
            <xdr:cNvSpPr>
              <a:spLocks/>
            </xdr:cNvSpPr>
          </xdr:nvSpPr>
          <xdr:spPr bwMode="auto">
            <a:xfrm>
              <a:off x="5245" y="1235"/>
              <a:ext cx="42" cy="145"/>
            </a:xfrm>
            <a:custGeom>
              <a:avLst/>
              <a:gdLst>
                <a:gd name="T0" fmla="*/ 0 w 30"/>
                <a:gd name="T1" fmla="*/ 15 h 104"/>
                <a:gd name="T2" fmla="*/ 0 w 30"/>
                <a:gd name="T3" fmla="*/ 89 h 104"/>
                <a:gd name="T4" fmla="*/ 15 w 30"/>
                <a:gd name="T5" fmla="*/ 104 h 104"/>
                <a:gd name="T6" fmla="*/ 30 w 30"/>
                <a:gd name="T7" fmla="*/ 89 h 104"/>
                <a:gd name="T8" fmla="*/ 30 w 30"/>
                <a:gd name="T9" fmla="*/ 15 h 104"/>
                <a:gd name="T10" fmla="*/ 15 w 30"/>
                <a:gd name="T11" fmla="*/ 0 h 104"/>
                <a:gd name="T12" fmla="*/ 0 w 30"/>
                <a:gd name="T13" fmla="*/ 15 h 104"/>
              </a:gdLst>
              <a:ahLst/>
              <a:cxnLst>
                <a:cxn ang="0">
                  <a:pos x="T0" y="T1"/>
                </a:cxn>
                <a:cxn ang="0">
                  <a:pos x="T2" y="T3"/>
                </a:cxn>
                <a:cxn ang="0">
                  <a:pos x="T4" y="T5"/>
                </a:cxn>
                <a:cxn ang="0">
                  <a:pos x="T6" y="T7"/>
                </a:cxn>
                <a:cxn ang="0">
                  <a:pos x="T8" y="T9"/>
                </a:cxn>
                <a:cxn ang="0">
                  <a:pos x="T10" y="T11"/>
                </a:cxn>
                <a:cxn ang="0">
                  <a:pos x="T12" y="T13"/>
                </a:cxn>
              </a:cxnLst>
              <a:rect l="0" t="0" r="r" b="b"/>
              <a:pathLst>
                <a:path w="30" h="104">
                  <a:moveTo>
                    <a:pt x="0" y="15"/>
                  </a:moveTo>
                  <a:cubicBezTo>
                    <a:pt x="0" y="89"/>
                    <a:pt x="0" y="89"/>
                    <a:pt x="0" y="89"/>
                  </a:cubicBezTo>
                  <a:cubicBezTo>
                    <a:pt x="0" y="98"/>
                    <a:pt x="7" y="104"/>
                    <a:pt x="15" y="104"/>
                  </a:cubicBezTo>
                  <a:cubicBezTo>
                    <a:pt x="23" y="104"/>
                    <a:pt x="30" y="98"/>
                    <a:pt x="30" y="89"/>
                  </a:cubicBezTo>
                  <a:cubicBezTo>
                    <a:pt x="30" y="15"/>
                    <a:pt x="30" y="15"/>
                    <a:pt x="30" y="15"/>
                  </a:cubicBezTo>
                  <a:cubicBezTo>
                    <a:pt x="30" y="7"/>
                    <a:pt x="23" y="0"/>
                    <a:pt x="15" y="0"/>
                  </a:cubicBezTo>
                  <a:cubicBezTo>
                    <a:pt x="7" y="0"/>
                    <a:pt x="0" y="7"/>
                    <a:pt x="0" y="15"/>
                  </a:cubicBezTo>
                  <a:close/>
                </a:path>
              </a:pathLst>
            </a:custGeom>
            <a:solidFill>
              <a:srgbClr val="68217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83" name="Freeform 82">
              <a:extLst>
                <a:ext uri="{FF2B5EF4-FFF2-40B4-BE49-F238E27FC236}">
                  <a16:creationId xmlns:a16="http://schemas.microsoft.com/office/drawing/2014/main" id="{00000000-0008-0000-0000-000053000000}"/>
                </a:ext>
              </a:extLst>
            </xdr:cNvPr>
            <xdr:cNvSpPr>
              <a:spLocks/>
            </xdr:cNvSpPr>
          </xdr:nvSpPr>
          <xdr:spPr bwMode="auto">
            <a:xfrm>
              <a:off x="4608" y="1052"/>
              <a:ext cx="357" cy="486"/>
            </a:xfrm>
            <a:custGeom>
              <a:avLst/>
              <a:gdLst>
                <a:gd name="T0" fmla="*/ 65 w 255"/>
                <a:gd name="T1" fmla="*/ 277 h 347"/>
                <a:gd name="T2" fmla="*/ 226 w 255"/>
                <a:gd name="T3" fmla="*/ 277 h 347"/>
                <a:gd name="T4" fmla="*/ 255 w 255"/>
                <a:gd name="T5" fmla="*/ 214 h 347"/>
                <a:gd name="T6" fmla="*/ 65 w 255"/>
                <a:gd name="T7" fmla="*/ 214 h 347"/>
                <a:gd name="T8" fmla="*/ 65 w 255"/>
                <a:gd name="T9" fmla="*/ 128 h 347"/>
                <a:gd name="T10" fmla="*/ 254 w 255"/>
                <a:gd name="T11" fmla="*/ 128 h 347"/>
                <a:gd name="T12" fmla="*/ 223 w 255"/>
                <a:gd name="T13" fmla="*/ 66 h 347"/>
                <a:gd name="T14" fmla="*/ 65 w 255"/>
                <a:gd name="T15" fmla="*/ 66 h 347"/>
                <a:gd name="T16" fmla="*/ 65 w 255"/>
                <a:gd name="T17" fmla="*/ 0 h 347"/>
                <a:gd name="T18" fmla="*/ 0 w 255"/>
                <a:gd name="T19" fmla="*/ 21 h 347"/>
                <a:gd name="T20" fmla="*/ 0 w 255"/>
                <a:gd name="T21" fmla="*/ 326 h 347"/>
                <a:gd name="T22" fmla="*/ 65 w 255"/>
                <a:gd name="T23" fmla="*/ 347 h 347"/>
                <a:gd name="T24" fmla="*/ 65 w 255"/>
                <a:gd name="T25" fmla="*/ 277 h 3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255" h="347">
                  <a:moveTo>
                    <a:pt x="65" y="277"/>
                  </a:moveTo>
                  <a:cubicBezTo>
                    <a:pt x="226" y="277"/>
                    <a:pt x="226" y="277"/>
                    <a:pt x="226" y="277"/>
                  </a:cubicBezTo>
                  <a:cubicBezTo>
                    <a:pt x="240" y="258"/>
                    <a:pt x="250" y="237"/>
                    <a:pt x="255" y="214"/>
                  </a:cubicBezTo>
                  <a:cubicBezTo>
                    <a:pt x="65" y="214"/>
                    <a:pt x="65" y="214"/>
                    <a:pt x="65" y="214"/>
                  </a:cubicBezTo>
                  <a:cubicBezTo>
                    <a:pt x="65" y="128"/>
                    <a:pt x="65" y="128"/>
                    <a:pt x="65" y="128"/>
                  </a:cubicBezTo>
                  <a:cubicBezTo>
                    <a:pt x="254" y="128"/>
                    <a:pt x="254" y="128"/>
                    <a:pt x="254" y="128"/>
                  </a:cubicBezTo>
                  <a:cubicBezTo>
                    <a:pt x="248" y="105"/>
                    <a:pt x="237" y="84"/>
                    <a:pt x="223" y="66"/>
                  </a:cubicBezTo>
                  <a:cubicBezTo>
                    <a:pt x="65" y="66"/>
                    <a:pt x="65" y="66"/>
                    <a:pt x="65" y="66"/>
                  </a:cubicBezTo>
                  <a:cubicBezTo>
                    <a:pt x="65" y="0"/>
                    <a:pt x="65" y="0"/>
                    <a:pt x="65" y="0"/>
                  </a:cubicBezTo>
                  <a:cubicBezTo>
                    <a:pt x="42" y="3"/>
                    <a:pt x="20" y="10"/>
                    <a:pt x="0" y="21"/>
                  </a:cubicBezTo>
                  <a:cubicBezTo>
                    <a:pt x="0" y="326"/>
                    <a:pt x="0" y="326"/>
                    <a:pt x="0" y="326"/>
                  </a:cubicBezTo>
                  <a:cubicBezTo>
                    <a:pt x="20" y="337"/>
                    <a:pt x="42" y="344"/>
                    <a:pt x="65" y="347"/>
                  </a:cubicBezTo>
                  <a:cubicBezTo>
                    <a:pt x="65" y="277"/>
                    <a:pt x="65" y="277"/>
                    <a:pt x="65" y="277"/>
                  </a:cubicBezTo>
                </a:path>
              </a:pathLst>
            </a:custGeom>
            <a:solidFill>
              <a:srgbClr val="9B4F9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84" name="Freeform 83">
              <a:extLst>
                <a:ext uri="{FF2B5EF4-FFF2-40B4-BE49-F238E27FC236}">
                  <a16:creationId xmlns:a16="http://schemas.microsoft.com/office/drawing/2014/main" id="{00000000-0008-0000-0000-000054000000}"/>
                </a:ext>
              </a:extLst>
            </xdr:cNvPr>
            <xdr:cNvSpPr>
              <a:spLocks/>
            </xdr:cNvSpPr>
          </xdr:nvSpPr>
          <xdr:spPr bwMode="auto">
            <a:xfrm>
              <a:off x="4699" y="1051"/>
              <a:ext cx="221" cy="94"/>
            </a:xfrm>
            <a:custGeom>
              <a:avLst/>
              <a:gdLst>
                <a:gd name="T0" fmla="*/ 158 w 158"/>
                <a:gd name="T1" fmla="*/ 67 h 67"/>
                <a:gd name="T2" fmla="*/ 20 w 158"/>
                <a:gd name="T3" fmla="*/ 0 h 67"/>
                <a:gd name="T4" fmla="*/ 0 w 158"/>
                <a:gd name="T5" fmla="*/ 1 h 67"/>
                <a:gd name="T6" fmla="*/ 0 w 158"/>
                <a:gd name="T7" fmla="*/ 67 h 67"/>
                <a:gd name="T8" fmla="*/ 158 w 158"/>
                <a:gd name="T9" fmla="*/ 67 h 67"/>
              </a:gdLst>
              <a:ahLst/>
              <a:cxnLst>
                <a:cxn ang="0">
                  <a:pos x="T0" y="T1"/>
                </a:cxn>
                <a:cxn ang="0">
                  <a:pos x="T2" y="T3"/>
                </a:cxn>
                <a:cxn ang="0">
                  <a:pos x="T4" y="T5"/>
                </a:cxn>
                <a:cxn ang="0">
                  <a:pos x="T6" y="T7"/>
                </a:cxn>
                <a:cxn ang="0">
                  <a:pos x="T8" y="T9"/>
                </a:cxn>
              </a:cxnLst>
              <a:rect l="0" t="0" r="r" b="b"/>
              <a:pathLst>
                <a:path w="158" h="67">
                  <a:moveTo>
                    <a:pt x="158" y="67"/>
                  </a:moveTo>
                  <a:cubicBezTo>
                    <a:pt x="126" y="26"/>
                    <a:pt x="76" y="0"/>
                    <a:pt x="20" y="0"/>
                  </a:cubicBezTo>
                  <a:cubicBezTo>
                    <a:pt x="14" y="0"/>
                    <a:pt x="7" y="0"/>
                    <a:pt x="0" y="1"/>
                  </a:cubicBezTo>
                  <a:cubicBezTo>
                    <a:pt x="0" y="67"/>
                    <a:pt x="0" y="67"/>
                    <a:pt x="0" y="67"/>
                  </a:cubicBezTo>
                  <a:cubicBezTo>
                    <a:pt x="158" y="67"/>
                    <a:pt x="158" y="67"/>
                    <a:pt x="158" y="67"/>
                  </a:cubicBezTo>
                </a:path>
              </a:pathLst>
            </a:custGeom>
            <a:solidFill>
              <a:srgbClr val="68217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85" name="Freeform 84">
              <a:extLst>
                <a:ext uri="{FF2B5EF4-FFF2-40B4-BE49-F238E27FC236}">
                  <a16:creationId xmlns:a16="http://schemas.microsoft.com/office/drawing/2014/main" id="{00000000-0008-0000-0000-000055000000}"/>
                </a:ext>
              </a:extLst>
            </xdr:cNvPr>
            <xdr:cNvSpPr>
              <a:spLocks/>
            </xdr:cNvSpPr>
          </xdr:nvSpPr>
          <xdr:spPr bwMode="auto">
            <a:xfrm>
              <a:off x="4699" y="1232"/>
              <a:ext cx="273" cy="120"/>
            </a:xfrm>
            <a:custGeom>
              <a:avLst/>
              <a:gdLst>
                <a:gd name="T0" fmla="*/ 0 w 195"/>
                <a:gd name="T1" fmla="*/ 86 h 86"/>
                <a:gd name="T2" fmla="*/ 190 w 195"/>
                <a:gd name="T3" fmla="*/ 86 h 86"/>
                <a:gd name="T4" fmla="*/ 195 w 195"/>
                <a:gd name="T5" fmla="*/ 45 h 86"/>
                <a:gd name="T6" fmla="*/ 189 w 195"/>
                <a:gd name="T7" fmla="*/ 0 h 86"/>
                <a:gd name="T8" fmla="*/ 0 w 195"/>
                <a:gd name="T9" fmla="*/ 0 h 86"/>
                <a:gd name="T10" fmla="*/ 0 w 195"/>
                <a:gd name="T11" fmla="*/ 86 h 86"/>
              </a:gdLst>
              <a:ahLst/>
              <a:cxnLst>
                <a:cxn ang="0">
                  <a:pos x="T0" y="T1"/>
                </a:cxn>
                <a:cxn ang="0">
                  <a:pos x="T2" y="T3"/>
                </a:cxn>
                <a:cxn ang="0">
                  <a:pos x="T4" y="T5"/>
                </a:cxn>
                <a:cxn ang="0">
                  <a:pos x="T6" y="T7"/>
                </a:cxn>
                <a:cxn ang="0">
                  <a:pos x="T8" y="T9"/>
                </a:cxn>
                <a:cxn ang="0">
                  <a:pos x="T10" y="T11"/>
                </a:cxn>
              </a:cxnLst>
              <a:rect l="0" t="0" r="r" b="b"/>
              <a:pathLst>
                <a:path w="195" h="86">
                  <a:moveTo>
                    <a:pt x="0" y="86"/>
                  </a:moveTo>
                  <a:cubicBezTo>
                    <a:pt x="190" y="86"/>
                    <a:pt x="190" y="86"/>
                    <a:pt x="190" y="86"/>
                  </a:cubicBezTo>
                  <a:cubicBezTo>
                    <a:pt x="193" y="73"/>
                    <a:pt x="195" y="59"/>
                    <a:pt x="195" y="45"/>
                  </a:cubicBezTo>
                  <a:cubicBezTo>
                    <a:pt x="195" y="30"/>
                    <a:pt x="193" y="15"/>
                    <a:pt x="189" y="0"/>
                  </a:cubicBezTo>
                  <a:cubicBezTo>
                    <a:pt x="0" y="0"/>
                    <a:pt x="0" y="0"/>
                    <a:pt x="0" y="0"/>
                  </a:cubicBezTo>
                  <a:cubicBezTo>
                    <a:pt x="0" y="86"/>
                    <a:pt x="0" y="86"/>
                    <a:pt x="0" y="86"/>
                  </a:cubicBezTo>
                </a:path>
              </a:pathLst>
            </a:custGeom>
            <a:solidFill>
              <a:srgbClr val="68217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86" name="Freeform 85">
              <a:extLst>
                <a:ext uri="{FF2B5EF4-FFF2-40B4-BE49-F238E27FC236}">
                  <a16:creationId xmlns:a16="http://schemas.microsoft.com/office/drawing/2014/main" id="{00000000-0008-0000-0000-000056000000}"/>
                </a:ext>
              </a:extLst>
            </xdr:cNvPr>
            <xdr:cNvSpPr>
              <a:spLocks/>
            </xdr:cNvSpPr>
          </xdr:nvSpPr>
          <xdr:spPr bwMode="auto">
            <a:xfrm>
              <a:off x="4699" y="1440"/>
              <a:ext cx="225" cy="100"/>
            </a:xfrm>
            <a:custGeom>
              <a:avLst/>
              <a:gdLst>
                <a:gd name="T0" fmla="*/ 0 w 161"/>
                <a:gd name="T1" fmla="*/ 70 h 71"/>
                <a:gd name="T2" fmla="*/ 20 w 161"/>
                <a:gd name="T3" fmla="*/ 71 h 71"/>
                <a:gd name="T4" fmla="*/ 161 w 161"/>
                <a:gd name="T5" fmla="*/ 0 h 71"/>
                <a:gd name="T6" fmla="*/ 0 w 161"/>
                <a:gd name="T7" fmla="*/ 0 h 71"/>
                <a:gd name="T8" fmla="*/ 0 w 161"/>
                <a:gd name="T9" fmla="*/ 70 h 71"/>
              </a:gdLst>
              <a:ahLst/>
              <a:cxnLst>
                <a:cxn ang="0">
                  <a:pos x="T0" y="T1"/>
                </a:cxn>
                <a:cxn ang="0">
                  <a:pos x="T2" y="T3"/>
                </a:cxn>
                <a:cxn ang="0">
                  <a:pos x="T4" y="T5"/>
                </a:cxn>
                <a:cxn ang="0">
                  <a:pos x="T6" y="T7"/>
                </a:cxn>
                <a:cxn ang="0">
                  <a:pos x="T8" y="T9"/>
                </a:cxn>
              </a:cxnLst>
              <a:rect l="0" t="0" r="r" b="b"/>
              <a:pathLst>
                <a:path w="161" h="71">
                  <a:moveTo>
                    <a:pt x="0" y="70"/>
                  </a:moveTo>
                  <a:cubicBezTo>
                    <a:pt x="7" y="71"/>
                    <a:pt x="14" y="71"/>
                    <a:pt x="20" y="71"/>
                  </a:cubicBezTo>
                  <a:cubicBezTo>
                    <a:pt x="78" y="71"/>
                    <a:pt x="129" y="43"/>
                    <a:pt x="161" y="0"/>
                  </a:cubicBezTo>
                  <a:cubicBezTo>
                    <a:pt x="0" y="0"/>
                    <a:pt x="0" y="0"/>
                    <a:pt x="0" y="0"/>
                  </a:cubicBezTo>
                  <a:lnTo>
                    <a:pt x="0" y="70"/>
                  </a:lnTo>
                  <a:close/>
                </a:path>
              </a:pathLst>
            </a:custGeom>
            <a:solidFill>
              <a:srgbClr val="68217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87" name="Freeform 86">
              <a:extLst>
                <a:ext uri="{FF2B5EF4-FFF2-40B4-BE49-F238E27FC236}">
                  <a16:creationId xmlns:a16="http://schemas.microsoft.com/office/drawing/2014/main" id="{00000000-0008-0000-0000-000057000000}"/>
                </a:ext>
              </a:extLst>
            </xdr:cNvPr>
            <xdr:cNvSpPr>
              <a:spLocks/>
            </xdr:cNvSpPr>
          </xdr:nvSpPr>
          <xdr:spPr bwMode="auto">
            <a:xfrm>
              <a:off x="4503" y="1097"/>
              <a:ext cx="105" cy="145"/>
            </a:xfrm>
            <a:custGeom>
              <a:avLst/>
              <a:gdLst>
                <a:gd name="T0" fmla="*/ 75 w 75"/>
                <a:gd name="T1" fmla="*/ 0 h 103"/>
                <a:gd name="T2" fmla="*/ 0 w 75"/>
                <a:gd name="T3" fmla="*/ 103 h 103"/>
                <a:gd name="T4" fmla="*/ 75 w 75"/>
                <a:gd name="T5" fmla="*/ 67 h 103"/>
                <a:gd name="T6" fmla="*/ 75 w 75"/>
                <a:gd name="T7" fmla="*/ 0 h 103"/>
              </a:gdLst>
              <a:ahLst/>
              <a:cxnLst>
                <a:cxn ang="0">
                  <a:pos x="T0" y="T1"/>
                </a:cxn>
                <a:cxn ang="0">
                  <a:pos x="T2" y="T3"/>
                </a:cxn>
                <a:cxn ang="0">
                  <a:pos x="T4" y="T5"/>
                </a:cxn>
                <a:cxn ang="0">
                  <a:pos x="T6" y="T7"/>
                </a:cxn>
              </a:cxnLst>
              <a:rect l="0" t="0" r="r" b="b"/>
              <a:pathLst>
                <a:path w="75" h="103">
                  <a:moveTo>
                    <a:pt x="75" y="0"/>
                  </a:moveTo>
                  <a:cubicBezTo>
                    <a:pt x="38" y="23"/>
                    <a:pt x="10" y="59"/>
                    <a:pt x="0" y="103"/>
                  </a:cubicBezTo>
                  <a:cubicBezTo>
                    <a:pt x="21" y="88"/>
                    <a:pt x="47" y="75"/>
                    <a:pt x="75" y="67"/>
                  </a:cubicBezTo>
                  <a:cubicBezTo>
                    <a:pt x="75" y="0"/>
                    <a:pt x="75" y="0"/>
                    <a:pt x="75" y="0"/>
                  </a:cubicBezTo>
                </a:path>
              </a:pathLst>
            </a:custGeom>
            <a:solidFill>
              <a:srgbClr val="FAFAF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88" name="Freeform 87">
              <a:extLst>
                <a:ext uri="{FF2B5EF4-FFF2-40B4-BE49-F238E27FC236}">
                  <a16:creationId xmlns:a16="http://schemas.microsoft.com/office/drawing/2014/main" id="{00000000-0008-0000-0000-000058000000}"/>
                </a:ext>
              </a:extLst>
            </xdr:cNvPr>
            <xdr:cNvSpPr>
              <a:spLocks/>
            </xdr:cNvSpPr>
          </xdr:nvSpPr>
          <xdr:spPr bwMode="auto">
            <a:xfrm>
              <a:off x="4608" y="1066"/>
              <a:ext cx="340" cy="166"/>
            </a:xfrm>
            <a:custGeom>
              <a:avLst/>
              <a:gdLst>
                <a:gd name="T0" fmla="*/ 65 w 243"/>
                <a:gd name="T1" fmla="*/ 0 h 118"/>
                <a:gd name="T2" fmla="*/ 0 w 243"/>
                <a:gd name="T3" fmla="*/ 22 h 118"/>
                <a:gd name="T4" fmla="*/ 0 w 243"/>
                <a:gd name="T5" fmla="*/ 89 h 118"/>
                <a:gd name="T6" fmla="*/ 85 w 243"/>
                <a:gd name="T7" fmla="*/ 78 h 118"/>
                <a:gd name="T8" fmla="*/ 235 w 243"/>
                <a:gd name="T9" fmla="*/ 118 h 118"/>
                <a:gd name="T10" fmla="*/ 243 w 243"/>
                <a:gd name="T11" fmla="*/ 118 h 118"/>
                <a:gd name="T12" fmla="*/ 209 w 243"/>
                <a:gd name="T13" fmla="*/ 56 h 118"/>
                <a:gd name="T14" fmla="*/ 65 w 243"/>
                <a:gd name="T15" fmla="*/ 56 h 118"/>
                <a:gd name="T16" fmla="*/ 65 w 243"/>
                <a:gd name="T17" fmla="*/ 0 h 1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43" h="118">
                  <a:moveTo>
                    <a:pt x="65" y="0"/>
                  </a:moveTo>
                  <a:cubicBezTo>
                    <a:pt x="42" y="3"/>
                    <a:pt x="20" y="11"/>
                    <a:pt x="0" y="22"/>
                  </a:cubicBezTo>
                  <a:cubicBezTo>
                    <a:pt x="0" y="89"/>
                    <a:pt x="0" y="89"/>
                    <a:pt x="0" y="89"/>
                  </a:cubicBezTo>
                  <a:cubicBezTo>
                    <a:pt x="26" y="82"/>
                    <a:pt x="55" y="78"/>
                    <a:pt x="85" y="78"/>
                  </a:cubicBezTo>
                  <a:cubicBezTo>
                    <a:pt x="143" y="78"/>
                    <a:pt x="196" y="93"/>
                    <a:pt x="235" y="118"/>
                  </a:cubicBezTo>
                  <a:cubicBezTo>
                    <a:pt x="243" y="118"/>
                    <a:pt x="243" y="118"/>
                    <a:pt x="243" y="118"/>
                  </a:cubicBezTo>
                  <a:cubicBezTo>
                    <a:pt x="236" y="95"/>
                    <a:pt x="224" y="74"/>
                    <a:pt x="209" y="56"/>
                  </a:cubicBezTo>
                  <a:cubicBezTo>
                    <a:pt x="65" y="56"/>
                    <a:pt x="65" y="56"/>
                    <a:pt x="65" y="56"/>
                  </a:cubicBezTo>
                  <a:cubicBezTo>
                    <a:pt x="65" y="0"/>
                    <a:pt x="65" y="0"/>
                    <a:pt x="65" y="0"/>
                  </a:cubicBezTo>
                </a:path>
              </a:pathLst>
            </a:custGeom>
            <a:solidFill>
              <a:srgbClr val="CDA7CB"/>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89" name="Freeform 88">
              <a:extLst>
                <a:ext uri="{FF2B5EF4-FFF2-40B4-BE49-F238E27FC236}">
                  <a16:creationId xmlns:a16="http://schemas.microsoft.com/office/drawing/2014/main" id="{00000000-0008-0000-0000-000059000000}"/>
                </a:ext>
              </a:extLst>
            </xdr:cNvPr>
            <xdr:cNvSpPr>
              <a:spLocks/>
            </xdr:cNvSpPr>
          </xdr:nvSpPr>
          <xdr:spPr bwMode="auto">
            <a:xfrm>
              <a:off x="4699" y="1065"/>
              <a:ext cx="202" cy="80"/>
            </a:xfrm>
            <a:custGeom>
              <a:avLst/>
              <a:gdLst>
                <a:gd name="T0" fmla="*/ 20 w 144"/>
                <a:gd name="T1" fmla="*/ 0 h 57"/>
                <a:gd name="T2" fmla="*/ 0 w 144"/>
                <a:gd name="T3" fmla="*/ 1 h 57"/>
                <a:gd name="T4" fmla="*/ 0 w 144"/>
                <a:gd name="T5" fmla="*/ 57 h 57"/>
                <a:gd name="T6" fmla="*/ 144 w 144"/>
                <a:gd name="T7" fmla="*/ 57 h 57"/>
                <a:gd name="T8" fmla="*/ 20 w 144"/>
                <a:gd name="T9" fmla="*/ 0 h 57"/>
              </a:gdLst>
              <a:ahLst/>
              <a:cxnLst>
                <a:cxn ang="0">
                  <a:pos x="T0" y="T1"/>
                </a:cxn>
                <a:cxn ang="0">
                  <a:pos x="T2" y="T3"/>
                </a:cxn>
                <a:cxn ang="0">
                  <a:pos x="T4" y="T5"/>
                </a:cxn>
                <a:cxn ang="0">
                  <a:pos x="T6" y="T7"/>
                </a:cxn>
                <a:cxn ang="0">
                  <a:pos x="T8" y="T9"/>
                </a:cxn>
              </a:cxnLst>
              <a:rect l="0" t="0" r="r" b="b"/>
              <a:pathLst>
                <a:path w="144" h="57">
                  <a:moveTo>
                    <a:pt x="20" y="0"/>
                  </a:moveTo>
                  <a:cubicBezTo>
                    <a:pt x="13" y="0"/>
                    <a:pt x="7" y="0"/>
                    <a:pt x="0" y="1"/>
                  </a:cubicBezTo>
                  <a:cubicBezTo>
                    <a:pt x="0" y="57"/>
                    <a:pt x="0" y="57"/>
                    <a:pt x="0" y="57"/>
                  </a:cubicBezTo>
                  <a:cubicBezTo>
                    <a:pt x="144" y="57"/>
                    <a:pt x="144" y="57"/>
                    <a:pt x="144" y="57"/>
                  </a:cubicBezTo>
                  <a:cubicBezTo>
                    <a:pt x="114" y="22"/>
                    <a:pt x="69" y="0"/>
                    <a:pt x="20" y="0"/>
                  </a:cubicBezTo>
                </a:path>
              </a:pathLst>
            </a:custGeom>
            <a:solidFill>
              <a:srgbClr val="B490BD"/>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90" name="Freeform 89">
              <a:extLst>
                <a:ext uri="{FF2B5EF4-FFF2-40B4-BE49-F238E27FC236}">
                  <a16:creationId xmlns:a16="http://schemas.microsoft.com/office/drawing/2014/main" id="{00000000-0008-0000-0000-00005A000000}"/>
                </a:ext>
              </a:extLst>
            </xdr:cNvPr>
            <xdr:cNvSpPr>
              <a:spLocks/>
            </xdr:cNvSpPr>
          </xdr:nvSpPr>
          <xdr:spPr bwMode="auto">
            <a:xfrm>
              <a:off x="4937" y="1232"/>
              <a:ext cx="13" cy="10"/>
            </a:xfrm>
            <a:custGeom>
              <a:avLst/>
              <a:gdLst>
                <a:gd name="T0" fmla="*/ 8 w 9"/>
                <a:gd name="T1" fmla="*/ 0 h 7"/>
                <a:gd name="T2" fmla="*/ 0 w 9"/>
                <a:gd name="T3" fmla="*/ 0 h 7"/>
                <a:gd name="T4" fmla="*/ 9 w 9"/>
                <a:gd name="T5" fmla="*/ 7 h 7"/>
                <a:gd name="T6" fmla="*/ 8 w 9"/>
                <a:gd name="T7" fmla="*/ 0 h 7"/>
              </a:gdLst>
              <a:ahLst/>
              <a:cxnLst>
                <a:cxn ang="0">
                  <a:pos x="T0" y="T1"/>
                </a:cxn>
                <a:cxn ang="0">
                  <a:pos x="T2" y="T3"/>
                </a:cxn>
                <a:cxn ang="0">
                  <a:pos x="T4" y="T5"/>
                </a:cxn>
                <a:cxn ang="0">
                  <a:pos x="T6" y="T7"/>
                </a:cxn>
              </a:cxnLst>
              <a:rect l="0" t="0" r="r" b="b"/>
              <a:pathLst>
                <a:path w="9" h="7">
                  <a:moveTo>
                    <a:pt x="8" y="0"/>
                  </a:moveTo>
                  <a:cubicBezTo>
                    <a:pt x="0" y="0"/>
                    <a:pt x="0" y="0"/>
                    <a:pt x="0" y="0"/>
                  </a:cubicBezTo>
                  <a:cubicBezTo>
                    <a:pt x="3" y="2"/>
                    <a:pt x="6" y="5"/>
                    <a:pt x="9" y="7"/>
                  </a:cubicBezTo>
                  <a:cubicBezTo>
                    <a:pt x="9" y="5"/>
                    <a:pt x="8" y="3"/>
                    <a:pt x="8" y="0"/>
                  </a:cubicBezTo>
                </a:path>
              </a:pathLst>
            </a:custGeom>
            <a:solidFill>
              <a:srgbClr val="B490BD"/>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91" name="Freeform 90">
              <a:extLst>
                <a:ext uri="{FF2B5EF4-FFF2-40B4-BE49-F238E27FC236}">
                  <a16:creationId xmlns:a16="http://schemas.microsoft.com/office/drawing/2014/main" id="{00000000-0008-0000-0000-00005B000000}"/>
                </a:ext>
              </a:extLst>
            </xdr:cNvPr>
            <xdr:cNvSpPr>
              <a:spLocks/>
            </xdr:cNvSpPr>
          </xdr:nvSpPr>
          <xdr:spPr bwMode="auto">
            <a:xfrm>
              <a:off x="4632" y="1131"/>
              <a:ext cx="190" cy="190"/>
            </a:xfrm>
            <a:custGeom>
              <a:avLst/>
              <a:gdLst>
                <a:gd name="T0" fmla="*/ 136 w 136"/>
                <a:gd name="T1" fmla="*/ 68 h 136"/>
                <a:gd name="T2" fmla="*/ 68 w 136"/>
                <a:gd name="T3" fmla="*/ 0 h 136"/>
                <a:gd name="T4" fmla="*/ 0 w 136"/>
                <a:gd name="T5" fmla="*/ 68 h 136"/>
                <a:gd name="T6" fmla="*/ 68 w 136"/>
                <a:gd name="T7" fmla="*/ 136 h 136"/>
                <a:gd name="T8" fmla="*/ 136 w 136"/>
                <a:gd name="T9" fmla="*/ 136 h 136"/>
                <a:gd name="T10" fmla="*/ 136 w 136"/>
                <a:gd name="T11" fmla="*/ 68 h 136"/>
              </a:gdLst>
              <a:ahLst/>
              <a:cxnLst>
                <a:cxn ang="0">
                  <a:pos x="T0" y="T1"/>
                </a:cxn>
                <a:cxn ang="0">
                  <a:pos x="T2" y="T3"/>
                </a:cxn>
                <a:cxn ang="0">
                  <a:pos x="T4" y="T5"/>
                </a:cxn>
                <a:cxn ang="0">
                  <a:pos x="T6" y="T7"/>
                </a:cxn>
                <a:cxn ang="0">
                  <a:pos x="T8" y="T9"/>
                </a:cxn>
                <a:cxn ang="0">
                  <a:pos x="T10" y="T11"/>
                </a:cxn>
              </a:cxnLst>
              <a:rect l="0" t="0" r="r" b="b"/>
              <a:pathLst>
                <a:path w="136" h="136">
                  <a:moveTo>
                    <a:pt x="136" y="68"/>
                  </a:moveTo>
                  <a:cubicBezTo>
                    <a:pt x="136" y="30"/>
                    <a:pt x="105" y="0"/>
                    <a:pt x="68" y="0"/>
                  </a:cubicBezTo>
                  <a:cubicBezTo>
                    <a:pt x="30" y="0"/>
                    <a:pt x="0" y="30"/>
                    <a:pt x="0" y="68"/>
                  </a:cubicBezTo>
                  <a:cubicBezTo>
                    <a:pt x="0" y="105"/>
                    <a:pt x="30" y="136"/>
                    <a:pt x="68" y="136"/>
                  </a:cubicBezTo>
                  <a:cubicBezTo>
                    <a:pt x="136" y="136"/>
                    <a:pt x="136" y="136"/>
                    <a:pt x="136" y="136"/>
                  </a:cubicBezTo>
                  <a:lnTo>
                    <a:pt x="136" y="68"/>
                  </a:lnTo>
                  <a:close/>
                </a:path>
              </a:pathLst>
            </a:custGeom>
            <a:solidFill>
              <a:srgbClr val="FFB900"/>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92" name="Freeform 91">
              <a:extLst>
                <a:ext uri="{FF2B5EF4-FFF2-40B4-BE49-F238E27FC236}">
                  <a16:creationId xmlns:a16="http://schemas.microsoft.com/office/drawing/2014/main" id="{00000000-0008-0000-0000-00005C000000}"/>
                </a:ext>
              </a:extLst>
            </xdr:cNvPr>
            <xdr:cNvSpPr>
              <a:spLocks/>
            </xdr:cNvSpPr>
          </xdr:nvSpPr>
          <xdr:spPr bwMode="auto">
            <a:xfrm>
              <a:off x="4732" y="536"/>
              <a:ext cx="258" cy="169"/>
            </a:xfrm>
            <a:custGeom>
              <a:avLst/>
              <a:gdLst>
                <a:gd name="T0" fmla="*/ 154 w 184"/>
                <a:gd name="T1" fmla="*/ 53 h 121"/>
                <a:gd name="T2" fmla="*/ 154 w 184"/>
                <a:gd name="T3" fmla="*/ 51 h 121"/>
                <a:gd name="T4" fmla="*/ 104 w 184"/>
                <a:gd name="T5" fmla="*/ 0 h 121"/>
                <a:gd name="T6" fmla="*/ 61 w 184"/>
                <a:gd name="T7" fmla="*/ 23 h 121"/>
                <a:gd name="T8" fmla="*/ 48 w 184"/>
                <a:gd name="T9" fmla="*/ 19 h 121"/>
                <a:gd name="T10" fmla="*/ 31 w 184"/>
                <a:gd name="T11" fmla="*/ 24 h 121"/>
                <a:gd name="T12" fmla="*/ 18 w 184"/>
                <a:gd name="T13" fmla="*/ 48 h 121"/>
                <a:gd name="T14" fmla="*/ 0 w 184"/>
                <a:gd name="T15" fmla="*/ 81 h 121"/>
                <a:gd name="T16" fmla="*/ 35 w 184"/>
                <a:gd name="T17" fmla="*/ 121 h 121"/>
                <a:gd name="T18" fmla="*/ 40 w 184"/>
                <a:gd name="T19" fmla="*/ 121 h 121"/>
                <a:gd name="T20" fmla="*/ 44 w 184"/>
                <a:gd name="T21" fmla="*/ 121 h 121"/>
                <a:gd name="T22" fmla="*/ 127 w 184"/>
                <a:gd name="T23" fmla="*/ 121 h 121"/>
                <a:gd name="T24" fmla="*/ 128 w 184"/>
                <a:gd name="T25" fmla="*/ 121 h 121"/>
                <a:gd name="T26" fmla="*/ 130 w 184"/>
                <a:gd name="T27" fmla="*/ 121 h 121"/>
                <a:gd name="T28" fmla="*/ 136 w 184"/>
                <a:gd name="T29" fmla="*/ 121 h 121"/>
                <a:gd name="T30" fmla="*/ 150 w 184"/>
                <a:gd name="T31" fmla="*/ 121 h 121"/>
                <a:gd name="T32" fmla="*/ 184 w 184"/>
                <a:gd name="T33" fmla="*/ 87 h 121"/>
                <a:gd name="T34" fmla="*/ 154 w 184"/>
                <a:gd name="T35" fmla="*/ 53 h 1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184" h="121">
                  <a:moveTo>
                    <a:pt x="154" y="53"/>
                  </a:moveTo>
                  <a:cubicBezTo>
                    <a:pt x="154" y="53"/>
                    <a:pt x="154" y="52"/>
                    <a:pt x="154" y="51"/>
                  </a:cubicBezTo>
                  <a:cubicBezTo>
                    <a:pt x="154" y="23"/>
                    <a:pt x="132" y="0"/>
                    <a:pt x="104" y="0"/>
                  </a:cubicBezTo>
                  <a:cubicBezTo>
                    <a:pt x="86" y="0"/>
                    <a:pt x="71" y="9"/>
                    <a:pt x="61" y="23"/>
                  </a:cubicBezTo>
                  <a:cubicBezTo>
                    <a:pt x="57" y="20"/>
                    <a:pt x="53" y="19"/>
                    <a:pt x="48" y="19"/>
                  </a:cubicBezTo>
                  <a:cubicBezTo>
                    <a:pt x="41" y="19"/>
                    <a:pt x="36" y="21"/>
                    <a:pt x="31" y="24"/>
                  </a:cubicBezTo>
                  <a:cubicBezTo>
                    <a:pt x="23" y="29"/>
                    <a:pt x="18" y="38"/>
                    <a:pt x="18" y="48"/>
                  </a:cubicBezTo>
                  <a:cubicBezTo>
                    <a:pt x="7" y="55"/>
                    <a:pt x="0" y="67"/>
                    <a:pt x="0" y="81"/>
                  </a:cubicBezTo>
                  <a:cubicBezTo>
                    <a:pt x="0" y="102"/>
                    <a:pt x="15" y="119"/>
                    <a:pt x="35" y="121"/>
                  </a:cubicBezTo>
                  <a:cubicBezTo>
                    <a:pt x="37" y="121"/>
                    <a:pt x="38" y="121"/>
                    <a:pt x="40" y="121"/>
                  </a:cubicBezTo>
                  <a:cubicBezTo>
                    <a:pt x="41" y="121"/>
                    <a:pt x="42" y="121"/>
                    <a:pt x="44" y="121"/>
                  </a:cubicBezTo>
                  <a:cubicBezTo>
                    <a:pt x="62" y="121"/>
                    <a:pt x="106" y="121"/>
                    <a:pt x="127" y="121"/>
                  </a:cubicBezTo>
                  <a:cubicBezTo>
                    <a:pt x="127" y="121"/>
                    <a:pt x="128" y="121"/>
                    <a:pt x="128" y="121"/>
                  </a:cubicBezTo>
                  <a:cubicBezTo>
                    <a:pt x="130" y="121"/>
                    <a:pt x="130" y="121"/>
                    <a:pt x="130" y="121"/>
                  </a:cubicBezTo>
                  <a:cubicBezTo>
                    <a:pt x="131" y="121"/>
                    <a:pt x="134" y="121"/>
                    <a:pt x="136" y="121"/>
                  </a:cubicBezTo>
                  <a:cubicBezTo>
                    <a:pt x="150" y="121"/>
                    <a:pt x="150" y="121"/>
                    <a:pt x="150" y="121"/>
                  </a:cubicBezTo>
                  <a:cubicBezTo>
                    <a:pt x="169" y="121"/>
                    <a:pt x="184" y="106"/>
                    <a:pt x="184" y="87"/>
                  </a:cubicBezTo>
                  <a:cubicBezTo>
                    <a:pt x="184" y="70"/>
                    <a:pt x="171" y="56"/>
                    <a:pt x="154" y="53"/>
                  </a:cubicBezTo>
                  <a:close/>
                </a:path>
              </a:pathLst>
            </a:custGeom>
            <a:solidFill>
              <a:srgbClr val="9B4F9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93" name="Freeform 92">
              <a:extLst>
                <a:ext uri="{FF2B5EF4-FFF2-40B4-BE49-F238E27FC236}">
                  <a16:creationId xmlns:a16="http://schemas.microsoft.com/office/drawing/2014/main" id="{00000000-0008-0000-0000-00005D000000}"/>
                </a:ext>
              </a:extLst>
            </xdr:cNvPr>
            <xdr:cNvSpPr>
              <a:spLocks/>
            </xdr:cNvSpPr>
          </xdr:nvSpPr>
          <xdr:spPr bwMode="auto">
            <a:xfrm>
              <a:off x="4982" y="509"/>
              <a:ext cx="186" cy="122"/>
            </a:xfrm>
            <a:custGeom>
              <a:avLst/>
              <a:gdLst>
                <a:gd name="T0" fmla="*/ 112 w 133"/>
                <a:gd name="T1" fmla="*/ 38 h 87"/>
                <a:gd name="T2" fmla="*/ 112 w 133"/>
                <a:gd name="T3" fmla="*/ 36 h 87"/>
                <a:gd name="T4" fmla="*/ 75 w 133"/>
                <a:gd name="T5" fmla="*/ 0 h 87"/>
                <a:gd name="T6" fmla="*/ 45 w 133"/>
                <a:gd name="T7" fmla="*/ 16 h 87"/>
                <a:gd name="T8" fmla="*/ 35 w 133"/>
                <a:gd name="T9" fmla="*/ 13 h 87"/>
                <a:gd name="T10" fmla="*/ 23 w 133"/>
                <a:gd name="T11" fmla="*/ 17 h 87"/>
                <a:gd name="T12" fmla="*/ 14 w 133"/>
                <a:gd name="T13" fmla="*/ 34 h 87"/>
                <a:gd name="T14" fmla="*/ 0 w 133"/>
                <a:gd name="T15" fmla="*/ 58 h 87"/>
                <a:gd name="T16" fmla="*/ 26 w 133"/>
                <a:gd name="T17" fmla="*/ 87 h 87"/>
                <a:gd name="T18" fmla="*/ 29 w 133"/>
                <a:gd name="T19" fmla="*/ 87 h 87"/>
                <a:gd name="T20" fmla="*/ 32 w 133"/>
                <a:gd name="T21" fmla="*/ 87 h 87"/>
                <a:gd name="T22" fmla="*/ 92 w 133"/>
                <a:gd name="T23" fmla="*/ 87 h 87"/>
                <a:gd name="T24" fmla="*/ 93 w 133"/>
                <a:gd name="T25" fmla="*/ 87 h 87"/>
                <a:gd name="T26" fmla="*/ 95 w 133"/>
                <a:gd name="T27" fmla="*/ 87 h 87"/>
                <a:gd name="T28" fmla="*/ 99 w 133"/>
                <a:gd name="T29" fmla="*/ 87 h 87"/>
                <a:gd name="T30" fmla="*/ 108 w 133"/>
                <a:gd name="T31" fmla="*/ 87 h 87"/>
                <a:gd name="T32" fmla="*/ 133 w 133"/>
                <a:gd name="T33" fmla="*/ 62 h 87"/>
                <a:gd name="T34" fmla="*/ 112 w 133"/>
                <a:gd name="T35" fmla="*/ 38 h 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133" h="87">
                  <a:moveTo>
                    <a:pt x="112" y="38"/>
                  </a:moveTo>
                  <a:cubicBezTo>
                    <a:pt x="112" y="37"/>
                    <a:pt x="112" y="37"/>
                    <a:pt x="112" y="36"/>
                  </a:cubicBezTo>
                  <a:cubicBezTo>
                    <a:pt x="112" y="16"/>
                    <a:pt x="96" y="0"/>
                    <a:pt x="75" y="0"/>
                  </a:cubicBezTo>
                  <a:cubicBezTo>
                    <a:pt x="63" y="0"/>
                    <a:pt x="51" y="6"/>
                    <a:pt x="45" y="16"/>
                  </a:cubicBezTo>
                  <a:cubicBezTo>
                    <a:pt x="42" y="14"/>
                    <a:pt x="39" y="13"/>
                    <a:pt x="35" y="13"/>
                  </a:cubicBezTo>
                  <a:cubicBezTo>
                    <a:pt x="30" y="13"/>
                    <a:pt x="26" y="15"/>
                    <a:pt x="23" y="17"/>
                  </a:cubicBezTo>
                  <a:cubicBezTo>
                    <a:pt x="17" y="20"/>
                    <a:pt x="14" y="27"/>
                    <a:pt x="14" y="34"/>
                  </a:cubicBezTo>
                  <a:cubicBezTo>
                    <a:pt x="6" y="39"/>
                    <a:pt x="0" y="48"/>
                    <a:pt x="0" y="58"/>
                  </a:cubicBezTo>
                  <a:cubicBezTo>
                    <a:pt x="0" y="73"/>
                    <a:pt x="12" y="85"/>
                    <a:pt x="26" y="87"/>
                  </a:cubicBezTo>
                  <a:cubicBezTo>
                    <a:pt x="27" y="87"/>
                    <a:pt x="28" y="87"/>
                    <a:pt x="29" y="87"/>
                  </a:cubicBezTo>
                  <a:cubicBezTo>
                    <a:pt x="30" y="87"/>
                    <a:pt x="31" y="87"/>
                    <a:pt x="32" y="87"/>
                  </a:cubicBezTo>
                  <a:cubicBezTo>
                    <a:pt x="46" y="87"/>
                    <a:pt x="77" y="87"/>
                    <a:pt x="92" y="87"/>
                  </a:cubicBezTo>
                  <a:cubicBezTo>
                    <a:pt x="92" y="87"/>
                    <a:pt x="93" y="87"/>
                    <a:pt x="93" y="87"/>
                  </a:cubicBezTo>
                  <a:cubicBezTo>
                    <a:pt x="95" y="87"/>
                    <a:pt x="95" y="87"/>
                    <a:pt x="95" y="87"/>
                  </a:cubicBezTo>
                  <a:cubicBezTo>
                    <a:pt x="95" y="87"/>
                    <a:pt x="98" y="87"/>
                    <a:pt x="99" y="87"/>
                  </a:cubicBezTo>
                  <a:cubicBezTo>
                    <a:pt x="108" y="87"/>
                    <a:pt x="108" y="87"/>
                    <a:pt x="108" y="87"/>
                  </a:cubicBezTo>
                  <a:cubicBezTo>
                    <a:pt x="122" y="87"/>
                    <a:pt x="133" y="76"/>
                    <a:pt x="133" y="62"/>
                  </a:cubicBezTo>
                  <a:cubicBezTo>
                    <a:pt x="133" y="50"/>
                    <a:pt x="124" y="40"/>
                    <a:pt x="112" y="38"/>
                  </a:cubicBezTo>
                  <a:close/>
                </a:path>
              </a:pathLst>
            </a:custGeom>
            <a:solidFill>
              <a:srgbClr val="68217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94" name="Freeform 93">
              <a:extLst>
                <a:ext uri="{FF2B5EF4-FFF2-40B4-BE49-F238E27FC236}">
                  <a16:creationId xmlns:a16="http://schemas.microsoft.com/office/drawing/2014/main" id="{00000000-0008-0000-0000-00005E000000}"/>
                </a:ext>
              </a:extLst>
            </xdr:cNvPr>
            <xdr:cNvSpPr>
              <a:spLocks/>
            </xdr:cNvSpPr>
          </xdr:nvSpPr>
          <xdr:spPr bwMode="auto">
            <a:xfrm>
              <a:off x="4448" y="565"/>
              <a:ext cx="339" cy="224"/>
            </a:xfrm>
            <a:custGeom>
              <a:avLst/>
              <a:gdLst>
                <a:gd name="T0" fmla="*/ 203 w 242"/>
                <a:gd name="T1" fmla="*/ 70 h 160"/>
                <a:gd name="T2" fmla="*/ 203 w 242"/>
                <a:gd name="T3" fmla="*/ 67 h 160"/>
                <a:gd name="T4" fmla="*/ 136 w 242"/>
                <a:gd name="T5" fmla="*/ 0 h 160"/>
                <a:gd name="T6" fmla="*/ 81 w 242"/>
                <a:gd name="T7" fmla="*/ 30 h 160"/>
                <a:gd name="T8" fmla="*/ 62 w 242"/>
                <a:gd name="T9" fmla="*/ 25 h 160"/>
                <a:gd name="T10" fmla="*/ 24 w 242"/>
                <a:gd name="T11" fmla="*/ 63 h 160"/>
                <a:gd name="T12" fmla="*/ 0 w 242"/>
                <a:gd name="T13" fmla="*/ 107 h 160"/>
                <a:gd name="T14" fmla="*/ 46 w 242"/>
                <a:gd name="T15" fmla="*/ 160 h 160"/>
                <a:gd name="T16" fmla="*/ 52 w 242"/>
                <a:gd name="T17" fmla="*/ 160 h 160"/>
                <a:gd name="T18" fmla="*/ 57 w 242"/>
                <a:gd name="T19" fmla="*/ 160 h 160"/>
                <a:gd name="T20" fmla="*/ 166 w 242"/>
                <a:gd name="T21" fmla="*/ 160 h 160"/>
                <a:gd name="T22" fmla="*/ 171 w 242"/>
                <a:gd name="T23" fmla="*/ 160 h 160"/>
                <a:gd name="T24" fmla="*/ 179 w 242"/>
                <a:gd name="T25" fmla="*/ 160 h 160"/>
                <a:gd name="T26" fmla="*/ 197 w 242"/>
                <a:gd name="T27" fmla="*/ 160 h 160"/>
                <a:gd name="T28" fmla="*/ 242 w 242"/>
                <a:gd name="T29" fmla="*/ 115 h 160"/>
                <a:gd name="T30" fmla="*/ 203 w 242"/>
                <a:gd name="T31" fmla="*/ 70 h 1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242" h="160">
                  <a:moveTo>
                    <a:pt x="203" y="70"/>
                  </a:moveTo>
                  <a:cubicBezTo>
                    <a:pt x="203" y="69"/>
                    <a:pt x="203" y="68"/>
                    <a:pt x="203" y="67"/>
                  </a:cubicBezTo>
                  <a:cubicBezTo>
                    <a:pt x="203" y="30"/>
                    <a:pt x="173" y="0"/>
                    <a:pt x="136" y="0"/>
                  </a:cubicBezTo>
                  <a:cubicBezTo>
                    <a:pt x="113" y="0"/>
                    <a:pt x="93" y="12"/>
                    <a:pt x="81" y="30"/>
                  </a:cubicBezTo>
                  <a:cubicBezTo>
                    <a:pt x="75" y="27"/>
                    <a:pt x="69" y="25"/>
                    <a:pt x="62" y="25"/>
                  </a:cubicBezTo>
                  <a:cubicBezTo>
                    <a:pt x="41" y="25"/>
                    <a:pt x="24" y="42"/>
                    <a:pt x="24" y="63"/>
                  </a:cubicBezTo>
                  <a:cubicBezTo>
                    <a:pt x="9" y="73"/>
                    <a:pt x="0" y="89"/>
                    <a:pt x="0" y="107"/>
                  </a:cubicBezTo>
                  <a:cubicBezTo>
                    <a:pt x="0" y="135"/>
                    <a:pt x="20" y="157"/>
                    <a:pt x="46" y="160"/>
                  </a:cubicBezTo>
                  <a:cubicBezTo>
                    <a:pt x="48" y="160"/>
                    <a:pt x="50" y="160"/>
                    <a:pt x="52" y="160"/>
                  </a:cubicBezTo>
                  <a:cubicBezTo>
                    <a:pt x="54" y="160"/>
                    <a:pt x="56" y="160"/>
                    <a:pt x="57" y="160"/>
                  </a:cubicBezTo>
                  <a:cubicBezTo>
                    <a:pt x="82" y="160"/>
                    <a:pt x="139" y="160"/>
                    <a:pt x="166" y="160"/>
                  </a:cubicBezTo>
                  <a:cubicBezTo>
                    <a:pt x="171" y="160"/>
                    <a:pt x="171" y="160"/>
                    <a:pt x="171" y="160"/>
                  </a:cubicBezTo>
                  <a:cubicBezTo>
                    <a:pt x="173" y="160"/>
                    <a:pt x="177" y="160"/>
                    <a:pt x="179" y="160"/>
                  </a:cubicBezTo>
                  <a:cubicBezTo>
                    <a:pt x="197" y="160"/>
                    <a:pt x="197" y="160"/>
                    <a:pt x="197" y="160"/>
                  </a:cubicBezTo>
                  <a:cubicBezTo>
                    <a:pt x="222" y="160"/>
                    <a:pt x="242" y="139"/>
                    <a:pt x="242" y="115"/>
                  </a:cubicBezTo>
                  <a:cubicBezTo>
                    <a:pt x="242" y="92"/>
                    <a:pt x="225" y="73"/>
                    <a:pt x="203" y="70"/>
                  </a:cubicBezTo>
                </a:path>
              </a:pathLst>
            </a:custGeom>
            <a:solidFill>
              <a:srgbClr val="D9D9D9"/>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95" name="Freeform 94">
              <a:extLst>
                <a:ext uri="{FF2B5EF4-FFF2-40B4-BE49-F238E27FC236}">
                  <a16:creationId xmlns:a16="http://schemas.microsoft.com/office/drawing/2014/main" id="{00000000-0008-0000-0000-00005F000000}"/>
                </a:ext>
              </a:extLst>
            </xdr:cNvPr>
            <xdr:cNvSpPr>
              <a:spLocks/>
            </xdr:cNvSpPr>
          </xdr:nvSpPr>
          <xdr:spPr bwMode="auto">
            <a:xfrm>
              <a:off x="4783" y="877"/>
              <a:ext cx="141" cy="33"/>
            </a:xfrm>
            <a:custGeom>
              <a:avLst/>
              <a:gdLst>
                <a:gd name="T0" fmla="*/ 73 w 101"/>
                <a:gd name="T1" fmla="*/ 0 h 23"/>
                <a:gd name="T2" fmla="*/ 55 w 101"/>
                <a:gd name="T3" fmla="*/ 5 h 23"/>
                <a:gd name="T4" fmla="*/ 36 w 101"/>
                <a:gd name="T5" fmla="*/ 0 h 23"/>
                <a:gd name="T6" fmla="*/ 0 w 101"/>
                <a:gd name="T7" fmla="*/ 23 h 23"/>
                <a:gd name="T8" fmla="*/ 36 w 101"/>
                <a:gd name="T9" fmla="*/ 9 h 23"/>
                <a:gd name="T10" fmla="*/ 49 w 101"/>
                <a:gd name="T11" fmla="*/ 11 h 23"/>
                <a:gd name="T12" fmla="*/ 45 w 101"/>
                <a:gd name="T13" fmla="*/ 18 h 23"/>
                <a:gd name="T14" fmla="*/ 53 w 101"/>
                <a:gd name="T15" fmla="*/ 12 h 23"/>
                <a:gd name="T16" fmla="*/ 61 w 101"/>
                <a:gd name="T17" fmla="*/ 9 h 23"/>
                <a:gd name="T18" fmla="*/ 73 w 101"/>
                <a:gd name="T19" fmla="*/ 7 h 23"/>
                <a:gd name="T20" fmla="*/ 101 w 101"/>
                <a:gd name="T21" fmla="*/ 18 h 23"/>
                <a:gd name="T22" fmla="*/ 73 w 101"/>
                <a:gd name="T23" fmla="*/ 0 h 2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01" h="23">
                  <a:moveTo>
                    <a:pt x="73" y="0"/>
                  </a:moveTo>
                  <a:cubicBezTo>
                    <a:pt x="66" y="0"/>
                    <a:pt x="60" y="2"/>
                    <a:pt x="55" y="5"/>
                  </a:cubicBezTo>
                  <a:cubicBezTo>
                    <a:pt x="50" y="2"/>
                    <a:pt x="43" y="0"/>
                    <a:pt x="36" y="0"/>
                  </a:cubicBezTo>
                  <a:cubicBezTo>
                    <a:pt x="20" y="0"/>
                    <a:pt x="6" y="9"/>
                    <a:pt x="0" y="23"/>
                  </a:cubicBezTo>
                  <a:cubicBezTo>
                    <a:pt x="8" y="15"/>
                    <a:pt x="21" y="9"/>
                    <a:pt x="36" y="9"/>
                  </a:cubicBezTo>
                  <a:cubicBezTo>
                    <a:pt x="40" y="9"/>
                    <a:pt x="45" y="10"/>
                    <a:pt x="49" y="11"/>
                  </a:cubicBezTo>
                  <a:cubicBezTo>
                    <a:pt x="48" y="13"/>
                    <a:pt x="46" y="15"/>
                    <a:pt x="45" y="18"/>
                  </a:cubicBezTo>
                  <a:cubicBezTo>
                    <a:pt x="47" y="15"/>
                    <a:pt x="50" y="13"/>
                    <a:pt x="53" y="12"/>
                  </a:cubicBezTo>
                  <a:cubicBezTo>
                    <a:pt x="55" y="11"/>
                    <a:pt x="58" y="10"/>
                    <a:pt x="61" y="9"/>
                  </a:cubicBezTo>
                  <a:cubicBezTo>
                    <a:pt x="64" y="8"/>
                    <a:pt x="69" y="7"/>
                    <a:pt x="73" y="7"/>
                  </a:cubicBezTo>
                  <a:cubicBezTo>
                    <a:pt x="84" y="7"/>
                    <a:pt x="94" y="11"/>
                    <a:pt x="101" y="18"/>
                  </a:cubicBezTo>
                  <a:cubicBezTo>
                    <a:pt x="96" y="7"/>
                    <a:pt x="85" y="0"/>
                    <a:pt x="73" y="0"/>
                  </a:cubicBezTo>
                </a:path>
              </a:pathLst>
            </a:custGeom>
            <a:solidFill>
              <a:srgbClr val="BFBFBF"/>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96" name="Freeform 95">
              <a:extLst>
                <a:ext uri="{FF2B5EF4-FFF2-40B4-BE49-F238E27FC236}">
                  <a16:creationId xmlns:a16="http://schemas.microsoft.com/office/drawing/2014/main" id="{00000000-0008-0000-0000-000060000000}"/>
                </a:ext>
              </a:extLst>
            </xdr:cNvPr>
            <xdr:cNvSpPr>
              <a:spLocks/>
            </xdr:cNvSpPr>
          </xdr:nvSpPr>
          <xdr:spPr bwMode="auto">
            <a:xfrm>
              <a:off x="4896" y="820"/>
              <a:ext cx="140" cy="31"/>
            </a:xfrm>
            <a:custGeom>
              <a:avLst/>
              <a:gdLst>
                <a:gd name="T0" fmla="*/ 72 w 100"/>
                <a:gd name="T1" fmla="*/ 0 h 22"/>
                <a:gd name="T2" fmla="*/ 55 w 100"/>
                <a:gd name="T3" fmla="*/ 5 h 22"/>
                <a:gd name="T4" fmla="*/ 35 w 100"/>
                <a:gd name="T5" fmla="*/ 0 h 22"/>
                <a:gd name="T6" fmla="*/ 0 w 100"/>
                <a:gd name="T7" fmla="*/ 22 h 22"/>
                <a:gd name="T8" fmla="*/ 35 w 100"/>
                <a:gd name="T9" fmla="*/ 9 h 22"/>
                <a:gd name="T10" fmla="*/ 49 w 100"/>
                <a:gd name="T11" fmla="*/ 11 h 22"/>
                <a:gd name="T12" fmla="*/ 45 w 100"/>
                <a:gd name="T13" fmla="*/ 17 h 22"/>
                <a:gd name="T14" fmla="*/ 53 w 100"/>
                <a:gd name="T15" fmla="*/ 12 h 22"/>
                <a:gd name="T16" fmla="*/ 60 w 100"/>
                <a:gd name="T17" fmla="*/ 9 h 22"/>
                <a:gd name="T18" fmla="*/ 72 w 100"/>
                <a:gd name="T19" fmla="*/ 7 h 22"/>
                <a:gd name="T20" fmla="*/ 100 w 100"/>
                <a:gd name="T21" fmla="*/ 17 h 22"/>
                <a:gd name="T22" fmla="*/ 72 w 100"/>
                <a:gd name="T23" fmla="*/ 0 h 2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00" h="22">
                  <a:moveTo>
                    <a:pt x="72" y="0"/>
                  </a:moveTo>
                  <a:cubicBezTo>
                    <a:pt x="66" y="0"/>
                    <a:pt x="60" y="2"/>
                    <a:pt x="55" y="5"/>
                  </a:cubicBezTo>
                  <a:cubicBezTo>
                    <a:pt x="49" y="2"/>
                    <a:pt x="43" y="0"/>
                    <a:pt x="35" y="0"/>
                  </a:cubicBezTo>
                  <a:cubicBezTo>
                    <a:pt x="19" y="0"/>
                    <a:pt x="6" y="9"/>
                    <a:pt x="0" y="22"/>
                  </a:cubicBezTo>
                  <a:cubicBezTo>
                    <a:pt x="8" y="14"/>
                    <a:pt x="21" y="9"/>
                    <a:pt x="35" y="9"/>
                  </a:cubicBezTo>
                  <a:cubicBezTo>
                    <a:pt x="40" y="9"/>
                    <a:pt x="45" y="10"/>
                    <a:pt x="49" y="11"/>
                  </a:cubicBezTo>
                  <a:cubicBezTo>
                    <a:pt x="47" y="13"/>
                    <a:pt x="46" y="15"/>
                    <a:pt x="45" y="17"/>
                  </a:cubicBezTo>
                  <a:cubicBezTo>
                    <a:pt x="47" y="15"/>
                    <a:pt x="50" y="13"/>
                    <a:pt x="53" y="12"/>
                  </a:cubicBezTo>
                  <a:cubicBezTo>
                    <a:pt x="55" y="10"/>
                    <a:pt x="58" y="9"/>
                    <a:pt x="60" y="9"/>
                  </a:cubicBezTo>
                  <a:cubicBezTo>
                    <a:pt x="64" y="8"/>
                    <a:pt x="68" y="7"/>
                    <a:pt x="72" y="7"/>
                  </a:cubicBezTo>
                  <a:cubicBezTo>
                    <a:pt x="83" y="7"/>
                    <a:pt x="93" y="11"/>
                    <a:pt x="100" y="17"/>
                  </a:cubicBezTo>
                  <a:cubicBezTo>
                    <a:pt x="95" y="7"/>
                    <a:pt x="85" y="0"/>
                    <a:pt x="72" y="0"/>
                  </a:cubicBezTo>
                </a:path>
              </a:pathLst>
            </a:custGeom>
            <a:solidFill>
              <a:srgbClr val="BFBFBF"/>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97" name="Freeform 96">
              <a:extLst>
                <a:ext uri="{FF2B5EF4-FFF2-40B4-BE49-F238E27FC236}">
                  <a16:creationId xmlns:a16="http://schemas.microsoft.com/office/drawing/2014/main" id="{00000000-0008-0000-0000-000061000000}"/>
                </a:ext>
              </a:extLst>
            </xdr:cNvPr>
            <xdr:cNvSpPr>
              <a:spLocks/>
            </xdr:cNvSpPr>
          </xdr:nvSpPr>
          <xdr:spPr bwMode="auto">
            <a:xfrm>
              <a:off x="4962" y="865"/>
              <a:ext cx="142" cy="33"/>
            </a:xfrm>
            <a:custGeom>
              <a:avLst/>
              <a:gdLst>
                <a:gd name="T0" fmla="*/ 73 w 101"/>
                <a:gd name="T1" fmla="*/ 0 h 24"/>
                <a:gd name="T2" fmla="*/ 56 w 101"/>
                <a:gd name="T3" fmla="*/ 6 h 24"/>
                <a:gd name="T4" fmla="*/ 36 w 101"/>
                <a:gd name="T5" fmla="*/ 0 h 24"/>
                <a:gd name="T6" fmla="*/ 0 w 101"/>
                <a:gd name="T7" fmla="*/ 24 h 24"/>
                <a:gd name="T8" fmla="*/ 36 w 101"/>
                <a:gd name="T9" fmla="*/ 10 h 24"/>
                <a:gd name="T10" fmla="*/ 49 w 101"/>
                <a:gd name="T11" fmla="*/ 12 h 24"/>
                <a:gd name="T12" fmla="*/ 45 w 101"/>
                <a:gd name="T13" fmla="*/ 19 h 24"/>
                <a:gd name="T14" fmla="*/ 53 w 101"/>
                <a:gd name="T15" fmla="*/ 13 h 24"/>
                <a:gd name="T16" fmla="*/ 61 w 101"/>
                <a:gd name="T17" fmla="*/ 9 h 24"/>
                <a:gd name="T18" fmla="*/ 73 w 101"/>
                <a:gd name="T19" fmla="*/ 8 h 24"/>
                <a:gd name="T20" fmla="*/ 101 w 101"/>
                <a:gd name="T21" fmla="*/ 19 h 24"/>
                <a:gd name="T22" fmla="*/ 73 w 101"/>
                <a:gd name="T23" fmla="*/ 0 h 2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01" h="24">
                  <a:moveTo>
                    <a:pt x="73" y="0"/>
                  </a:moveTo>
                  <a:cubicBezTo>
                    <a:pt x="67" y="0"/>
                    <a:pt x="61" y="2"/>
                    <a:pt x="56" y="6"/>
                  </a:cubicBezTo>
                  <a:cubicBezTo>
                    <a:pt x="50" y="2"/>
                    <a:pt x="43" y="0"/>
                    <a:pt x="36" y="0"/>
                  </a:cubicBezTo>
                  <a:cubicBezTo>
                    <a:pt x="20" y="0"/>
                    <a:pt x="6" y="10"/>
                    <a:pt x="0" y="24"/>
                  </a:cubicBezTo>
                  <a:cubicBezTo>
                    <a:pt x="9" y="15"/>
                    <a:pt x="22" y="10"/>
                    <a:pt x="36" y="10"/>
                  </a:cubicBezTo>
                  <a:cubicBezTo>
                    <a:pt x="41" y="10"/>
                    <a:pt x="45" y="10"/>
                    <a:pt x="49" y="12"/>
                  </a:cubicBezTo>
                  <a:cubicBezTo>
                    <a:pt x="48" y="14"/>
                    <a:pt x="46" y="16"/>
                    <a:pt x="45" y="19"/>
                  </a:cubicBezTo>
                  <a:cubicBezTo>
                    <a:pt x="48" y="16"/>
                    <a:pt x="50" y="14"/>
                    <a:pt x="53" y="13"/>
                  </a:cubicBezTo>
                  <a:cubicBezTo>
                    <a:pt x="56" y="11"/>
                    <a:pt x="58" y="10"/>
                    <a:pt x="61" y="9"/>
                  </a:cubicBezTo>
                  <a:cubicBezTo>
                    <a:pt x="65" y="8"/>
                    <a:pt x="69" y="8"/>
                    <a:pt x="73" y="8"/>
                  </a:cubicBezTo>
                  <a:cubicBezTo>
                    <a:pt x="84" y="8"/>
                    <a:pt x="94" y="12"/>
                    <a:pt x="101" y="19"/>
                  </a:cubicBezTo>
                  <a:cubicBezTo>
                    <a:pt x="96" y="8"/>
                    <a:pt x="85" y="0"/>
                    <a:pt x="73" y="0"/>
                  </a:cubicBezTo>
                </a:path>
              </a:pathLst>
            </a:custGeom>
            <a:solidFill>
              <a:srgbClr val="BFBFBF"/>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grpSp>
      <xdr:sp macro="" textlink="">
        <xdr:nvSpPr>
          <xdr:cNvPr id="47" name="Rectangle 46">
            <a:extLst>
              <a:ext uri="{FF2B5EF4-FFF2-40B4-BE49-F238E27FC236}">
                <a16:creationId xmlns:a16="http://schemas.microsoft.com/office/drawing/2014/main" id="{00000000-0008-0000-0000-00002F000000}"/>
              </a:ext>
            </a:extLst>
          </xdr:cNvPr>
          <xdr:cNvSpPr>
            <a:spLocks noChangeArrowheads="1"/>
          </xdr:cNvSpPr>
        </xdr:nvSpPr>
        <xdr:spPr bwMode="auto">
          <a:xfrm>
            <a:off x="7447436" y="1870382"/>
            <a:ext cx="155575" cy="162559"/>
          </a:xfrm>
          <a:prstGeom prst="rect">
            <a:avLst/>
          </a:prstGeom>
          <a:solidFill>
            <a:srgbClr val="FFC000"/>
          </a:solidFill>
          <a:ln w="3175">
            <a:solidFill>
              <a:srgbClr val="FF0000"/>
            </a:solidFill>
          </a:ln>
          <a:effectLst>
            <a:softEdge rad="31750"/>
          </a:effec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48" name="Freeform 47">
            <a:extLst>
              <a:ext uri="{FF2B5EF4-FFF2-40B4-BE49-F238E27FC236}">
                <a16:creationId xmlns:a16="http://schemas.microsoft.com/office/drawing/2014/main" id="{00000000-0008-0000-0000-000030000000}"/>
              </a:ext>
            </a:extLst>
          </xdr:cNvPr>
          <xdr:cNvSpPr>
            <a:spLocks/>
          </xdr:cNvSpPr>
        </xdr:nvSpPr>
        <xdr:spPr bwMode="auto">
          <a:xfrm>
            <a:off x="7475169" y="1928133"/>
            <a:ext cx="51407" cy="47057"/>
          </a:xfrm>
          <a:custGeom>
            <a:avLst/>
            <a:gdLst>
              <a:gd name="T0" fmla="*/ 49 w 54"/>
              <a:gd name="T1" fmla="*/ 33 h 47"/>
              <a:gd name="T2" fmla="*/ 52 w 54"/>
              <a:gd name="T3" fmla="*/ 22 h 47"/>
              <a:gd name="T4" fmla="*/ 54 w 54"/>
              <a:gd name="T5" fmla="*/ 14 h 47"/>
              <a:gd name="T6" fmla="*/ 52 w 54"/>
              <a:gd name="T7" fmla="*/ 5 h 47"/>
              <a:gd name="T8" fmla="*/ 51 w 54"/>
              <a:gd name="T9" fmla="*/ 3 h 47"/>
              <a:gd name="T10" fmla="*/ 40 w 54"/>
              <a:gd name="T11" fmla="*/ 0 h 47"/>
              <a:gd name="T12" fmla="*/ 24 w 54"/>
              <a:gd name="T13" fmla="*/ 9 h 47"/>
              <a:gd name="T14" fmla="*/ 19 w 54"/>
              <a:gd name="T15" fmla="*/ 7 h 47"/>
              <a:gd name="T16" fmla="*/ 12 w 54"/>
              <a:gd name="T17" fmla="*/ 9 h 47"/>
              <a:gd name="T18" fmla="*/ 7 w 54"/>
              <a:gd name="T19" fmla="*/ 19 h 47"/>
              <a:gd name="T20" fmla="*/ 0 w 54"/>
              <a:gd name="T21" fmla="*/ 31 h 47"/>
              <a:gd name="T22" fmla="*/ 14 w 54"/>
              <a:gd name="T23" fmla="*/ 47 h 47"/>
              <a:gd name="T24" fmla="*/ 16 w 54"/>
              <a:gd name="T25" fmla="*/ 47 h 47"/>
              <a:gd name="T26" fmla="*/ 17 w 54"/>
              <a:gd name="T27" fmla="*/ 47 h 47"/>
              <a:gd name="T28" fmla="*/ 49 w 54"/>
              <a:gd name="T29" fmla="*/ 47 h 47"/>
              <a:gd name="T30" fmla="*/ 50 w 54"/>
              <a:gd name="T31" fmla="*/ 47 h 47"/>
              <a:gd name="T32" fmla="*/ 50 w 54"/>
              <a:gd name="T33" fmla="*/ 47 h 47"/>
              <a:gd name="T34" fmla="*/ 53 w 54"/>
              <a:gd name="T35" fmla="*/ 47 h 47"/>
              <a:gd name="T36" fmla="*/ 53 w 54"/>
              <a:gd name="T37" fmla="*/ 47 h 47"/>
              <a:gd name="T38" fmla="*/ 52 w 54"/>
              <a:gd name="T39" fmla="*/ 44 h 47"/>
              <a:gd name="T40" fmla="*/ 49 w 54"/>
              <a:gd name="T41" fmla="*/ 33 h 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54" h="47">
                <a:moveTo>
                  <a:pt x="49" y="33"/>
                </a:moveTo>
                <a:cubicBezTo>
                  <a:pt x="49" y="28"/>
                  <a:pt x="51" y="25"/>
                  <a:pt x="52" y="22"/>
                </a:cubicBezTo>
                <a:cubicBezTo>
                  <a:pt x="53" y="20"/>
                  <a:pt x="54" y="18"/>
                  <a:pt x="54" y="14"/>
                </a:cubicBezTo>
                <a:cubicBezTo>
                  <a:pt x="54" y="10"/>
                  <a:pt x="53" y="8"/>
                  <a:pt x="52" y="5"/>
                </a:cubicBezTo>
                <a:cubicBezTo>
                  <a:pt x="52" y="5"/>
                  <a:pt x="51" y="4"/>
                  <a:pt x="51" y="3"/>
                </a:cubicBezTo>
                <a:cubicBezTo>
                  <a:pt x="48" y="1"/>
                  <a:pt x="44" y="0"/>
                  <a:pt x="40" y="0"/>
                </a:cubicBezTo>
                <a:cubicBezTo>
                  <a:pt x="33" y="0"/>
                  <a:pt x="27" y="4"/>
                  <a:pt x="24" y="9"/>
                </a:cubicBezTo>
                <a:cubicBezTo>
                  <a:pt x="22" y="8"/>
                  <a:pt x="21" y="7"/>
                  <a:pt x="19" y="7"/>
                </a:cubicBezTo>
                <a:cubicBezTo>
                  <a:pt x="16" y="7"/>
                  <a:pt x="14" y="8"/>
                  <a:pt x="12" y="9"/>
                </a:cubicBezTo>
                <a:cubicBezTo>
                  <a:pt x="9" y="11"/>
                  <a:pt x="7" y="15"/>
                  <a:pt x="7" y="19"/>
                </a:cubicBezTo>
                <a:cubicBezTo>
                  <a:pt x="3" y="21"/>
                  <a:pt x="0" y="26"/>
                  <a:pt x="0" y="31"/>
                </a:cubicBezTo>
                <a:cubicBezTo>
                  <a:pt x="0" y="39"/>
                  <a:pt x="6" y="46"/>
                  <a:pt x="14" y="47"/>
                </a:cubicBezTo>
                <a:cubicBezTo>
                  <a:pt x="14" y="47"/>
                  <a:pt x="15" y="47"/>
                  <a:pt x="16" y="47"/>
                </a:cubicBezTo>
                <a:cubicBezTo>
                  <a:pt x="16" y="47"/>
                  <a:pt x="17" y="47"/>
                  <a:pt x="17" y="47"/>
                </a:cubicBezTo>
                <a:cubicBezTo>
                  <a:pt x="24" y="47"/>
                  <a:pt x="41" y="47"/>
                  <a:pt x="49" y="47"/>
                </a:cubicBezTo>
                <a:cubicBezTo>
                  <a:pt x="49" y="47"/>
                  <a:pt x="49" y="47"/>
                  <a:pt x="50" y="47"/>
                </a:cubicBezTo>
                <a:cubicBezTo>
                  <a:pt x="50" y="47"/>
                  <a:pt x="50" y="47"/>
                  <a:pt x="50" y="47"/>
                </a:cubicBezTo>
                <a:cubicBezTo>
                  <a:pt x="51" y="47"/>
                  <a:pt x="52" y="47"/>
                  <a:pt x="53" y="47"/>
                </a:cubicBezTo>
                <a:cubicBezTo>
                  <a:pt x="53" y="47"/>
                  <a:pt x="53" y="47"/>
                  <a:pt x="53" y="47"/>
                </a:cubicBezTo>
                <a:cubicBezTo>
                  <a:pt x="53" y="46"/>
                  <a:pt x="52" y="45"/>
                  <a:pt x="52" y="44"/>
                </a:cubicBezTo>
                <a:cubicBezTo>
                  <a:pt x="51" y="41"/>
                  <a:pt x="49" y="39"/>
                  <a:pt x="49" y="33"/>
                </a:cubicBezTo>
                <a:close/>
              </a:path>
            </a:pathLst>
          </a:custGeom>
          <a:solidFill>
            <a:srgbClr val="BA141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49" name="Freeform 48">
            <a:extLst>
              <a:ext uri="{FF2B5EF4-FFF2-40B4-BE49-F238E27FC236}">
                <a16:creationId xmlns:a16="http://schemas.microsoft.com/office/drawing/2014/main" id="{00000000-0008-0000-0000-000031000000}"/>
              </a:ext>
            </a:extLst>
          </xdr:cNvPr>
          <xdr:cNvSpPr>
            <a:spLocks/>
          </xdr:cNvSpPr>
        </xdr:nvSpPr>
        <xdr:spPr bwMode="auto">
          <a:xfrm>
            <a:off x="7531988" y="1940967"/>
            <a:ext cx="677" cy="2139"/>
          </a:xfrm>
          <a:custGeom>
            <a:avLst/>
            <a:gdLst>
              <a:gd name="T0" fmla="*/ 1 w 1"/>
              <a:gd name="T1" fmla="*/ 1 h 2"/>
              <a:gd name="T2" fmla="*/ 0 w 1"/>
              <a:gd name="T3" fmla="*/ 0 h 2"/>
              <a:gd name="T4" fmla="*/ 0 w 1"/>
              <a:gd name="T5" fmla="*/ 2 h 2"/>
              <a:gd name="T6" fmla="*/ 1 w 1"/>
              <a:gd name="T7" fmla="*/ 1 h 2"/>
            </a:gdLst>
            <a:ahLst/>
            <a:cxnLst>
              <a:cxn ang="0">
                <a:pos x="T0" y="T1"/>
              </a:cxn>
              <a:cxn ang="0">
                <a:pos x="T2" y="T3"/>
              </a:cxn>
              <a:cxn ang="0">
                <a:pos x="T4" y="T5"/>
              </a:cxn>
              <a:cxn ang="0">
                <a:pos x="T6" y="T7"/>
              </a:cxn>
            </a:cxnLst>
            <a:rect l="0" t="0" r="r" b="b"/>
            <a:pathLst>
              <a:path w="1" h="2">
                <a:moveTo>
                  <a:pt x="1" y="1"/>
                </a:moveTo>
                <a:cubicBezTo>
                  <a:pt x="1" y="1"/>
                  <a:pt x="1" y="0"/>
                  <a:pt x="0" y="0"/>
                </a:cubicBezTo>
                <a:cubicBezTo>
                  <a:pt x="0" y="2"/>
                  <a:pt x="0" y="2"/>
                  <a:pt x="0" y="2"/>
                </a:cubicBezTo>
                <a:cubicBezTo>
                  <a:pt x="1" y="2"/>
                  <a:pt x="1" y="1"/>
                  <a:pt x="1" y="1"/>
                </a:cubicBezTo>
                <a:close/>
              </a:path>
            </a:pathLst>
          </a:custGeom>
          <a:solidFill>
            <a:srgbClr val="BA141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50" name="Freeform 49">
            <a:extLst>
              <a:ext uri="{FF2B5EF4-FFF2-40B4-BE49-F238E27FC236}">
                <a16:creationId xmlns:a16="http://schemas.microsoft.com/office/drawing/2014/main" id="{00000000-0008-0000-0000-000032000000}"/>
              </a:ext>
            </a:extLst>
          </xdr:cNvPr>
          <xdr:cNvSpPr>
            <a:spLocks/>
          </xdr:cNvSpPr>
        </xdr:nvSpPr>
        <xdr:spPr bwMode="auto">
          <a:xfrm>
            <a:off x="7539428" y="1918865"/>
            <a:ext cx="35850" cy="62029"/>
          </a:xfrm>
          <a:custGeom>
            <a:avLst/>
            <a:gdLst>
              <a:gd name="T0" fmla="*/ 16 w 38"/>
              <a:gd name="T1" fmla="*/ 6 h 62"/>
              <a:gd name="T2" fmla="*/ 16 w 38"/>
              <a:gd name="T3" fmla="*/ 0 h 62"/>
              <a:gd name="T4" fmla="*/ 0 w 38"/>
              <a:gd name="T5" fmla="*/ 0 h 62"/>
              <a:gd name="T6" fmla="*/ 0 w 38"/>
              <a:gd name="T7" fmla="*/ 4 h 62"/>
              <a:gd name="T8" fmla="*/ 2 w 38"/>
              <a:gd name="T9" fmla="*/ 12 h 62"/>
              <a:gd name="T10" fmla="*/ 2 w 38"/>
              <a:gd name="T11" fmla="*/ 13 h 62"/>
              <a:gd name="T12" fmla="*/ 32 w 38"/>
              <a:gd name="T13" fmla="*/ 13 h 62"/>
              <a:gd name="T14" fmla="*/ 32 w 38"/>
              <a:gd name="T15" fmla="*/ 18 h 62"/>
              <a:gd name="T16" fmla="*/ 4 w 38"/>
              <a:gd name="T17" fmla="*/ 18 h 62"/>
              <a:gd name="T18" fmla="*/ 4 w 38"/>
              <a:gd name="T19" fmla="*/ 23 h 62"/>
              <a:gd name="T20" fmla="*/ 32 w 38"/>
              <a:gd name="T21" fmla="*/ 23 h 62"/>
              <a:gd name="T22" fmla="*/ 32 w 38"/>
              <a:gd name="T23" fmla="*/ 28 h 62"/>
              <a:gd name="T24" fmla="*/ 4 w 38"/>
              <a:gd name="T25" fmla="*/ 28 h 62"/>
              <a:gd name="T26" fmla="*/ 2 w 38"/>
              <a:gd name="T27" fmla="*/ 32 h 62"/>
              <a:gd name="T28" fmla="*/ 32 w 38"/>
              <a:gd name="T29" fmla="*/ 32 h 62"/>
              <a:gd name="T30" fmla="*/ 32 w 38"/>
              <a:gd name="T31" fmla="*/ 38 h 62"/>
              <a:gd name="T32" fmla="*/ 0 w 38"/>
              <a:gd name="T33" fmla="*/ 38 h 62"/>
              <a:gd name="T34" fmla="*/ 0 w 38"/>
              <a:gd name="T35" fmla="*/ 42 h 62"/>
              <a:gd name="T36" fmla="*/ 32 w 38"/>
              <a:gd name="T37" fmla="*/ 42 h 62"/>
              <a:gd name="T38" fmla="*/ 32 w 38"/>
              <a:gd name="T39" fmla="*/ 47 h 62"/>
              <a:gd name="T40" fmla="*/ 0 w 38"/>
              <a:gd name="T41" fmla="*/ 47 h 62"/>
              <a:gd name="T42" fmla="*/ 2 w 38"/>
              <a:gd name="T43" fmla="*/ 51 h 62"/>
              <a:gd name="T44" fmla="*/ 4 w 38"/>
              <a:gd name="T45" fmla="*/ 56 h 62"/>
              <a:gd name="T46" fmla="*/ 4 w 38"/>
              <a:gd name="T47" fmla="*/ 61 h 62"/>
              <a:gd name="T48" fmla="*/ 4 w 38"/>
              <a:gd name="T49" fmla="*/ 62 h 62"/>
              <a:gd name="T50" fmla="*/ 6 w 38"/>
              <a:gd name="T51" fmla="*/ 62 h 62"/>
              <a:gd name="T52" fmla="*/ 6 w 38"/>
              <a:gd name="T53" fmla="*/ 51 h 62"/>
              <a:gd name="T54" fmla="*/ 12 w 38"/>
              <a:gd name="T55" fmla="*/ 51 h 62"/>
              <a:gd name="T56" fmla="*/ 12 w 38"/>
              <a:gd name="T57" fmla="*/ 62 h 62"/>
              <a:gd name="T58" fmla="*/ 16 w 38"/>
              <a:gd name="T59" fmla="*/ 62 h 62"/>
              <a:gd name="T60" fmla="*/ 16 w 38"/>
              <a:gd name="T61" fmla="*/ 51 h 62"/>
              <a:gd name="T62" fmla="*/ 22 w 38"/>
              <a:gd name="T63" fmla="*/ 51 h 62"/>
              <a:gd name="T64" fmla="*/ 22 w 38"/>
              <a:gd name="T65" fmla="*/ 62 h 62"/>
              <a:gd name="T66" fmla="*/ 36 w 38"/>
              <a:gd name="T67" fmla="*/ 62 h 62"/>
              <a:gd name="T68" fmla="*/ 36 w 38"/>
              <a:gd name="T69" fmla="*/ 8 h 62"/>
              <a:gd name="T70" fmla="*/ 38 w 38"/>
              <a:gd name="T71" fmla="*/ 8 h 62"/>
              <a:gd name="T72" fmla="*/ 38 w 38"/>
              <a:gd name="T73" fmla="*/ 6 h 62"/>
              <a:gd name="T74" fmla="*/ 16 w 38"/>
              <a:gd name="T75" fmla="*/ 6 h 6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38" h="62">
                <a:moveTo>
                  <a:pt x="16" y="6"/>
                </a:moveTo>
                <a:cubicBezTo>
                  <a:pt x="16" y="0"/>
                  <a:pt x="16" y="0"/>
                  <a:pt x="16" y="0"/>
                </a:cubicBezTo>
                <a:cubicBezTo>
                  <a:pt x="0" y="0"/>
                  <a:pt x="0" y="0"/>
                  <a:pt x="0" y="0"/>
                </a:cubicBezTo>
                <a:cubicBezTo>
                  <a:pt x="0" y="1"/>
                  <a:pt x="0" y="2"/>
                  <a:pt x="0" y="4"/>
                </a:cubicBezTo>
                <a:cubicBezTo>
                  <a:pt x="0" y="8"/>
                  <a:pt x="1" y="10"/>
                  <a:pt x="2" y="12"/>
                </a:cubicBezTo>
                <a:cubicBezTo>
                  <a:pt x="2" y="12"/>
                  <a:pt x="2" y="13"/>
                  <a:pt x="2" y="13"/>
                </a:cubicBezTo>
                <a:cubicBezTo>
                  <a:pt x="32" y="13"/>
                  <a:pt x="32" y="13"/>
                  <a:pt x="32" y="13"/>
                </a:cubicBezTo>
                <a:cubicBezTo>
                  <a:pt x="32" y="18"/>
                  <a:pt x="32" y="18"/>
                  <a:pt x="32" y="18"/>
                </a:cubicBezTo>
                <a:cubicBezTo>
                  <a:pt x="4" y="18"/>
                  <a:pt x="4" y="18"/>
                  <a:pt x="4" y="18"/>
                </a:cubicBezTo>
                <a:cubicBezTo>
                  <a:pt x="4" y="20"/>
                  <a:pt x="4" y="21"/>
                  <a:pt x="4" y="23"/>
                </a:cubicBezTo>
                <a:cubicBezTo>
                  <a:pt x="32" y="23"/>
                  <a:pt x="32" y="23"/>
                  <a:pt x="32" y="23"/>
                </a:cubicBezTo>
                <a:cubicBezTo>
                  <a:pt x="32" y="28"/>
                  <a:pt x="32" y="28"/>
                  <a:pt x="32" y="28"/>
                </a:cubicBezTo>
                <a:cubicBezTo>
                  <a:pt x="4" y="28"/>
                  <a:pt x="4" y="28"/>
                  <a:pt x="4" y="28"/>
                </a:cubicBezTo>
                <a:cubicBezTo>
                  <a:pt x="4" y="30"/>
                  <a:pt x="3" y="31"/>
                  <a:pt x="2" y="32"/>
                </a:cubicBezTo>
                <a:cubicBezTo>
                  <a:pt x="32" y="32"/>
                  <a:pt x="32" y="32"/>
                  <a:pt x="32" y="32"/>
                </a:cubicBezTo>
                <a:cubicBezTo>
                  <a:pt x="32" y="38"/>
                  <a:pt x="32" y="38"/>
                  <a:pt x="32" y="38"/>
                </a:cubicBezTo>
                <a:cubicBezTo>
                  <a:pt x="0" y="38"/>
                  <a:pt x="0" y="38"/>
                  <a:pt x="0" y="38"/>
                </a:cubicBezTo>
                <a:cubicBezTo>
                  <a:pt x="0" y="39"/>
                  <a:pt x="0" y="40"/>
                  <a:pt x="0" y="42"/>
                </a:cubicBezTo>
                <a:cubicBezTo>
                  <a:pt x="32" y="42"/>
                  <a:pt x="32" y="42"/>
                  <a:pt x="32" y="42"/>
                </a:cubicBezTo>
                <a:cubicBezTo>
                  <a:pt x="32" y="47"/>
                  <a:pt x="32" y="47"/>
                  <a:pt x="32" y="47"/>
                </a:cubicBezTo>
                <a:cubicBezTo>
                  <a:pt x="0" y="47"/>
                  <a:pt x="0" y="47"/>
                  <a:pt x="0" y="47"/>
                </a:cubicBezTo>
                <a:cubicBezTo>
                  <a:pt x="1" y="49"/>
                  <a:pt x="1" y="50"/>
                  <a:pt x="2" y="51"/>
                </a:cubicBezTo>
                <a:cubicBezTo>
                  <a:pt x="2" y="52"/>
                  <a:pt x="3" y="54"/>
                  <a:pt x="4" y="56"/>
                </a:cubicBezTo>
                <a:cubicBezTo>
                  <a:pt x="4" y="57"/>
                  <a:pt x="4" y="59"/>
                  <a:pt x="4" y="61"/>
                </a:cubicBezTo>
                <a:cubicBezTo>
                  <a:pt x="4" y="61"/>
                  <a:pt x="4" y="62"/>
                  <a:pt x="4" y="62"/>
                </a:cubicBezTo>
                <a:cubicBezTo>
                  <a:pt x="6" y="62"/>
                  <a:pt x="6" y="62"/>
                  <a:pt x="6" y="62"/>
                </a:cubicBezTo>
                <a:cubicBezTo>
                  <a:pt x="6" y="51"/>
                  <a:pt x="6" y="51"/>
                  <a:pt x="6" y="51"/>
                </a:cubicBezTo>
                <a:cubicBezTo>
                  <a:pt x="12" y="51"/>
                  <a:pt x="12" y="51"/>
                  <a:pt x="12" y="51"/>
                </a:cubicBezTo>
                <a:cubicBezTo>
                  <a:pt x="12" y="62"/>
                  <a:pt x="12" y="62"/>
                  <a:pt x="12" y="62"/>
                </a:cubicBezTo>
                <a:cubicBezTo>
                  <a:pt x="16" y="62"/>
                  <a:pt x="16" y="62"/>
                  <a:pt x="16" y="62"/>
                </a:cubicBezTo>
                <a:cubicBezTo>
                  <a:pt x="16" y="51"/>
                  <a:pt x="16" y="51"/>
                  <a:pt x="16" y="51"/>
                </a:cubicBezTo>
                <a:cubicBezTo>
                  <a:pt x="22" y="51"/>
                  <a:pt x="22" y="51"/>
                  <a:pt x="22" y="51"/>
                </a:cubicBezTo>
                <a:cubicBezTo>
                  <a:pt x="22" y="62"/>
                  <a:pt x="22" y="62"/>
                  <a:pt x="22" y="62"/>
                </a:cubicBezTo>
                <a:cubicBezTo>
                  <a:pt x="36" y="62"/>
                  <a:pt x="36" y="62"/>
                  <a:pt x="36" y="62"/>
                </a:cubicBezTo>
                <a:cubicBezTo>
                  <a:pt x="36" y="8"/>
                  <a:pt x="36" y="8"/>
                  <a:pt x="36" y="8"/>
                </a:cubicBezTo>
                <a:cubicBezTo>
                  <a:pt x="38" y="8"/>
                  <a:pt x="38" y="8"/>
                  <a:pt x="38" y="8"/>
                </a:cubicBezTo>
                <a:cubicBezTo>
                  <a:pt x="38" y="6"/>
                  <a:pt x="38" y="6"/>
                  <a:pt x="38" y="6"/>
                </a:cubicBezTo>
                <a:lnTo>
                  <a:pt x="16" y="6"/>
                </a:lnTo>
                <a:close/>
              </a:path>
            </a:pathLst>
          </a:custGeom>
          <a:solidFill>
            <a:srgbClr val="BA141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51" name="Freeform 50">
            <a:extLst>
              <a:ext uri="{FF2B5EF4-FFF2-40B4-BE49-F238E27FC236}">
                <a16:creationId xmlns:a16="http://schemas.microsoft.com/office/drawing/2014/main" id="{00000000-0008-0000-0000-000033000000}"/>
              </a:ext>
            </a:extLst>
          </xdr:cNvPr>
          <xdr:cNvSpPr>
            <a:spLocks/>
          </xdr:cNvSpPr>
        </xdr:nvSpPr>
        <xdr:spPr bwMode="auto">
          <a:xfrm>
            <a:off x="7531988" y="1978755"/>
            <a:ext cx="677" cy="2139"/>
          </a:xfrm>
          <a:custGeom>
            <a:avLst/>
            <a:gdLst>
              <a:gd name="T0" fmla="*/ 0 w 1"/>
              <a:gd name="T1" fmla="*/ 0 h 2"/>
              <a:gd name="T2" fmla="*/ 0 w 1"/>
              <a:gd name="T3" fmla="*/ 2 h 2"/>
              <a:gd name="T4" fmla="*/ 1 w 1"/>
              <a:gd name="T5" fmla="*/ 2 h 2"/>
              <a:gd name="T6" fmla="*/ 1 w 1"/>
              <a:gd name="T7" fmla="*/ 1 h 2"/>
              <a:gd name="T8" fmla="*/ 0 w 1"/>
              <a:gd name="T9" fmla="*/ 0 h 2"/>
            </a:gdLst>
            <a:ahLst/>
            <a:cxnLst>
              <a:cxn ang="0">
                <a:pos x="T0" y="T1"/>
              </a:cxn>
              <a:cxn ang="0">
                <a:pos x="T2" y="T3"/>
              </a:cxn>
              <a:cxn ang="0">
                <a:pos x="T4" y="T5"/>
              </a:cxn>
              <a:cxn ang="0">
                <a:pos x="T6" y="T7"/>
              </a:cxn>
              <a:cxn ang="0">
                <a:pos x="T8" y="T9"/>
              </a:cxn>
            </a:cxnLst>
            <a:rect l="0" t="0" r="r" b="b"/>
            <a:pathLst>
              <a:path w="1" h="2">
                <a:moveTo>
                  <a:pt x="0" y="0"/>
                </a:moveTo>
                <a:cubicBezTo>
                  <a:pt x="0" y="2"/>
                  <a:pt x="0" y="2"/>
                  <a:pt x="0" y="2"/>
                </a:cubicBezTo>
                <a:cubicBezTo>
                  <a:pt x="1" y="2"/>
                  <a:pt x="1" y="2"/>
                  <a:pt x="1" y="2"/>
                </a:cubicBezTo>
                <a:cubicBezTo>
                  <a:pt x="1" y="2"/>
                  <a:pt x="1" y="1"/>
                  <a:pt x="1" y="1"/>
                </a:cubicBezTo>
                <a:cubicBezTo>
                  <a:pt x="1" y="1"/>
                  <a:pt x="1" y="1"/>
                  <a:pt x="0" y="0"/>
                </a:cubicBezTo>
                <a:close/>
              </a:path>
            </a:pathLst>
          </a:custGeom>
          <a:solidFill>
            <a:srgbClr val="BA141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52" name="Freeform 51">
            <a:extLst>
              <a:ext uri="{FF2B5EF4-FFF2-40B4-BE49-F238E27FC236}">
                <a16:creationId xmlns:a16="http://schemas.microsoft.com/office/drawing/2014/main" id="{00000000-0008-0000-0000-000034000000}"/>
              </a:ext>
            </a:extLst>
          </xdr:cNvPr>
          <xdr:cNvSpPr>
            <a:spLocks/>
          </xdr:cNvSpPr>
        </xdr:nvSpPr>
        <xdr:spPr bwMode="auto">
          <a:xfrm>
            <a:off x="7527929" y="1903892"/>
            <a:ext cx="9470" cy="94826"/>
          </a:xfrm>
          <a:custGeom>
            <a:avLst/>
            <a:gdLst>
              <a:gd name="T0" fmla="*/ 10 w 10"/>
              <a:gd name="T1" fmla="*/ 39 h 95"/>
              <a:gd name="T2" fmla="*/ 10 w 10"/>
              <a:gd name="T3" fmla="*/ 38 h 95"/>
              <a:gd name="T4" fmla="*/ 7 w 10"/>
              <a:gd name="T5" fmla="*/ 27 h 95"/>
              <a:gd name="T6" fmla="*/ 5 w 10"/>
              <a:gd name="T7" fmla="*/ 19 h 95"/>
              <a:gd name="T8" fmla="*/ 7 w 10"/>
              <a:gd name="T9" fmla="*/ 10 h 95"/>
              <a:gd name="T10" fmla="*/ 10 w 10"/>
              <a:gd name="T11" fmla="*/ 0 h 95"/>
              <a:gd name="T12" fmla="*/ 5 w 10"/>
              <a:gd name="T13" fmla="*/ 0 h 95"/>
              <a:gd name="T14" fmla="*/ 2 w 10"/>
              <a:gd name="T15" fmla="*/ 8 h 95"/>
              <a:gd name="T16" fmla="*/ 0 w 10"/>
              <a:gd name="T17" fmla="*/ 19 h 95"/>
              <a:gd name="T18" fmla="*/ 1 w 10"/>
              <a:gd name="T19" fmla="*/ 27 h 95"/>
              <a:gd name="T20" fmla="*/ 2 w 10"/>
              <a:gd name="T21" fmla="*/ 29 h 95"/>
              <a:gd name="T22" fmla="*/ 5 w 10"/>
              <a:gd name="T23" fmla="*/ 38 h 95"/>
              <a:gd name="T24" fmla="*/ 2 w 10"/>
              <a:gd name="T25" fmla="*/ 46 h 95"/>
              <a:gd name="T26" fmla="*/ 0 w 10"/>
              <a:gd name="T27" fmla="*/ 57 h 95"/>
              <a:gd name="T28" fmla="*/ 2 w 10"/>
              <a:gd name="T29" fmla="*/ 68 h 95"/>
              <a:gd name="T30" fmla="*/ 4 w 10"/>
              <a:gd name="T31" fmla="*/ 71 h 95"/>
              <a:gd name="T32" fmla="*/ 5 w 10"/>
              <a:gd name="T33" fmla="*/ 76 h 95"/>
              <a:gd name="T34" fmla="*/ 2 w 10"/>
              <a:gd name="T35" fmla="*/ 85 h 95"/>
              <a:gd name="T36" fmla="*/ 0 w 10"/>
              <a:gd name="T37" fmla="*/ 95 h 95"/>
              <a:gd name="T38" fmla="*/ 5 w 10"/>
              <a:gd name="T39" fmla="*/ 95 h 95"/>
              <a:gd name="T40" fmla="*/ 7 w 10"/>
              <a:gd name="T41" fmla="*/ 87 h 95"/>
              <a:gd name="T42" fmla="*/ 10 w 10"/>
              <a:gd name="T43" fmla="*/ 76 h 95"/>
              <a:gd name="T44" fmla="*/ 9 w 10"/>
              <a:gd name="T45" fmla="*/ 71 h 95"/>
              <a:gd name="T46" fmla="*/ 7 w 10"/>
              <a:gd name="T47" fmla="*/ 66 h 95"/>
              <a:gd name="T48" fmla="*/ 5 w 10"/>
              <a:gd name="T49" fmla="*/ 57 h 95"/>
              <a:gd name="T50" fmla="*/ 7 w 10"/>
              <a:gd name="T51" fmla="*/ 49 h 95"/>
              <a:gd name="T52" fmla="*/ 10 w 10"/>
              <a:gd name="T53" fmla="*/ 39 h 9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10" h="95">
                <a:moveTo>
                  <a:pt x="10" y="39"/>
                </a:moveTo>
                <a:cubicBezTo>
                  <a:pt x="10" y="39"/>
                  <a:pt x="10" y="38"/>
                  <a:pt x="10" y="38"/>
                </a:cubicBezTo>
                <a:cubicBezTo>
                  <a:pt x="10" y="32"/>
                  <a:pt x="8" y="30"/>
                  <a:pt x="7" y="27"/>
                </a:cubicBezTo>
                <a:cubicBezTo>
                  <a:pt x="6" y="25"/>
                  <a:pt x="5" y="23"/>
                  <a:pt x="5" y="19"/>
                </a:cubicBezTo>
                <a:cubicBezTo>
                  <a:pt x="5" y="15"/>
                  <a:pt x="6" y="13"/>
                  <a:pt x="7" y="10"/>
                </a:cubicBezTo>
                <a:cubicBezTo>
                  <a:pt x="8" y="8"/>
                  <a:pt x="10" y="5"/>
                  <a:pt x="10" y="0"/>
                </a:cubicBezTo>
                <a:cubicBezTo>
                  <a:pt x="5" y="0"/>
                  <a:pt x="5" y="0"/>
                  <a:pt x="5" y="0"/>
                </a:cubicBezTo>
                <a:cubicBezTo>
                  <a:pt x="5" y="4"/>
                  <a:pt x="4" y="6"/>
                  <a:pt x="2" y="8"/>
                </a:cubicBezTo>
                <a:cubicBezTo>
                  <a:pt x="1" y="10"/>
                  <a:pt x="0" y="13"/>
                  <a:pt x="0" y="19"/>
                </a:cubicBezTo>
                <a:cubicBezTo>
                  <a:pt x="0" y="23"/>
                  <a:pt x="0" y="25"/>
                  <a:pt x="1" y="27"/>
                </a:cubicBezTo>
                <a:cubicBezTo>
                  <a:pt x="2" y="28"/>
                  <a:pt x="2" y="29"/>
                  <a:pt x="2" y="29"/>
                </a:cubicBezTo>
                <a:cubicBezTo>
                  <a:pt x="4" y="32"/>
                  <a:pt x="5" y="34"/>
                  <a:pt x="5" y="38"/>
                </a:cubicBezTo>
                <a:cubicBezTo>
                  <a:pt x="5" y="42"/>
                  <a:pt x="4" y="44"/>
                  <a:pt x="2" y="46"/>
                </a:cubicBezTo>
                <a:cubicBezTo>
                  <a:pt x="1" y="49"/>
                  <a:pt x="0" y="52"/>
                  <a:pt x="0" y="57"/>
                </a:cubicBezTo>
                <a:cubicBezTo>
                  <a:pt x="0" y="63"/>
                  <a:pt x="1" y="65"/>
                  <a:pt x="2" y="68"/>
                </a:cubicBezTo>
                <a:cubicBezTo>
                  <a:pt x="3" y="69"/>
                  <a:pt x="3" y="70"/>
                  <a:pt x="4" y="71"/>
                </a:cubicBezTo>
                <a:cubicBezTo>
                  <a:pt x="4" y="72"/>
                  <a:pt x="5" y="74"/>
                  <a:pt x="5" y="76"/>
                </a:cubicBezTo>
                <a:cubicBezTo>
                  <a:pt x="5" y="80"/>
                  <a:pt x="4" y="82"/>
                  <a:pt x="2" y="85"/>
                </a:cubicBezTo>
                <a:cubicBezTo>
                  <a:pt x="1" y="87"/>
                  <a:pt x="0" y="90"/>
                  <a:pt x="0" y="95"/>
                </a:cubicBezTo>
                <a:cubicBezTo>
                  <a:pt x="5" y="95"/>
                  <a:pt x="5" y="95"/>
                  <a:pt x="5" y="95"/>
                </a:cubicBezTo>
                <a:cubicBezTo>
                  <a:pt x="5" y="91"/>
                  <a:pt x="6" y="89"/>
                  <a:pt x="7" y="87"/>
                </a:cubicBezTo>
                <a:cubicBezTo>
                  <a:pt x="8" y="85"/>
                  <a:pt x="10" y="82"/>
                  <a:pt x="10" y="76"/>
                </a:cubicBezTo>
                <a:cubicBezTo>
                  <a:pt x="10" y="74"/>
                  <a:pt x="9" y="72"/>
                  <a:pt x="9" y="71"/>
                </a:cubicBezTo>
                <a:cubicBezTo>
                  <a:pt x="9" y="69"/>
                  <a:pt x="8" y="67"/>
                  <a:pt x="7" y="66"/>
                </a:cubicBezTo>
                <a:cubicBezTo>
                  <a:pt x="6" y="63"/>
                  <a:pt x="5" y="61"/>
                  <a:pt x="5" y="57"/>
                </a:cubicBezTo>
                <a:cubicBezTo>
                  <a:pt x="5" y="53"/>
                  <a:pt x="6" y="51"/>
                  <a:pt x="7" y="49"/>
                </a:cubicBezTo>
                <a:cubicBezTo>
                  <a:pt x="8" y="46"/>
                  <a:pt x="9" y="44"/>
                  <a:pt x="10" y="39"/>
                </a:cubicBezTo>
                <a:close/>
              </a:path>
            </a:pathLst>
          </a:custGeom>
          <a:solidFill>
            <a:srgbClr val="BA141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grpSp>
    <xdr:clientData/>
  </xdr:twoCellAnchor>
  <xdr:twoCellAnchor>
    <xdr:from>
      <xdr:col>2</xdr:col>
      <xdr:colOff>148108</xdr:colOff>
      <xdr:row>17</xdr:row>
      <xdr:rowOff>42279</xdr:rowOff>
    </xdr:from>
    <xdr:to>
      <xdr:col>7</xdr:col>
      <xdr:colOff>6793</xdr:colOff>
      <xdr:row>24</xdr:row>
      <xdr:rowOff>6684</xdr:rowOff>
    </xdr:to>
    <xdr:grpSp>
      <xdr:nvGrpSpPr>
        <xdr:cNvPr id="113" name="Group 112">
          <a:hlinkClick xmlns:r="http://schemas.openxmlformats.org/officeDocument/2006/relationships" r:id="rId17" tooltip="All"/>
          <a:extLst>
            <a:ext uri="{FF2B5EF4-FFF2-40B4-BE49-F238E27FC236}">
              <a16:creationId xmlns:a16="http://schemas.microsoft.com/office/drawing/2014/main" id="{00000000-0008-0000-0000-000071000000}"/>
            </a:ext>
          </a:extLst>
        </xdr:cNvPr>
        <xdr:cNvGrpSpPr/>
      </xdr:nvGrpSpPr>
      <xdr:grpSpPr>
        <a:xfrm>
          <a:off x="1358577" y="3247045"/>
          <a:ext cx="2884857" cy="1284014"/>
          <a:chOff x="3451980" y="3280779"/>
          <a:chExt cx="2906685" cy="1297905"/>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3640107" y="3365484"/>
            <a:ext cx="2718558" cy="1213200"/>
          </a:xfrm>
          <a:prstGeom prst="rect">
            <a:avLst/>
          </a:prstGeom>
          <a:ln>
            <a:noFill/>
          </a:ln>
        </xdr:spPr>
        <xdr:style>
          <a:lnRef idx="2">
            <a:schemeClr val="accent5"/>
          </a:lnRef>
          <a:fillRef idx="1">
            <a:schemeClr val="lt1"/>
          </a:fillRef>
          <a:effectRef idx="0">
            <a:schemeClr val="accent5"/>
          </a:effectRef>
          <a:fontRef idx="minor">
            <a:schemeClr val="dk1"/>
          </a:fontRef>
        </xdr:style>
        <xdr:txBody>
          <a:bodyPr wrap="square" lIns="68580" rIns="68580" rtlCol="0" anchor="b"/>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500" b="1" i="0" u="none" strike="noStrike" kern="1200" cap="none" spc="0" normalizeH="0" baseline="0">
                <a:ln>
                  <a:noFill/>
                </a:ln>
                <a:solidFill>
                  <a:srgbClr val="00B050"/>
                </a:solidFill>
                <a:effectLst/>
                <a:uLnTx/>
                <a:uFillTx/>
                <a:latin typeface="Calibri Light" panose="020F0302020204030204"/>
                <a:ea typeface="+mn-ea"/>
                <a:cs typeface="+mn-cs"/>
              </a:rPr>
              <a:t>All Available Considerations</a:t>
            </a:r>
          </a:p>
        </xdr:txBody>
      </xdr:sp>
      <xdr:sp macro="" textlink="">
        <xdr:nvSpPr>
          <xdr:cNvPr id="14" name="TextBox 56">
            <a:extLst>
              <a:ext uri="{FF2B5EF4-FFF2-40B4-BE49-F238E27FC236}">
                <a16:creationId xmlns:a16="http://schemas.microsoft.com/office/drawing/2014/main" id="{00000000-0008-0000-0000-00000E000000}"/>
              </a:ext>
            </a:extLst>
          </xdr:cNvPr>
          <xdr:cNvSpPr txBox="1"/>
        </xdr:nvSpPr>
        <xdr:spPr>
          <a:xfrm>
            <a:off x="4292722" y="3376349"/>
            <a:ext cx="2065943" cy="40536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000"/>
              <a:t>All available customer control features and considerations</a:t>
            </a:r>
          </a:p>
        </xdr:txBody>
      </xdr:sp>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8"/>
          <a:stretch>
            <a:fillRect/>
          </a:stretch>
        </xdr:blipFill>
        <xdr:spPr>
          <a:xfrm>
            <a:off x="3451980" y="3280779"/>
            <a:ext cx="988491" cy="988491"/>
          </a:xfrm>
          <a:prstGeom prst="rect">
            <a:avLst/>
          </a:prstGeom>
        </xdr:spPr>
      </xdr:pic>
    </xdr:grpSp>
    <xdr:clientData/>
  </xdr:twoCellAnchor>
  <xdr:twoCellAnchor editAs="oneCell">
    <xdr:from>
      <xdr:col>11</xdr:col>
      <xdr:colOff>474564</xdr:colOff>
      <xdr:row>10</xdr:row>
      <xdr:rowOff>100509</xdr:rowOff>
    </xdr:from>
    <xdr:to>
      <xdr:col>13</xdr:col>
      <xdr:colOff>587846</xdr:colOff>
      <xdr:row>15</xdr:row>
      <xdr:rowOff>37100</xdr:rowOff>
    </xdr:to>
    <xdr:pic>
      <xdr:nvPicPr>
        <xdr:cNvPr id="45" name="Picture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9"/>
        <a:stretch>
          <a:fillRect/>
        </a:stretch>
      </xdr:blipFill>
      <xdr:spPr>
        <a:xfrm>
          <a:off x="7599264" y="1951080"/>
          <a:ext cx="1408682" cy="861877"/>
        </a:xfrm>
        <a:prstGeom prst="rect">
          <a:avLst/>
        </a:prstGeom>
      </xdr:spPr>
    </xdr:pic>
    <xdr:clientData/>
  </xdr:twoCellAnchor>
  <xdr:twoCellAnchor>
    <xdr:from>
      <xdr:col>5</xdr:col>
      <xdr:colOff>119063</xdr:colOff>
      <xdr:row>9</xdr:row>
      <xdr:rowOff>9525</xdr:rowOff>
    </xdr:from>
    <xdr:to>
      <xdr:col>7</xdr:col>
      <xdr:colOff>10830</xdr:colOff>
      <xdr:row>10</xdr:row>
      <xdr:rowOff>85725</xdr:rowOff>
    </xdr:to>
    <xdr:sp macro="" textlink="B306">
      <xdr:nvSpPr>
        <xdr:cNvPr id="98" name="TextBox 97">
          <a:extLst>
            <a:ext uri="{FF2B5EF4-FFF2-40B4-BE49-F238E27FC236}">
              <a16:creationId xmlns:a16="http://schemas.microsoft.com/office/drawing/2014/main" id="{00000000-0008-0000-0000-000062000000}"/>
            </a:ext>
          </a:extLst>
        </xdr:cNvPr>
        <xdr:cNvSpPr txBox="1"/>
      </xdr:nvSpPr>
      <xdr:spPr>
        <a:xfrm>
          <a:off x="3145235" y="1706166"/>
          <a:ext cx="1102236" cy="264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969157-A9D7-4AA4-B096-5872016DAFE4}" type="TxLink">
            <a:rPr lang="en-US" sz="1100" b="0" i="0" u="none" strike="noStrike">
              <a:solidFill>
                <a:srgbClr val="000000"/>
              </a:solidFill>
              <a:effectLst/>
              <a:latin typeface="Calibri"/>
              <a:ea typeface="+mn-ea"/>
              <a:cs typeface="+mn-cs"/>
            </a:rPr>
            <a:pPr/>
            <a:t>0/13 Assessed</a:t>
          </a:fld>
          <a:endParaRPr lang="en-GB" sz="1000" b="1" i="0" u="none" strike="noStrike">
            <a:solidFill>
              <a:schemeClr val="accent5">
                <a:lumMod val="50000"/>
              </a:schemeClr>
            </a:solidFill>
            <a:effectLst/>
            <a:latin typeface="+mn-lt"/>
            <a:ea typeface="+mn-ea"/>
            <a:cs typeface="+mn-cs"/>
          </a:endParaRPr>
        </a:p>
      </xdr:txBody>
    </xdr:sp>
    <xdr:clientData/>
  </xdr:twoCellAnchor>
  <xdr:twoCellAnchor>
    <xdr:from>
      <xdr:col>5</xdr:col>
      <xdr:colOff>79375</xdr:colOff>
      <xdr:row>15</xdr:row>
      <xdr:rowOff>152400</xdr:rowOff>
    </xdr:from>
    <xdr:to>
      <xdr:col>7</xdr:col>
      <xdr:colOff>5669</xdr:colOff>
      <xdr:row>17</xdr:row>
      <xdr:rowOff>38100</xdr:rowOff>
    </xdr:to>
    <xdr:sp macro="" textlink="B307">
      <xdr:nvSpPr>
        <xdr:cNvPr id="100" name="TextBox 99">
          <a:extLst>
            <a:ext uri="{FF2B5EF4-FFF2-40B4-BE49-F238E27FC236}">
              <a16:creationId xmlns:a16="http://schemas.microsoft.com/office/drawing/2014/main" id="{00000000-0008-0000-0000-000064000000}"/>
            </a:ext>
          </a:extLst>
        </xdr:cNvPr>
        <xdr:cNvSpPr txBox="1"/>
      </xdr:nvSpPr>
      <xdr:spPr>
        <a:xfrm>
          <a:off x="3105547" y="2980134"/>
          <a:ext cx="1136763" cy="2627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45BC02-F0FE-46B8-BB83-D9D4A0C43527}" type="TxLink">
            <a:rPr lang="en-US" sz="1100" b="0" i="0" u="none" strike="noStrike">
              <a:solidFill>
                <a:srgbClr val="000000"/>
              </a:solidFill>
              <a:effectLst/>
              <a:latin typeface="Calibri"/>
              <a:ea typeface="+mn-ea"/>
              <a:cs typeface="+mn-cs"/>
            </a:rPr>
            <a:pPr/>
            <a:t>0/41 Assessed</a:t>
          </a:fld>
          <a:endParaRPr lang="en-GB" sz="1000" b="1" i="0" u="none" strike="noStrike">
            <a:solidFill>
              <a:schemeClr val="accent5">
                <a:lumMod val="50000"/>
              </a:schemeClr>
            </a:solidFill>
            <a:effectLst/>
            <a:latin typeface="+mn-lt"/>
            <a:ea typeface="+mn-ea"/>
            <a:cs typeface="+mn-cs"/>
          </a:endParaRPr>
        </a:p>
      </xdr:txBody>
    </xdr:sp>
    <xdr:clientData/>
  </xdr:twoCellAnchor>
  <xdr:twoCellAnchor>
    <xdr:from>
      <xdr:col>9</xdr:col>
      <xdr:colOff>327422</xdr:colOff>
      <xdr:row>9</xdr:row>
      <xdr:rowOff>9525</xdr:rowOff>
    </xdr:from>
    <xdr:to>
      <xdr:col>11</xdr:col>
      <xdr:colOff>334680</xdr:colOff>
      <xdr:row>10</xdr:row>
      <xdr:rowOff>85725</xdr:rowOff>
    </xdr:to>
    <xdr:sp macro="" textlink="B308">
      <xdr:nvSpPr>
        <xdr:cNvPr id="103" name="TextBox 102">
          <a:extLst>
            <a:ext uri="{FF2B5EF4-FFF2-40B4-BE49-F238E27FC236}">
              <a16:creationId xmlns:a16="http://schemas.microsoft.com/office/drawing/2014/main" id="{00000000-0008-0000-0000-000067000000}"/>
            </a:ext>
          </a:extLst>
        </xdr:cNvPr>
        <xdr:cNvSpPr txBox="1"/>
      </xdr:nvSpPr>
      <xdr:spPr>
        <a:xfrm>
          <a:off x="5774531" y="1706166"/>
          <a:ext cx="1217727" cy="2647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48A53A-703F-4FB3-A102-4E193D20FAFF}" type="TxLink">
            <a:rPr lang="en-US" sz="1100" b="0" i="0" u="none" strike="noStrike">
              <a:solidFill>
                <a:srgbClr val="000000"/>
              </a:solidFill>
              <a:effectLst/>
              <a:latin typeface="Calibri"/>
              <a:ea typeface="+mn-ea"/>
              <a:cs typeface="+mn-cs"/>
            </a:rPr>
            <a:pPr/>
            <a:t>0/82 Assessed</a:t>
          </a:fld>
          <a:endParaRPr lang="en-GB" sz="1000" b="1" i="0" u="none" strike="noStrike">
            <a:solidFill>
              <a:schemeClr val="accent5">
                <a:lumMod val="50000"/>
              </a:schemeClr>
            </a:solidFill>
            <a:effectLst/>
            <a:latin typeface="+mn-lt"/>
            <a:ea typeface="+mn-ea"/>
            <a:cs typeface="+mn-cs"/>
          </a:endParaRPr>
        </a:p>
      </xdr:txBody>
    </xdr:sp>
    <xdr:clientData/>
  </xdr:twoCellAnchor>
  <xdr:twoCellAnchor>
    <xdr:from>
      <xdr:col>9</xdr:col>
      <xdr:colOff>446485</xdr:colOff>
      <xdr:row>15</xdr:row>
      <xdr:rowOff>152400</xdr:rowOff>
    </xdr:from>
    <xdr:to>
      <xdr:col>11</xdr:col>
      <xdr:colOff>391829</xdr:colOff>
      <xdr:row>17</xdr:row>
      <xdr:rowOff>38100</xdr:rowOff>
    </xdr:to>
    <xdr:sp macro="" textlink="B309">
      <xdr:nvSpPr>
        <xdr:cNvPr id="104" name="TextBox 103">
          <a:extLst>
            <a:ext uri="{FF2B5EF4-FFF2-40B4-BE49-F238E27FC236}">
              <a16:creationId xmlns:a16="http://schemas.microsoft.com/office/drawing/2014/main" id="{00000000-0008-0000-0000-000068000000}"/>
            </a:ext>
          </a:extLst>
        </xdr:cNvPr>
        <xdr:cNvSpPr txBox="1"/>
      </xdr:nvSpPr>
      <xdr:spPr>
        <a:xfrm>
          <a:off x="5893594" y="2980134"/>
          <a:ext cx="1155813" cy="2627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807AC9-4BE3-4398-A665-565988A5BE69}" type="TxLink">
            <a:rPr lang="en-US" sz="1100" b="0" i="0" u="none" strike="noStrike">
              <a:solidFill>
                <a:srgbClr val="000000"/>
              </a:solidFill>
              <a:effectLst/>
              <a:latin typeface="Calibri"/>
              <a:ea typeface="+mn-ea"/>
              <a:cs typeface="+mn-cs"/>
            </a:rPr>
            <a:pPr/>
            <a:t>0/80 Assessed</a:t>
          </a:fld>
          <a:endParaRPr lang="en-GB" sz="1000" b="1" i="0" u="none" strike="noStrike">
            <a:solidFill>
              <a:schemeClr val="accent5">
                <a:lumMod val="50000"/>
              </a:schemeClr>
            </a:solidFill>
            <a:effectLst/>
            <a:latin typeface="+mn-lt"/>
            <a:ea typeface="+mn-ea"/>
            <a:cs typeface="+mn-cs"/>
          </a:endParaRPr>
        </a:p>
      </xdr:txBody>
    </xdr:sp>
    <xdr:clientData/>
  </xdr:twoCellAnchor>
  <xdr:twoCellAnchor>
    <xdr:from>
      <xdr:col>9</xdr:col>
      <xdr:colOff>582329</xdr:colOff>
      <xdr:row>22</xdr:row>
      <xdr:rowOff>114300</xdr:rowOff>
    </xdr:from>
    <xdr:to>
      <xdr:col>11</xdr:col>
      <xdr:colOff>391829</xdr:colOff>
      <xdr:row>24</xdr:row>
      <xdr:rowOff>0</xdr:rowOff>
    </xdr:to>
    <xdr:sp macro="" textlink="B310">
      <xdr:nvSpPr>
        <xdr:cNvPr id="105" name="TextBox 104">
          <a:hlinkClick xmlns:r="http://schemas.openxmlformats.org/officeDocument/2006/relationships" r:id="rId1"/>
          <a:extLst>
            <a:ext uri="{FF2B5EF4-FFF2-40B4-BE49-F238E27FC236}">
              <a16:creationId xmlns:a16="http://schemas.microsoft.com/office/drawing/2014/main" id="{00000000-0008-0000-0000-000069000000}"/>
            </a:ext>
          </a:extLst>
        </xdr:cNvPr>
        <xdr:cNvSpPr txBox="1"/>
      </xdr:nvSpPr>
      <xdr:spPr>
        <a:xfrm>
          <a:off x="6411629" y="4185557"/>
          <a:ext cx="1104900" cy="255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93440A-2882-44A4-AFF8-495B1E54BE3E}" type="TxLink">
            <a:rPr lang="en-US" sz="1100" b="0" i="0" u="none" strike="noStrike">
              <a:solidFill>
                <a:srgbClr val="000000"/>
              </a:solidFill>
              <a:effectLst/>
              <a:latin typeface="Calibri"/>
              <a:ea typeface="+mn-ea"/>
              <a:cs typeface="+mn-cs"/>
            </a:rPr>
            <a:pPr/>
            <a:t>0/63 Assessed</a:t>
          </a:fld>
          <a:endParaRPr lang="en-GB" sz="1000" b="1" i="0" u="none" strike="noStrike">
            <a:solidFill>
              <a:schemeClr val="accent5">
                <a:lumMod val="50000"/>
              </a:schemeClr>
            </a:solidFill>
            <a:effectLst/>
            <a:latin typeface="+mn-lt"/>
            <a:ea typeface="+mn-ea"/>
            <a:cs typeface="+mn-cs"/>
          </a:endParaRPr>
        </a:p>
      </xdr:txBody>
    </xdr:sp>
    <xdr:clientData/>
  </xdr:twoCellAnchor>
  <xdr:twoCellAnchor>
    <xdr:from>
      <xdr:col>0</xdr:col>
      <xdr:colOff>296578</xdr:colOff>
      <xdr:row>8</xdr:row>
      <xdr:rowOff>152400</xdr:rowOff>
    </xdr:from>
    <xdr:to>
      <xdr:col>2</xdr:col>
      <xdr:colOff>185453</xdr:colOff>
      <xdr:row>15</xdr:row>
      <xdr:rowOff>177800</xdr:rowOff>
    </xdr:to>
    <xdr:grpSp>
      <xdr:nvGrpSpPr>
        <xdr:cNvPr id="26" name="Group 25">
          <a:extLst>
            <a:ext uri="{FF2B5EF4-FFF2-40B4-BE49-F238E27FC236}">
              <a16:creationId xmlns:a16="http://schemas.microsoft.com/office/drawing/2014/main" id="{00000000-0008-0000-0000-00001A000000}"/>
            </a:ext>
          </a:extLst>
        </xdr:cNvPr>
        <xdr:cNvGrpSpPr/>
      </xdr:nvGrpSpPr>
      <xdr:grpSpPr>
        <a:xfrm>
          <a:off x="296578" y="1660525"/>
          <a:ext cx="1099344" cy="1345009"/>
          <a:chOff x="2381250" y="1676400"/>
          <a:chExt cx="1108075" cy="1358900"/>
        </a:xfrm>
      </xdr:grpSpPr>
      <xdr:sp macro="" textlink="">
        <xdr:nvSpPr>
          <xdr:cNvPr id="116" name="AutoShape 3">
            <a:extLst>
              <a:ext uri="{FF2B5EF4-FFF2-40B4-BE49-F238E27FC236}">
                <a16:creationId xmlns:a16="http://schemas.microsoft.com/office/drawing/2014/main" id="{00000000-0008-0000-0000-000074000000}"/>
              </a:ext>
            </a:extLst>
          </xdr:cNvPr>
          <xdr:cNvSpPr>
            <a:spLocks noChangeAspect="1" noChangeArrowheads="1" noTextEdit="1"/>
          </xdr:cNvSpPr>
        </xdr:nvSpPr>
        <xdr:spPr bwMode="auto">
          <a:xfrm>
            <a:off x="2384425" y="1676400"/>
            <a:ext cx="1104900" cy="135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17" name="Freeform 116">
            <a:extLst>
              <a:ext uri="{FF2B5EF4-FFF2-40B4-BE49-F238E27FC236}">
                <a16:creationId xmlns:a16="http://schemas.microsoft.com/office/drawing/2014/main" id="{00000000-0008-0000-0000-000075000000}"/>
              </a:ext>
            </a:extLst>
          </xdr:cNvPr>
          <xdr:cNvSpPr>
            <a:spLocks noEditPoints="1"/>
          </xdr:cNvSpPr>
        </xdr:nvSpPr>
        <xdr:spPr bwMode="auto">
          <a:xfrm>
            <a:off x="2381250" y="1679575"/>
            <a:ext cx="1108075" cy="1319213"/>
          </a:xfrm>
          <a:custGeom>
            <a:avLst/>
            <a:gdLst>
              <a:gd name="T0" fmla="*/ 195 w 391"/>
              <a:gd name="T1" fmla="*/ 0 h 466"/>
              <a:gd name="T2" fmla="*/ 0 w 391"/>
              <a:gd name="T3" fmla="*/ 195 h 466"/>
              <a:gd name="T4" fmla="*/ 0 w 391"/>
              <a:gd name="T5" fmla="*/ 466 h 466"/>
              <a:gd name="T6" fmla="*/ 324 w 391"/>
              <a:gd name="T7" fmla="*/ 466 h 466"/>
              <a:gd name="T8" fmla="*/ 324 w 391"/>
              <a:gd name="T9" fmla="*/ 402 h 466"/>
              <a:gd name="T10" fmla="*/ 320 w 391"/>
              <a:gd name="T11" fmla="*/ 402 h 466"/>
              <a:gd name="T12" fmla="*/ 257 w 391"/>
              <a:gd name="T13" fmla="*/ 365 h 466"/>
              <a:gd name="T14" fmla="*/ 324 w 391"/>
              <a:gd name="T15" fmla="*/ 365 h 466"/>
              <a:gd name="T16" fmla="*/ 324 w 391"/>
              <a:gd name="T17" fmla="*/ 310 h 466"/>
              <a:gd name="T18" fmla="*/ 391 w 391"/>
              <a:gd name="T19" fmla="*/ 310 h 466"/>
              <a:gd name="T20" fmla="*/ 391 w 391"/>
              <a:gd name="T21" fmla="*/ 195 h 466"/>
              <a:gd name="T22" fmla="*/ 195 w 391"/>
              <a:gd name="T23" fmla="*/ 0 h 466"/>
              <a:gd name="T24" fmla="*/ 263 w 391"/>
              <a:gd name="T25" fmla="*/ 243 h 466"/>
              <a:gd name="T26" fmla="*/ 240 w 391"/>
              <a:gd name="T27" fmla="*/ 220 h 466"/>
              <a:gd name="T28" fmla="*/ 263 w 391"/>
              <a:gd name="T29" fmla="*/ 197 h 466"/>
              <a:gd name="T30" fmla="*/ 286 w 391"/>
              <a:gd name="T31" fmla="*/ 220 h 466"/>
              <a:gd name="T32" fmla="*/ 263 w 391"/>
              <a:gd name="T33" fmla="*/ 243 h 4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391" h="466">
                <a:moveTo>
                  <a:pt x="195" y="0"/>
                </a:moveTo>
                <a:cubicBezTo>
                  <a:pt x="87" y="0"/>
                  <a:pt x="0" y="87"/>
                  <a:pt x="0" y="195"/>
                </a:cubicBezTo>
                <a:cubicBezTo>
                  <a:pt x="0" y="466"/>
                  <a:pt x="0" y="466"/>
                  <a:pt x="0" y="466"/>
                </a:cubicBezTo>
                <a:cubicBezTo>
                  <a:pt x="324" y="466"/>
                  <a:pt x="324" y="466"/>
                  <a:pt x="324" y="466"/>
                </a:cubicBezTo>
                <a:cubicBezTo>
                  <a:pt x="324" y="402"/>
                  <a:pt x="324" y="402"/>
                  <a:pt x="324" y="402"/>
                </a:cubicBezTo>
                <a:cubicBezTo>
                  <a:pt x="323" y="402"/>
                  <a:pt x="322" y="402"/>
                  <a:pt x="320" y="402"/>
                </a:cubicBezTo>
                <a:cubicBezTo>
                  <a:pt x="293" y="402"/>
                  <a:pt x="270" y="387"/>
                  <a:pt x="257" y="365"/>
                </a:cubicBezTo>
                <a:cubicBezTo>
                  <a:pt x="324" y="365"/>
                  <a:pt x="324" y="365"/>
                  <a:pt x="324" y="365"/>
                </a:cubicBezTo>
                <a:cubicBezTo>
                  <a:pt x="324" y="310"/>
                  <a:pt x="324" y="310"/>
                  <a:pt x="324" y="310"/>
                </a:cubicBezTo>
                <a:cubicBezTo>
                  <a:pt x="391" y="310"/>
                  <a:pt x="391" y="310"/>
                  <a:pt x="391" y="310"/>
                </a:cubicBezTo>
                <a:cubicBezTo>
                  <a:pt x="391" y="195"/>
                  <a:pt x="391" y="195"/>
                  <a:pt x="391" y="195"/>
                </a:cubicBezTo>
                <a:cubicBezTo>
                  <a:pt x="391" y="87"/>
                  <a:pt x="303" y="0"/>
                  <a:pt x="195" y="0"/>
                </a:cubicBezTo>
                <a:close/>
                <a:moveTo>
                  <a:pt x="263" y="243"/>
                </a:moveTo>
                <a:cubicBezTo>
                  <a:pt x="250" y="243"/>
                  <a:pt x="240" y="232"/>
                  <a:pt x="240" y="220"/>
                </a:cubicBezTo>
                <a:cubicBezTo>
                  <a:pt x="240" y="207"/>
                  <a:pt x="250" y="197"/>
                  <a:pt x="263" y="197"/>
                </a:cubicBezTo>
                <a:cubicBezTo>
                  <a:pt x="275" y="197"/>
                  <a:pt x="286" y="207"/>
                  <a:pt x="286" y="220"/>
                </a:cubicBezTo>
                <a:cubicBezTo>
                  <a:pt x="286" y="232"/>
                  <a:pt x="275" y="243"/>
                  <a:pt x="263" y="243"/>
                </a:cubicBezTo>
                <a:close/>
              </a:path>
            </a:pathLst>
          </a:custGeom>
          <a:solidFill>
            <a:schemeClr val="accent6">
              <a:lumMod val="60000"/>
              <a:lumOff val="40000"/>
            </a:schemeClr>
          </a:solidFill>
          <a:ln>
            <a:no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18" name="Freeform 117">
            <a:extLst>
              <a:ext uri="{FF2B5EF4-FFF2-40B4-BE49-F238E27FC236}">
                <a16:creationId xmlns:a16="http://schemas.microsoft.com/office/drawing/2014/main" id="{00000000-0008-0000-0000-000076000000}"/>
              </a:ext>
            </a:extLst>
          </xdr:cNvPr>
          <xdr:cNvSpPr>
            <a:spLocks/>
          </xdr:cNvSpPr>
        </xdr:nvSpPr>
        <xdr:spPr bwMode="auto">
          <a:xfrm>
            <a:off x="2576513" y="1749425"/>
            <a:ext cx="709613" cy="400050"/>
          </a:xfrm>
          <a:custGeom>
            <a:avLst/>
            <a:gdLst>
              <a:gd name="T0" fmla="*/ 41 w 250"/>
              <a:gd name="T1" fmla="*/ 59 h 141"/>
              <a:gd name="T2" fmla="*/ 45 w 250"/>
              <a:gd name="T3" fmla="*/ 59 h 141"/>
              <a:gd name="T4" fmla="*/ 41 w 250"/>
              <a:gd name="T5" fmla="*/ 41 h 141"/>
              <a:gd name="T6" fmla="*/ 82 w 250"/>
              <a:gd name="T7" fmla="*/ 0 h 141"/>
              <a:gd name="T8" fmla="*/ 123 w 250"/>
              <a:gd name="T9" fmla="*/ 36 h 141"/>
              <a:gd name="T10" fmla="*/ 153 w 250"/>
              <a:gd name="T11" fmla="*/ 23 h 141"/>
              <a:gd name="T12" fmla="*/ 194 w 250"/>
              <a:gd name="T13" fmla="*/ 62 h 141"/>
              <a:gd name="T14" fmla="*/ 208 w 250"/>
              <a:gd name="T15" fmla="*/ 59 h 141"/>
              <a:gd name="T16" fmla="*/ 250 w 250"/>
              <a:gd name="T17" fmla="*/ 100 h 141"/>
              <a:gd name="T18" fmla="*/ 208 w 250"/>
              <a:gd name="T19" fmla="*/ 141 h 141"/>
              <a:gd name="T20" fmla="*/ 41 w 250"/>
              <a:gd name="T21" fmla="*/ 141 h 141"/>
              <a:gd name="T22" fmla="*/ 0 w 250"/>
              <a:gd name="T23" fmla="*/ 100 h 141"/>
              <a:gd name="T24" fmla="*/ 41 w 250"/>
              <a:gd name="T25" fmla="*/ 59 h 14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250" h="141">
                <a:moveTo>
                  <a:pt x="41" y="59"/>
                </a:moveTo>
                <a:cubicBezTo>
                  <a:pt x="42" y="59"/>
                  <a:pt x="44" y="59"/>
                  <a:pt x="45" y="59"/>
                </a:cubicBezTo>
                <a:cubicBezTo>
                  <a:pt x="43" y="54"/>
                  <a:pt x="41" y="48"/>
                  <a:pt x="41" y="41"/>
                </a:cubicBezTo>
                <a:cubicBezTo>
                  <a:pt x="41" y="19"/>
                  <a:pt x="59" y="0"/>
                  <a:pt x="82" y="0"/>
                </a:cubicBezTo>
                <a:cubicBezTo>
                  <a:pt x="103" y="0"/>
                  <a:pt x="120" y="16"/>
                  <a:pt x="123" y="36"/>
                </a:cubicBezTo>
                <a:cubicBezTo>
                  <a:pt x="130" y="28"/>
                  <a:pt x="141" y="23"/>
                  <a:pt x="153" y="23"/>
                </a:cubicBezTo>
                <a:cubicBezTo>
                  <a:pt x="175" y="23"/>
                  <a:pt x="193" y="40"/>
                  <a:pt x="194" y="62"/>
                </a:cubicBezTo>
                <a:cubicBezTo>
                  <a:pt x="199" y="60"/>
                  <a:pt x="203" y="59"/>
                  <a:pt x="208" y="59"/>
                </a:cubicBezTo>
                <a:cubicBezTo>
                  <a:pt x="231" y="59"/>
                  <a:pt x="250" y="78"/>
                  <a:pt x="250" y="100"/>
                </a:cubicBezTo>
                <a:cubicBezTo>
                  <a:pt x="250" y="123"/>
                  <a:pt x="231" y="141"/>
                  <a:pt x="208" y="141"/>
                </a:cubicBezTo>
                <a:cubicBezTo>
                  <a:pt x="41" y="141"/>
                  <a:pt x="41" y="141"/>
                  <a:pt x="41" y="141"/>
                </a:cubicBezTo>
                <a:cubicBezTo>
                  <a:pt x="18" y="141"/>
                  <a:pt x="0" y="123"/>
                  <a:pt x="0" y="100"/>
                </a:cubicBezTo>
                <a:cubicBezTo>
                  <a:pt x="0" y="78"/>
                  <a:pt x="18" y="59"/>
                  <a:pt x="41" y="59"/>
                </a:cubicBezTo>
                <a:close/>
              </a:path>
            </a:pathLst>
          </a:custGeom>
          <a:solidFill>
            <a:srgbClr val="FFFFFF"/>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19" name="Rectangle 118">
            <a:extLst>
              <a:ext uri="{FF2B5EF4-FFF2-40B4-BE49-F238E27FC236}">
                <a16:creationId xmlns:a16="http://schemas.microsoft.com/office/drawing/2014/main" id="{00000000-0008-0000-0000-000077000000}"/>
              </a:ext>
            </a:extLst>
          </xdr:cNvPr>
          <xdr:cNvSpPr>
            <a:spLocks noChangeArrowheads="1"/>
          </xdr:cNvSpPr>
        </xdr:nvSpPr>
        <xdr:spPr bwMode="auto">
          <a:xfrm>
            <a:off x="2973388" y="2851150"/>
            <a:ext cx="176213" cy="180975"/>
          </a:xfrm>
          <a:prstGeom prst="rect">
            <a:avLst/>
          </a:prstGeom>
          <a:solidFill>
            <a:srgbClr val="DFDFD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20" name="Rectangle 119">
            <a:extLst>
              <a:ext uri="{FF2B5EF4-FFF2-40B4-BE49-F238E27FC236}">
                <a16:creationId xmlns:a16="http://schemas.microsoft.com/office/drawing/2014/main" id="{00000000-0008-0000-0000-000078000000}"/>
              </a:ext>
            </a:extLst>
          </xdr:cNvPr>
          <xdr:cNvSpPr>
            <a:spLocks noChangeArrowheads="1"/>
          </xdr:cNvSpPr>
        </xdr:nvSpPr>
        <xdr:spPr bwMode="auto">
          <a:xfrm>
            <a:off x="2727325" y="2497138"/>
            <a:ext cx="176213" cy="534988"/>
          </a:xfrm>
          <a:prstGeom prst="rect">
            <a:avLst/>
          </a:prstGeom>
          <a:solidFill>
            <a:srgbClr val="DFDFD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21" name="Rectangle 120">
            <a:extLst>
              <a:ext uri="{FF2B5EF4-FFF2-40B4-BE49-F238E27FC236}">
                <a16:creationId xmlns:a16="http://schemas.microsoft.com/office/drawing/2014/main" id="{00000000-0008-0000-0000-000079000000}"/>
              </a:ext>
            </a:extLst>
          </xdr:cNvPr>
          <xdr:cNvSpPr>
            <a:spLocks noChangeArrowheads="1"/>
          </xdr:cNvSpPr>
        </xdr:nvSpPr>
        <xdr:spPr bwMode="auto">
          <a:xfrm>
            <a:off x="2746375" y="2528888"/>
            <a:ext cx="20638" cy="30163"/>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22" name="Rectangle 121">
            <a:extLst>
              <a:ext uri="{FF2B5EF4-FFF2-40B4-BE49-F238E27FC236}">
                <a16:creationId xmlns:a16="http://schemas.microsoft.com/office/drawing/2014/main" id="{00000000-0008-0000-0000-00007A000000}"/>
              </a:ext>
            </a:extLst>
          </xdr:cNvPr>
          <xdr:cNvSpPr>
            <a:spLocks noChangeArrowheads="1"/>
          </xdr:cNvSpPr>
        </xdr:nvSpPr>
        <xdr:spPr bwMode="auto">
          <a:xfrm>
            <a:off x="2786063" y="2528888"/>
            <a:ext cx="17463" cy="30163"/>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23" name="Rectangle 122">
            <a:extLst>
              <a:ext uri="{FF2B5EF4-FFF2-40B4-BE49-F238E27FC236}">
                <a16:creationId xmlns:a16="http://schemas.microsoft.com/office/drawing/2014/main" id="{00000000-0008-0000-0000-00007B000000}"/>
              </a:ext>
            </a:extLst>
          </xdr:cNvPr>
          <xdr:cNvSpPr>
            <a:spLocks noChangeArrowheads="1"/>
          </xdr:cNvSpPr>
        </xdr:nvSpPr>
        <xdr:spPr bwMode="auto">
          <a:xfrm>
            <a:off x="2824163" y="2528888"/>
            <a:ext cx="15875" cy="30163"/>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24" name="Rectangle 123">
            <a:extLst>
              <a:ext uri="{FF2B5EF4-FFF2-40B4-BE49-F238E27FC236}">
                <a16:creationId xmlns:a16="http://schemas.microsoft.com/office/drawing/2014/main" id="{00000000-0008-0000-0000-00007C000000}"/>
              </a:ext>
            </a:extLst>
          </xdr:cNvPr>
          <xdr:cNvSpPr>
            <a:spLocks noChangeArrowheads="1"/>
          </xdr:cNvSpPr>
        </xdr:nvSpPr>
        <xdr:spPr bwMode="auto">
          <a:xfrm>
            <a:off x="2860675" y="2528888"/>
            <a:ext cx="19050" cy="3016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25" name="Rectangle 124">
            <a:extLst>
              <a:ext uri="{FF2B5EF4-FFF2-40B4-BE49-F238E27FC236}">
                <a16:creationId xmlns:a16="http://schemas.microsoft.com/office/drawing/2014/main" id="{00000000-0008-0000-0000-00007D000000}"/>
              </a:ext>
            </a:extLst>
          </xdr:cNvPr>
          <xdr:cNvSpPr>
            <a:spLocks noChangeArrowheads="1"/>
          </xdr:cNvSpPr>
        </xdr:nvSpPr>
        <xdr:spPr bwMode="auto">
          <a:xfrm>
            <a:off x="2746375" y="2579688"/>
            <a:ext cx="20638"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26" name="Rectangle 125">
            <a:extLst>
              <a:ext uri="{FF2B5EF4-FFF2-40B4-BE49-F238E27FC236}">
                <a16:creationId xmlns:a16="http://schemas.microsoft.com/office/drawing/2014/main" id="{00000000-0008-0000-0000-00007E000000}"/>
              </a:ext>
            </a:extLst>
          </xdr:cNvPr>
          <xdr:cNvSpPr>
            <a:spLocks noChangeArrowheads="1"/>
          </xdr:cNvSpPr>
        </xdr:nvSpPr>
        <xdr:spPr bwMode="auto">
          <a:xfrm>
            <a:off x="2786063" y="2579688"/>
            <a:ext cx="17463" cy="31750"/>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27" name="Rectangle 126">
            <a:extLst>
              <a:ext uri="{FF2B5EF4-FFF2-40B4-BE49-F238E27FC236}">
                <a16:creationId xmlns:a16="http://schemas.microsoft.com/office/drawing/2014/main" id="{00000000-0008-0000-0000-00007F000000}"/>
              </a:ext>
            </a:extLst>
          </xdr:cNvPr>
          <xdr:cNvSpPr>
            <a:spLocks noChangeArrowheads="1"/>
          </xdr:cNvSpPr>
        </xdr:nvSpPr>
        <xdr:spPr bwMode="auto">
          <a:xfrm>
            <a:off x="2824163" y="2579688"/>
            <a:ext cx="15875"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28" name="Rectangle 127">
            <a:extLst>
              <a:ext uri="{FF2B5EF4-FFF2-40B4-BE49-F238E27FC236}">
                <a16:creationId xmlns:a16="http://schemas.microsoft.com/office/drawing/2014/main" id="{00000000-0008-0000-0000-000080000000}"/>
              </a:ext>
            </a:extLst>
          </xdr:cNvPr>
          <xdr:cNvSpPr>
            <a:spLocks noChangeArrowheads="1"/>
          </xdr:cNvSpPr>
        </xdr:nvSpPr>
        <xdr:spPr bwMode="auto">
          <a:xfrm>
            <a:off x="2860675" y="2579688"/>
            <a:ext cx="19050"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29" name="Rectangle 128">
            <a:extLst>
              <a:ext uri="{FF2B5EF4-FFF2-40B4-BE49-F238E27FC236}">
                <a16:creationId xmlns:a16="http://schemas.microsoft.com/office/drawing/2014/main" id="{00000000-0008-0000-0000-000081000000}"/>
              </a:ext>
            </a:extLst>
          </xdr:cNvPr>
          <xdr:cNvSpPr>
            <a:spLocks noChangeArrowheads="1"/>
          </xdr:cNvSpPr>
        </xdr:nvSpPr>
        <xdr:spPr bwMode="auto">
          <a:xfrm>
            <a:off x="2746375" y="2630488"/>
            <a:ext cx="20638"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30" name="Rectangle 129">
            <a:extLst>
              <a:ext uri="{FF2B5EF4-FFF2-40B4-BE49-F238E27FC236}">
                <a16:creationId xmlns:a16="http://schemas.microsoft.com/office/drawing/2014/main" id="{00000000-0008-0000-0000-000082000000}"/>
              </a:ext>
            </a:extLst>
          </xdr:cNvPr>
          <xdr:cNvSpPr>
            <a:spLocks noChangeArrowheads="1"/>
          </xdr:cNvSpPr>
        </xdr:nvSpPr>
        <xdr:spPr bwMode="auto">
          <a:xfrm>
            <a:off x="2786063" y="2630488"/>
            <a:ext cx="17463" cy="31750"/>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31" name="Rectangle 130">
            <a:extLst>
              <a:ext uri="{FF2B5EF4-FFF2-40B4-BE49-F238E27FC236}">
                <a16:creationId xmlns:a16="http://schemas.microsoft.com/office/drawing/2014/main" id="{00000000-0008-0000-0000-000083000000}"/>
              </a:ext>
            </a:extLst>
          </xdr:cNvPr>
          <xdr:cNvSpPr>
            <a:spLocks noChangeArrowheads="1"/>
          </xdr:cNvSpPr>
        </xdr:nvSpPr>
        <xdr:spPr bwMode="auto">
          <a:xfrm>
            <a:off x="2824163" y="2630488"/>
            <a:ext cx="15875"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32" name="Rectangle 131">
            <a:extLst>
              <a:ext uri="{FF2B5EF4-FFF2-40B4-BE49-F238E27FC236}">
                <a16:creationId xmlns:a16="http://schemas.microsoft.com/office/drawing/2014/main" id="{00000000-0008-0000-0000-000084000000}"/>
              </a:ext>
            </a:extLst>
          </xdr:cNvPr>
          <xdr:cNvSpPr>
            <a:spLocks noChangeArrowheads="1"/>
          </xdr:cNvSpPr>
        </xdr:nvSpPr>
        <xdr:spPr bwMode="auto">
          <a:xfrm>
            <a:off x="2860675" y="2630488"/>
            <a:ext cx="19050"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33" name="Rectangle 132">
            <a:extLst>
              <a:ext uri="{FF2B5EF4-FFF2-40B4-BE49-F238E27FC236}">
                <a16:creationId xmlns:a16="http://schemas.microsoft.com/office/drawing/2014/main" id="{00000000-0008-0000-0000-000085000000}"/>
              </a:ext>
            </a:extLst>
          </xdr:cNvPr>
          <xdr:cNvSpPr>
            <a:spLocks noChangeArrowheads="1"/>
          </xdr:cNvSpPr>
        </xdr:nvSpPr>
        <xdr:spPr bwMode="auto">
          <a:xfrm>
            <a:off x="2746375" y="2681288"/>
            <a:ext cx="20638" cy="31750"/>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34" name="Rectangle 133">
            <a:extLst>
              <a:ext uri="{FF2B5EF4-FFF2-40B4-BE49-F238E27FC236}">
                <a16:creationId xmlns:a16="http://schemas.microsoft.com/office/drawing/2014/main" id="{00000000-0008-0000-0000-000086000000}"/>
              </a:ext>
            </a:extLst>
          </xdr:cNvPr>
          <xdr:cNvSpPr>
            <a:spLocks noChangeArrowheads="1"/>
          </xdr:cNvSpPr>
        </xdr:nvSpPr>
        <xdr:spPr bwMode="auto">
          <a:xfrm>
            <a:off x="2786063" y="2681288"/>
            <a:ext cx="17463" cy="317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35" name="Rectangle 134">
            <a:extLst>
              <a:ext uri="{FF2B5EF4-FFF2-40B4-BE49-F238E27FC236}">
                <a16:creationId xmlns:a16="http://schemas.microsoft.com/office/drawing/2014/main" id="{00000000-0008-0000-0000-000087000000}"/>
              </a:ext>
            </a:extLst>
          </xdr:cNvPr>
          <xdr:cNvSpPr>
            <a:spLocks noChangeArrowheads="1"/>
          </xdr:cNvSpPr>
        </xdr:nvSpPr>
        <xdr:spPr bwMode="auto">
          <a:xfrm>
            <a:off x="2824163" y="2681288"/>
            <a:ext cx="15875" cy="31750"/>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36" name="Rectangle 135">
            <a:extLst>
              <a:ext uri="{FF2B5EF4-FFF2-40B4-BE49-F238E27FC236}">
                <a16:creationId xmlns:a16="http://schemas.microsoft.com/office/drawing/2014/main" id="{00000000-0008-0000-0000-000088000000}"/>
              </a:ext>
            </a:extLst>
          </xdr:cNvPr>
          <xdr:cNvSpPr>
            <a:spLocks noChangeArrowheads="1"/>
          </xdr:cNvSpPr>
        </xdr:nvSpPr>
        <xdr:spPr bwMode="auto">
          <a:xfrm>
            <a:off x="2860675" y="2681288"/>
            <a:ext cx="19050"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37" name="Rectangle 136">
            <a:extLst>
              <a:ext uri="{FF2B5EF4-FFF2-40B4-BE49-F238E27FC236}">
                <a16:creationId xmlns:a16="http://schemas.microsoft.com/office/drawing/2014/main" id="{00000000-0008-0000-0000-000089000000}"/>
              </a:ext>
            </a:extLst>
          </xdr:cNvPr>
          <xdr:cNvSpPr>
            <a:spLocks noChangeArrowheads="1"/>
          </xdr:cNvSpPr>
        </xdr:nvSpPr>
        <xdr:spPr bwMode="auto">
          <a:xfrm>
            <a:off x="2746375" y="2732088"/>
            <a:ext cx="20638"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38" name="Rectangle 137">
            <a:extLst>
              <a:ext uri="{FF2B5EF4-FFF2-40B4-BE49-F238E27FC236}">
                <a16:creationId xmlns:a16="http://schemas.microsoft.com/office/drawing/2014/main" id="{00000000-0008-0000-0000-00008A000000}"/>
              </a:ext>
            </a:extLst>
          </xdr:cNvPr>
          <xdr:cNvSpPr>
            <a:spLocks noChangeArrowheads="1"/>
          </xdr:cNvSpPr>
        </xdr:nvSpPr>
        <xdr:spPr bwMode="auto">
          <a:xfrm>
            <a:off x="2786063" y="2732088"/>
            <a:ext cx="17463"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39" name="Rectangle 138">
            <a:extLst>
              <a:ext uri="{FF2B5EF4-FFF2-40B4-BE49-F238E27FC236}">
                <a16:creationId xmlns:a16="http://schemas.microsoft.com/office/drawing/2014/main" id="{00000000-0008-0000-0000-00008B000000}"/>
              </a:ext>
            </a:extLst>
          </xdr:cNvPr>
          <xdr:cNvSpPr>
            <a:spLocks noChangeArrowheads="1"/>
          </xdr:cNvSpPr>
        </xdr:nvSpPr>
        <xdr:spPr bwMode="auto">
          <a:xfrm>
            <a:off x="2824163" y="2732088"/>
            <a:ext cx="15875"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40" name="Rectangle 139">
            <a:extLst>
              <a:ext uri="{FF2B5EF4-FFF2-40B4-BE49-F238E27FC236}">
                <a16:creationId xmlns:a16="http://schemas.microsoft.com/office/drawing/2014/main" id="{00000000-0008-0000-0000-00008C000000}"/>
              </a:ext>
            </a:extLst>
          </xdr:cNvPr>
          <xdr:cNvSpPr>
            <a:spLocks noChangeArrowheads="1"/>
          </xdr:cNvSpPr>
        </xdr:nvSpPr>
        <xdr:spPr bwMode="auto">
          <a:xfrm>
            <a:off x="2860675" y="2732088"/>
            <a:ext cx="19050"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41" name="Rectangle 140">
            <a:extLst>
              <a:ext uri="{FF2B5EF4-FFF2-40B4-BE49-F238E27FC236}">
                <a16:creationId xmlns:a16="http://schemas.microsoft.com/office/drawing/2014/main" id="{00000000-0008-0000-0000-00008D000000}"/>
              </a:ext>
            </a:extLst>
          </xdr:cNvPr>
          <xdr:cNvSpPr>
            <a:spLocks noChangeArrowheads="1"/>
          </xdr:cNvSpPr>
        </xdr:nvSpPr>
        <xdr:spPr bwMode="auto">
          <a:xfrm>
            <a:off x="2746375" y="2782888"/>
            <a:ext cx="20638"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42" name="Rectangle 141">
            <a:extLst>
              <a:ext uri="{FF2B5EF4-FFF2-40B4-BE49-F238E27FC236}">
                <a16:creationId xmlns:a16="http://schemas.microsoft.com/office/drawing/2014/main" id="{00000000-0008-0000-0000-00008E000000}"/>
              </a:ext>
            </a:extLst>
          </xdr:cNvPr>
          <xdr:cNvSpPr>
            <a:spLocks noChangeArrowheads="1"/>
          </xdr:cNvSpPr>
        </xdr:nvSpPr>
        <xdr:spPr bwMode="auto">
          <a:xfrm>
            <a:off x="2786063" y="2782888"/>
            <a:ext cx="17463" cy="31750"/>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43" name="Rectangle 142">
            <a:extLst>
              <a:ext uri="{FF2B5EF4-FFF2-40B4-BE49-F238E27FC236}">
                <a16:creationId xmlns:a16="http://schemas.microsoft.com/office/drawing/2014/main" id="{00000000-0008-0000-0000-00008F000000}"/>
              </a:ext>
            </a:extLst>
          </xdr:cNvPr>
          <xdr:cNvSpPr>
            <a:spLocks noChangeArrowheads="1"/>
          </xdr:cNvSpPr>
        </xdr:nvSpPr>
        <xdr:spPr bwMode="auto">
          <a:xfrm>
            <a:off x="2824163" y="2782888"/>
            <a:ext cx="15875" cy="317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44" name="Rectangle 143">
            <a:extLst>
              <a:ext uri="{FF2B5EF4-FFF2-40B4-BE49-F238E27FC236}">
                <a16:creationId xmlns:a16="http://schemas.microsoft.com/office/drawing/2014/main" id="{00000000-0008-0000-0000-000090000000}"/>
              </a:ext>
            </a:extLst>
          </xdr:cNvPr>
          <xdr:cNvSpPr>
            <a:spLocks noChangeArrowheads="1"/>
          </xdr:cNvSpPr>
        </xdr:nvSpPr>
        <xdr:spPr bwMode="auto">
          <a:xfrm>
            <a:off x="2860675" y="2782888"/>
            <a:ext cx="19050" cy="31750"/>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45" name="Rectangle 144">
            <a:extLst>
              <a:ext uri="{FF2B5EF4-FFF2-40B4-BE49-F238E27FC236}">
                <a16:creationId xmlns:a16="http://schemas.microsoft.com/office/drawing/2014/main" id="{00000000-0008-0000-0000-000091000000}"/>
              </a:ext>
            </a:extLst>
          </xdr:cNvPr>
          <xdr:cNvSpPr>
            <a:spLocks noChangeArrowheads="1"/>
          </xdr:cNvSpPr>
        </xdr:nvSpPr>
        <xdr:spPr bwMode="auto">
          <a:xfrm>
            <a:off x="2746375" y="2833688"/>
            <a:ext cx="20638" cy="31750"/>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46" name="Rectangle 145">
            <a:extLst>
              <a:ext uri="{FF2B5EF4-FFF2-40B4-BE49-F238E27FC236}">
                <a16:creationId xmlns:a16="http://schemas.microsoft.com/office/drawing/2014/main" id="{00000000-0008-0000-0000-000092000000}"/>
              </a:ext>
            </a:extLst>
          </xdr:cNvPr>
          <xdr:cNvSpPr>
            <a:spLocks noChangeArrowheads="1"/>
          </xdr:cNvSpPr>
        </xdr:nvSpPr>
        <xdr:spPr bwMode="auto">
          <a:xfrm>
            <a:off x="2786063" y="2833688"/>
            <a:ext cx="17463"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47" name="Rectangle 146">
            <a:extLst>
              <a:ext uri="{FF2B5EF4-FFF2-40B4-BE49-F238E27FC236}">
                <a16:creationId xmlns:a16="http://schemas.microsoft.com/office/drawing/2014/main" id="{00000000-0008-0000-0000-000093000000}"/>
              </a:ext>
            </a:extLst>
          </xdr:cNvPr>
          <xdr:cNvSpPr>
            <a:spLocks noChangeArrowheads="1"/>
          </xdr:cNvSpPr>
        </xdr:nvSpPr>
        <xdr:spPr bwMode="auto">
          <a:xfrm>
            <a:off x="2824163" y="2833688"/>
            <a:ext cx="15875" cy="31750"/>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48" name="Rectangle 147">
            <a:extLst>
              <a:ext uri="{FF2B5EF4-FFF2-40B4-BE49-F238E27FC236}">
                <a16:creationId xmlns:a16="http://schemas.microsoft.com/office/drawing/2014/main" id="{00000000-0008-0000-0000-000094000000}"/>
              </a:ext>
            </a:extLst>
          </xdr:cNvPr>
          <xdr:cNvSpPr>
            <a:spLocks noChangeArrowheads="1"/>
          </xdr:cNvSpPr>
        </xdr:nvSpPr>
        <xdr:spPr bwMode="auto">
          <a:xfrm>
            <a:off x="2860675" y="2833688"/>
            <a:ext cx="19050" cy="31750"/>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49" name="Rectangle 148">
            <a:extLst>
              <a:ext uri="{FF2B5EF4-FFF2-40B4-BE49-F238E27FC236}">
                <a16:creationId xmlns:a16="http://schemas.microsoft.com/office/drawing/2014/main" id="{00000000-0008-0000-0000-000095000000}"/>
              </a:ext>
            </a:extLst>
          </xdr:cNvPr>
          <xdr:cNvSpPr>
            <a:spLocks noChangeArrowheads="1"/>
          </xdr:cNvSpPr>
        </xdr:nvSpPr>
        <xdr:spPr bwMode="auto">
          <a:xfrm>
            <a:off x="2746375" y="2886075"/>
            <a:ext cx="20638" cy="30163"/>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50" name="Rectangle 149">
            <a:extLst>
              <a:ext uri="{FF2B5EF4-FFF2-40B4-BE49-F238E27FC236}">
                <a16:creationId xmlns:a16="http://schemas.microsoft.com/office/drawing/2014/main" id="{00000000-0008-0000-0000-000096000000}"/>
              </a:ext>
            </a:extLst>
          </xdr:cNvPr>
          <xdr:cNvSpPr>
            <a:spLocks noChangeArrowheads="1"/>
          </xdr:cNvSpPr>
        </xdr:nvSpPr>
        <xdr:spPr bwMode="auto">
          <a:xfrm>
            <a:off x="2786063" y="2886075"/>
            <a:ext cx="17463" cy="3016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51" name="Rectangle 150">
            <a:extLst>
              <a:ext uri="{FF2B5EF4-FFF2-40B4-BE49-F238E27FC236}">
                <a16:creationId xmlns:a16="http://schemas.microsoft.com/office/drawing/2014/main" id="{00000000-0008-0000-0000-000097000000}"/>
              </a:ext>
            </a:extLst>
          </xdr:cNvPr>
          <xdr:cNvSpPr>
            <a:spLocks noChangeArrowheads="1"/>
          </xdr:cNvSpPr>
        </xdr:nvSpPr>
        <xdr:spPr bwMode="auto">
          <a:xfrm>
            <a:off x="2824163" y="2886075"/>
            <a:ext cx="15875" cy="30163"/>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52" name="Rectangle 151">
            <a:extLst>
              <a:ext uri="{FF2B5EF4-FFF2-40B4-BE49-F238E27FC236}">
                <a16:creationId xmlns:a16="http://schemas.microsoft.com/office/drawing/2014/main" id="{00000000-0008-0000-0000-000098000000}"/>
              </a:ext>
            </a:extLst>
          </xdr:cNvPr>
          <xdr:cNvSpPr>
            <a:spLocks noChangeArrowheads="1"/>
          </xdr:cNvSpPr>
        </xdr:nvSpPr>
        <xdr:spPr bwMode="auto">
          <a:xfrm>
            <a:off x="2860675" y="2886075"/>
            <a:ext cx="19050" cy="30163"/>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53" name="Rectangle 152">
            <a:extLst>
              <a:ext uri="{FF2B5EF4-FFF2-40B4-BE49-F238E27FC236}">
                <a16:creationId xmlns:a16="http://schemas.microsoft.com/office/drawing/2014/main" id="{00000000-0008-0000-0000-000099000000}"/>
              </a:ext>
            </a:extLst>
          </xdr:cNvPr>
          <xdr:cNvSpPr>
            <a:spLocks noChangeArrowheads="1"/>
          </xdr:cNvSpPr>
        </xdr:nvSpPr>
        <xdr:spPr bwMode="auto">
          <a:xfrm>
            <a:off x="2746375" y="2936875"/>
            <a:ext cx="20638" cy="30163"/>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54" name="Rectangle 153">
            <a:extLst>
              <a:ext uri="{FF2B5EF4-FFF2-40B4-BE49-F238E27FC236}">
                <a16:creationId xmlns:a16="http://schemas.microsoft.com/office/drawing/2014/main" id="{00000000-0008-0000-0000-00009A000000}"/>
              </a:ext>
            </a:extLst>
          </xdr:cNvPr>
          <xdr:cNvSpPr>
            <a:spLocks noChangeArrowheads="1"/>
          </xdr:cNvSpPr>
        </xdr:nvSpPr>
        <xdr:spPr bwMode="auto">
          <a:xfrm>
            <a:off x="2786063" y="2936875"/>
            <a:ext cx="17463" cy="30163"/>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55" name="Rectangle 154">
            <a:extLst>
              <a:ext uri="{FF2B5EF4-FFF2-40B4-BE49-F238E27FC236}">
                <a16:creationId xmlns:a16="http://schemas.microsoft.com/office/drawing/2014/main" id="{00000000-0008-0000-0000-00009B000000}"/>
              </a:ext>
            </a:extLst>
          </xdr:cNvPr>
          <xdr:cNvSpPr>
            <a:spLocks noChangeArrowheads="1"/>
          </xdr:cNvSpPr>
        </xdr:nvSpPr>
        <xdr:spPr bwMode="auto">
          <a:xfrm>
            <a:off x="2824163" y="2936875"/>
            <a:ext cx="15875" cy="3016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56" name="Rectangle 155">
            <a:extLst>
              <a:ext uri="{FF2B5EF4-FFF2-40B4-BE49-F238E27FC236}">
                <a16:creationId xmlns:a16="http://schemas.microsoft.com/office/drawing/2014/main" id="{00000000-0008-0000-0000-00009C000000}"/>
              </a:ext>
            </a:extLst>
          </xdr:cNvPr>
          <xdr:cNvSpPr>
            <a:spLocks noChangeArrowheads="1"/>
          </xdr:cNvSpPr>
        </xdr:nvSpPr>
        <xdr:spPr bwMode="auto">
          <a:xfrm>
            <a:off x="2860675" y="2936875"/>
            <a:ext cx="19050" cy="30163"/>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57" name="Rectangle 156">
            <a:extLst>
              <a:ext uri="{FF2B5EF4-FFF2-40B4-BE49-F238E27FC236}">
                <a16:creationId xmlns:a16="http://schemas.microsoft.com/office/drawing/2014/main" id="{00000000-0008-0000-0000-00009D000000}"/>
              </a:ext>
            </a:extLst>
          </xdr:cNvPr>
          <xdr:cNvSpPr>
            <a:spLocks noChangeArrowheads="1"/>
          </xdr:cNvSpPr>
        </xdr:nvSpPr>
        <xdr:spPr bwMode="auto">
          <a:xfrm>
            <a:off x="2470150" y="2667000"/>
            <a:ext cx="174625" cy="365125"/>
          </a:xfrm>
          <a:prstGeom prst="rect">
            <a:avLst/>
          </a:prstGeom>
          <a:solidFill>
            <a:srgbClr val="DFDFD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58" name="Rectangle 157">
            <a:extLst>
              <a:ext uri="{FF2B5EF4-FFF2-40B4-BE49-F238E27FC236}">
                <a16:creationId xmlns:a16="http://schemas.microsoft.com/office/drawing/2014/main" id="{00000000-0008-0000-0000-00009E000000}"/>
              </a:ext>
            </a:extLst>
          </xdr:cNvPr>
          <xdr:cNvSpPr>
            <a:spLocks noChangeArrowheads="1"/>
          </xdr:cNvSpPr>
        </xdr:nvSpPr>
        <xdr:spPr bwMode="auto">
          <a:xfrm>
            <a:off x="2495550" y="2713038"/>
            <a:ext cx="19050" cy="2857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59" name="Rectangle 158">
            <a:extLst>
              <a:ext uri="{FF2B5EF4-FFF2-40B4-BE49-F238E27FC236}">
                <a16:creationId xmlns:a16="http://schemas.microsoft.com/office/drawing/2014/main" id="{00000000-0008-0000-0000-00009F000000}"/>
              </a:ext>
            </a:extLst>
          </xdr:cNvPr>
          <xdr:cNvSpPr>
            <a:spLocks noChangeArrowheads="1"/>
          </xdr:cNvSpPr>
        </xdr:nvSpPr>
        <xdr:spPr bwMode="auto">
          <a:xfrm>
            <a:off x="2528888" y="2713038"/>
            <a:ext cx="20638" cy="2857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60" name="Rectangle 159">
            <a:extLst>
              <a:ext uri="{FF2B5EF4-FFF2-40B4-BE49-F238E27FC236}">
                <a16:creationId xmlns:a16="http://schemas.microsoft.com/office/drawing/2014/main" id="{00000000-0008-0000-0000-0000A0000000}"/>
              </a:ext>
            </a:extLst>
          </xdr:cNvPr>
          <xdr:cNvSpPr>
            <a:spLocks noChangeArrowheads="1"/>
          </xdr:cNvSpPr>
        </xdr:nvSpPr>
        <xdr:spPr bwMode="auto">
          <a:xfrm>
            <a:off x="2562225" y="2713038"/>
            <a:ext cx="20638" cy="2857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61" name="Rectangle 160">
            <a:extLst>
              <a:ext uri="{FF2B5EF4-FFF2-40B4-BE49-F238E27FC236}">
                <a16:creationId xmlns:a16="http://schemas.microsoft.com/office/drawing/2014/main" id="{00000000-0008-0000-0000-0000A1000000}"/>
              </a:ext>
            </a:extLst>
          </xdr:cNvPr>
          <xdr:cNvSpPr>
            <a:spLocks noChangeArrowheads="1"/>
          </xdr:cNvSpPr>
        </xdr:nvSpPr>
        <xdr:spPr bwMode="auto">
          <a:xfrm>
            <a:off x="2597150" y="2713038"/>
            <a:ext cx="19050" cy="2857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62" name="Rectangle 161">
            <a:extLst>
              <a:ext uri="{FF2B5EF4-FFF2-40B4-BE49-F238E27FC236}">
                <a16:creationId xmlns:a16="http://schemas.microsoft.com/office/drawing/2014/main" id="{00000000-0008-0000-0000-0000A2000000}"/>
              </a:ext>
            </a:extLst>
          </xdr:cNvPr>
          <xdr:cNvSpPr>
            <a:spLocks noChangeArrowheads="1"/>
          </xdr:cNvSpPr>
        </xdr:nvSpPr>
        <xdr:spPr bwMode="auto">
          <a:xfrm>
            <a:off x="3001963" y="2865438"/>
            <a:ext cx="20638" cy="285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63" name="Rectangle 162">
            <a:extLst>
              <a:ext uri="{FF2B5EF4-FFF2-40B4-BE49-F238E27FC236}">
                <a16:creationId xmlns:a16="http://schemas.microsoft.com/office/drawing/2014/main" id="{00000000-0008-0000-0000-0000A3000000}"/>
              </a:ext>
            </a:extLst>
          </xdr:cNvPr>
          <xdr:cNvSpPr>
            <a:spLocks noChangeArrowheads="1"/>
          </xdr:cNvSpPr>
        </xdr:nvSpPr>
        <xdr:spPr bwMode="auto">
          <a:xfrm>
            <a:off x="3035300" y="2865438"/>
            <a:ext cx="20638" cy="28575"/>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64" name="Rectangle 163">
            <a:extLst>
              <a:ext uri="{FF2B5EF4-FFF2-40B4-BE49-F238E27FC236}">
                <a16:creationId xmlns:a16="http://schemas.microsoft.com/office/drawing/2014/main" id="{00000000-0008-0000-0000-0000A4000000}"/>
              </a:ext>
            </a:extLst>
          </xdr:cNvPr>
          <xdr:cNvSpPr>
            <a:spLocks noChangeArrowheads="1"/>
          </xdr:cNvSpPr>
        </xdr:nvSpPr>
        <xdr:spPr bwMode="auto">
          <a:xfrm>
            <a:off x="3070225" y="2865438"/>
            <a:ext cx="19050" cy="28575"/>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65" name="Rectangle 164">
            <a:extLst>
              <a:ext uri="{FF2B5EF4-FFF2-40B4-BE49-F238E27FC236}">
                <a16:creationId xmlns:a16="http://schemas.microsoft.com/office/drawing/2014/main" id="{00000000-0008-0000-0000-0000A5000000}"/>
              </a:ext>
            </a:extLst>
          </xdr:cNvPr>
          <xdr:cNvSpPr>
            <a:spLocks noChangeArrowheads="1"/>
          </xdr:cNvSpPr>
        </xdr:nvSpPr>
        <xdr:spPr bwMode="auto">
          <a:xfrm>
            <a:off x="3103563" y="2865438"/>
            <a:ext cx="20638" cy="28575"/>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66" name="Rectangle 165">
            <a:extLst>
              <a:ext uri="{FF2B5EF4-FFF2-40B4-BE49-F238E27FC236}">
                <a16:creationId xmlns:a16="http://schemas.microsoft.com/office/drawing/2014/main" id="{00000000-0008-0000-0000-0000A6000000}"/>
              </a:ext>
            </a:extLst>
          </xdr:cNvPr>
          <xdr:cNvSpPr>
            <a:spLocks noChangeArrowheads="1"/>
          </xdr:cNvSpPr>
        </xdr:nvSpPr>
        <xdr:spPr bwMode="auto">
          <a:xfrm>
            <a:off x="3001963" y="2916238"/>
            <a:ext cx="20638" cy="28575"/>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67" name="Rectangle 166">
            <a:extLst>
              <a:ext uri="{FF2B5EF4-FFF2-40B4-BE49-F238E27FC236}">
                <a16:creationId xmlns:a16="http://schemas.microsoft.com/office/drawing/2014/main" id="{00000000-0008-0000-0000-0000A7000000}"/>
              </a:ext>
            </a:extLst>
          </xdr:cNvPr>
          <xdr:cNvSpPr>
            <a:spLocks noChangeArrowheads="1"/>
          </xdr:cNvSpPr>
        </xdr:nvSpPr>
        <xdr:spPr bwMode="auto">
          <a:xfrm>
            <a:off x="3035300" y="2916238"/>
            <a:ext cx="20638" cy="28575"/>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68" name="Rectangle 167">
            <a:extLst>
              <a:ext uri="{FF2B5EF4-FFF2-40B4-BE49-F238E27FC236}">
                <a16:creationId xmlns:a16="http://schemas.microsoft.com/office/drawing/2014/main" id="{00000000-0008-0000-0000-0000A8000000}"/>
              </a:ext>
            </a:extLst>
          </xdr:cNvPr>
          <xdr:cNvSpPr>
            <a:spLocks noChangeArrowheads="1"/>
          </xdr:cNvSpPr>
        </xdr:nvSpPr>
        <xdr:spPr bwMode="auto">
          <a:xfrm>
            <a:off x="3070225" y="2916238"/>
            <a:ext cx="19050" cy="28575"/>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69" name="Rectangle 168">
            <a:extLst>
              <a:ext uri="{FF2B5EF4-FFF2-40B4-BE49-F238E27FC236}">
                <a16:creationId xmlns:a16="http://schemas.microsoft.com/office/drawing/2014/main" id="{00000000-0008-0000-0000-0000A9000000}"/>
              </a:ext>
            </a:extLst>
          </xdr:cNvPr>
          <xdr:cNvSpPr>
            <a:spLocks noChangeArrowheads="1"/>
          </xdr:cNvSpPr>
        </xdr:nvSpPr>
        <xdr:spPr bwMode="auto">
          <a:xfrm>
            <a:off x="3103563" y="2916238"/>
            <a:ext cx="20638" cy="285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70" name="Rectangle 169">
            <a:extLst>
              <a:ext uri="{FF2B5EF4-FFF2-40B4-BE49-F238E27FC236}">
                <a16:creationId xmlns:a16="http://schemas.microsoft.com/office/drawing/2014/main" id="{00000000-0008-0000-0000-0000AA000000}"/>
              </a:ext>
            </a:extLst>
          </xdr:cNvPr>
          <xdr:cNvSpPr>
            <a:spLocks noChangeArrowheads="1"/>
          </xdr:cNvSpPr>
        </xdr:nvSpPr>
        <xdr:spPr bwMode="auto">
          <a:xfrm>
            <a:off x="3001963" y="2967038"/>
            <a:ext cx="20638" cy="285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71" name="Rectangle 170">
            <a:extLst>
              <a:ext uri="{FF2B5EF4-FFF2-40B4-BE49-F238E27FC236}">
                <a16:creationId xmlns:a16="http://schemas.microsoft.com/office/drawing/2014/main" id="{00000000-0008-0000-0000-0000AB000000}"/>
              </a:ext>
            </a:extLst>
          </xdr:cNvPr>
          <xdr:cNvSpPr>
            <a:spLocks noChangeArrowheads="1"/>
          </xdr:cNvSpPr>
        </xdr:nvSpPr>
        <xdr:spPr bwMode="auto">
          <a:xfrm>
            <a:off x="3035300" y="2967038"/>
            <a:ext cx="20638" cy="28575"/>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72" name="Rectangle 171">
            <a:extLst>
              <a:ext uri="{FF2B5EF4-FFF2-40B4-BE49-F238E27FC236}">
                <a16:creationId xmlns:a16="http://schemas.microsoft.com/office/drawing/2014/main" id="{00000000-0008-0000-0000-0000AC000000}"/>
              </a:ext>
            </a:extLst>
          </xdr:cNvPr>
          <xdr:cNvSpPr>
            <a:spLocks noChangeArrowheads="1"/>
          </xdr:cNvSpPr>
        </xdr:nvSpPr>
        <xdr:spPr bwMode="auto">
          <a:xfrm>
            <a:off x="3070225" y="2967038"/>
            <a:ext cx="19050" cy="28575"/>
          </a:xfrm>
          <a:prstGeom prst="rect">
            <a:avLst/>
          </a:prstGeom>
          <a:solidFill>
            <a:srgbClr val="6DC2E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73" name="Rectangle 172">
            <a:extLst>
              <a:ext uri="{FF2B5EF4-FFF2-40B4-BE49-F238E27FC236}">
                <a16:creationId xmlns:a16="http://schemas.microsoft.com/office/drawing/2014/main" id="{00000000-0008-0000-0000-0000AD000000}"/>
              </a:ext>
            </a:extLst>
          </xdr:cNvPr>
          <xdr:cNvSpPr>
            <a:spLocks noChangeArrowheads="1"/>
          </xdr:cNvSpPr>
        </xdr:nvSpPr>
        <xdr:spPr bwMode="auto">
          <a:xfrm>
            <a:off x="3103563" y="2967038"/>
            <a:ext cx="20638" cy="28575"/>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74" name="Freeform 173">
            <a:extLst>
              <a:ext uri="{FF2B5EF4-FFF2-40B4-BE49-F238E27FC236}">
                <a16:creationId xmlns:a16="http://schemas.microsoft.com/office/drawing/2014/main" id="{00000000-0008-0000-0000-0000AE000000}"/>
              </a:ext>
            </a:extLst>
          </xdr:cNvPr>
          <xdr:cNvSpPr>
            <a:spLocks/>
          </xdr:cNvSpPr>
        </xdr:nvSpPr>
        <xdr:spPr bwMode="auto">
          <a:xfrm>
            <a:off x="2551113" y="2149475"/>
            <a:ext cx="223838" cy="517525"/>
          </a:xfrm>
          <a:custGeom>
            <a:avLst/>
            <a:gdLst>
              <a:gd name="T0" fmla="*/ 3 w 79"/>
              <a:gd name="T1" fmla="*/ 183 h 183"/>
              <a:gd name="T2" fmla="*/ 0 w 79"/>
              <a:gd name="T3" fmla="*/ 183 h 183"/>
              <a:gd name="T4" fmla="*/ 0 w 79"/>
              <a:gd name="T5" fmla="*/ 92 h 183"/>
              <a:gd name="T6" fmla="*/ 32 w 79"/>
              <a:gd name="T7" fmla="*/ 60 h 183"/>
              <a:gd name="T8" fmla="*/ 48 w 79"/>
              <a:gd name="T9" fmla="*/ 60 h 183"/>
              <a:gd name="T10" fmla="*/ 76 w 79"/>
              <a:gd name="T11" fmla="*/ 32 h 183"/>
              <a:gd name="T12" fmla="*/ 76 w 79"/>
              <a:gd name="T13" fmla="*/ 0 h 183"/>
              <a:gd name="T14" fmla="*/ 79 w 79"/>
              <a:gd name="T15" fmla="*/ 0 h 183"/>
              <a:gd name="T16" fmla="*/ 79 w 79"/>
              <a:gd name="T17" fmla="*/ 32 h 183"/>
              <a:gd name="T18" fmla="*/ 48 w 79"/>
              <a:gd name="T19" fmla="*/ 63 h 183"/>
              <a:gd name="T20" fmla="*/ 32 w 79"/>
              <a:gd name="T21" fmla="*/ 63 h 183"/>
              <a:gd name="T22" fmla="*/ 3 w 79"/>
              <a:gd name="T23" fmla="*/ 92 h 183"/>
              <a:gd name="T24" fmla="*/ 3 w 79"/>
              <a:gd name="T25" fmla="*/ 183 h 18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79" h="183">
                <a:moveTo>
                  <a:pt x="3" y="183"/>
                </a:moveTo>
                <a:cubicBezTo>
                  <a:pt x="0" y="183"/>
                  <a:pt x="0" y="183"/>
                  <a:pt x="0" y="183"/>
                </a:cubicBezTo>
                <a:cubicBezTo>
                  <a:pt x="0" y="92"/>
                  <a:pt x="0" y="92"/>
                  <a:pt x="0" y="92"/>
                </a:cubicBezTo>
                <a:cubicBezTo>
                  <a:pt x="0" y="74"/>
                  <a:pt x="14" y="60"/>
                  <a:pt x="32" y="60"/>
                </a:cubicBezTo>
                <a:cubicBezTo>
                  <a:pt x="48" y="60"/>
                  <a:pt x="48" y="60"/>
                  <a:pt x="48" y="60"/>
                </a:cubicBezTo>
                <a:cubicBezTo>
                  <a:pt x="63" y="60"/>
                  <a:pt x="76" y="48"/>
                  <a:pt x="76" y="32"/>
                </a:cubicBezTo>
                <a:cubicBezTo>
                  <a:pt x="76" y="0"/>
                  <a:pt x="76" y="0"/>
                  <a:pt x="76" y="0"/>
                </a:cubicBezTo>
                <a:cubicBezTo>
                  <a:pt x="79" y="0"/>
                  <a:pt x="79" y="0"/>
                  <a:pt x="79" y="0"/>
                </a:cubicBezTo>
                <a:cubicBezTo>
                  <a:pt x="79" y="32"/>
                  <a:pt x="79" y="32"/>
                  <a:pt x="79" y="32"/>
                </a:cubicBezTo>
                <a:cubicBezTo>
                  <a:pt x="79" y="49"/>
                  <a:pt x="65" y="63"/>
                  <a:pt x="48" y="63"/>
                </a:cubicBezTo>
                <a:cubicBezTo>
                  <a:pt x="32" y="63"/>
                  <a:pt x="32" y="63"/>
                  <a:pt x="32" y="63"/>
                </a:cubicBezTo>
                <a:cubicBezTo>
                  <a:pt x="16" y="63"/>
                  <a:pt x="3" y="76"/>
                  <a:pt x="3" y="92"/>
                </a:cubicBezTo>
                <a:lnTo>
                  <a:pt x="3" y="183"/>
                </a:lnTo>
                <a:close/>
              </a:path>
            </a:pathLst>
          </a:custGeom>
          <a:solidFill>
            <a:srgbClr val="0072C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75" name="Freeform 174">
            <a:extLst>
              <a:ext uri="{FF2B5EF4-FFF2-40B4-BE49-F238E27FC236}">
                <a16:creationId xmlns:a16="http://schemas.microsoft.com/office/drawing/2014/main" id="{00000000-0008-0000-0000-0000AF000000}"/>
              </a:ext>
            </a:extLst>
          </xdr:cNvPr>
          <xdr:cNvSpPr>
            <a:spLocks/>
          </xdr:cNvSpPr>
        </xdr:nvSpPr>
        <xdr:spPr bwMode="auto">
          <a:xfrm>
            <a:off x="2965450" y="2149475"/>
            <a:ext cx="115888" cy="698500"/>
          </a:xfrm>
          <a:custGeom>
            <a:avLst/>
            <a:gdLst>
              <a:gd name="T0" fmla="*/ 41 w 41"/>
              <a:gd name="T1" fmla="*/ 247 h 247"/>
              <a:gd name="T2" fmla="*/ 38 w 41"/>
              <a:gd name="T3" fmla="*/ 247 h 247"/>
              <a:gd name="T4" fmla="*/ 38 w 41"/>
              <a:gd name="T5" fmla="*/ 123 h 247"/>
              <a:gd name="T6" fmla="*/ 21 w 41"/>
              <a:gd name="T7" fmla="*/ 106 h 247"/>
              <a:gd name="T8" fmla="*/ 20 w 41"/>
              <a:gd name="T9" fmla="*/ 106 h 247"/>
              <a:gd name="T10" fmla="*/ 0 w 41"/>
              <a:gd name="T11" fmla="*/ 86 h 247"/>
              <a:gd name="T12" fmla="*/ 0 w 41"/>
              <a:gd name="T13" fmla="*/ 0 h 247"/>
              <a:gd name="T14" fmla="*/ 3 w 41"/>
              <a:gd name="T15" fmla="*/ 0 h 247"/>
              <a:gd name="T16" fmla="*/ 3 w 41"/>
              <a:gd name="T17" fmla="*/ 86 h 247"/>
              <a:gd name="T18" fmla="*/ 20 w 41"/>
              <a:gd name="T19" fmla="*/ 103 h 247"/>
              <a:gd name="T20" fmla="*/ 21 w 41"/>
              <a:gd name="T21" fmla="*/ 103 h 247"/>
              <a:gd name="T22" fmla="*/ 41 w 41"/>
              <a:gd name="T23" fmla="*/ 123 h 247"/>
              <a:gd name="T24" fmla="*/ 41 w 41"/>
              <a:gd name="T25" fmla="*/ 247 h 2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41" h="247">
                <a:moveTo>
                  <a:pt x="41" y="247"/>
                </a:moveTo>
                <a:cubicBezTo>
                  <a:pt x="38" y="247"/>
                  <a:pt x="38" y="247"/>
                  <a:pt x="38" y="247"/>
                </a:cubicBezTo>
                <a:cubicBezTo>
                  <a:pt x="38" y="123"/>
                  <a:pt x="38" y="123"/>
                  <a:pt x="38" y="123"/>
                </a:cubicBezTo>
                <a:cubicBezTo>
                  <a:pt x="38" y="113"/>
                  <a:pt x="31" y="106"/>
                  <a:pt x="21" y="106"/>
                </a:cubicBezTo>
                <a:cubicBezTo>
                  <a:pt x="20" y="106"/>
                  <a:pt x="20" y="106"/>
                  <a:pt x="20" y="106"/>
                </a:cubicBezTo>
                <a:cubicBezTo>
                  <a:pt x="9" y="106"/>
                  <a:pt x="0" y="97"/>
                  <a:pt x="0" y="86"/>
                </a:cubicBezTo>
                <a:cubicBezTo>
                  <a:pt x="0" y="0"/>
                  <a:pt x="0" y="0"/>
                  <a:pt x="0" y="0"/>
                </a:cubicBezTo>
                <a:cubicBezTo>
                  <a:pt x="3" y="0"/>
                  <a:pt x="3" y="0"/>
                  <a:pt x="3" y="0"/>
                </a:cubicBezTo>
                <a:cubicBezTo>
                  <a:pt x="3" y="86"/>
                  <a:pt x="3" y="86"/>
                  <a:pt x="3" y="86"/>
                </a:cubicBezTo>
                <a:cubicBezTo>
                  <a:pt x="3" y="95"/>
                  <a:pt x="11" y="103"/>
                  <a:pt x="20" y="103"/>
                </a:cubicBezTo>
                <a:cubicBezTo>
                  <a:pt x="21" y="103"/>
                  <a:pt x="21" y="103"/>
                  <a:pt x="21" y="103"/>
                </a:cubicBezTo>
                <a:cubicBezTo>
                  <a:pt x="32" y="103"/>
                  <a:pt x="41" y="112"/>
                  <a:pt x="41" y="123"/>
                </a:cubicBezTo>
                <a:lnTo>
                  <a:pt x="41" y="247"/>
                </a:lnTo>
                <a:close/>
              </a:path>
            </a:pathLst>
          </a:custGeom>
          <a:solidFill>
            <a:srgbClr val="0072C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76" name="Rectangle 175">
            <a:extLst>
              <a:ext uri="{FF2B5EF4-FFF2-40B4-BE49-F238E27FC236}">
                <a16:creationId xmlns:a16="http://schemas.microsoft.com/office/drawing/2014/main" id="{00000000-0008-0000-0000-0000B0000000}"/>
              </a:ext>
            </a:extLst>
          </xdr:cNvPr>
          <xdr:cNvSpPr>
            <a:spLocks noChangeArrowheads="1"/>
          </xdr:cNvSpPr>
        </xdr:nvSpPr>
        <xdr:spPr bwMode="auto">
          <a:xfrm>
            <a:off x="2838450" y="2149475"/>
            <a:ext cx="7938" cy="347663"/>
          </a:xfrm>
          <a:prstGeom prst="rect">
            <a:avLst/>
          </a:prstGeom>
          <a:solidFill>
            <a:srgbClr val="0072C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grpSp>
    <xdr:clientData/>
  </xdr:twoCellAnchor>
  <xdr:twoCellAnchor>
    <xdr:from>
      <xdr:col>0</xdr:col>
      <xdr:colOff>90469</xdr:colOff>
      <xdr:row>1</xdr:row>
      <xdr:rowOff>182156</xdr:rowOff>
    </xdr:from>
    <xdr:to>
      <xdr:col>8</xdr:col>
      <xdr:colOff>641376</xdr:colOff>
      <xdr:row>3</xdr:row>
      <xdr:rowOff>152400</xdr:rowOff>
    </xdr:to>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90469" y="366140"/>
          <a:ext cx="5733120" cy="33821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rgbClr val="00B050"/>
              </a:solidFill>
              <a:latin typeface="Segoe UI" panose="020B0502040204020203" pitchFamily="34" charset="0"/>
              <a:cs typeface="Segoe UI" panose="020B0502040204020203" pitchFamily="34" charset="0"/>
            </a:rPr>
            <a:t>Microsoft Office 365 Customer</a:t>
          </a:r>
          <a:r>
            <a:rPr lang="en-GB" sz="1100" b="1" baseline="0">
              <a:solidFill>
                <a:srgbClr val="00B050"/>
              </a:solidFill>
              <a:latin typeface="Segoe UI" panose="020B0502040204020203" pitchFamily="34" charset="0"/>
              <a:cs typeface="Segoe UI" panose="020B0502040204020203" pitchFamily="34" charset="0"/>
            </a:rPr>
            <a:t> Security Considerations Workbook</a:t>
          </a:r>
        </a:p>
      </xdr:txBody>
    </xdr:sp>
    <xdr:clientData/>
  </xdr:twoCellAnchor>
  <xdr:twoCellAnchor editAs="oneCell">
    <xdr:from>
      <xdr:col>0</xdr:col>
      <xdr:colOff>57200</xdr:colOff>
      <xdr:row>0</xdr:row>
      <xdr:rowOff>22115</xdr:rowOff>
    </xdr:from>
    <xdr:to>
      <xdr:col>2</xdr:col>
      <xdr:colOff>46690</xdr:colOff>
      <xdr:row>2</xdr:row>
      <xdr:rowOff>85724</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57200" y="22115"/>
          <a:ext cx="1285044" cy="431577"/>
        </a:xfrm>
        <a:prstGeom prst="rect">
          <a:avLst/>
        </a:prstGeom>
      </xdr:spPr>
    </xdr:pic>
    <xdr:clientData/>
  </xdr:twoCellAnchor>
  <xdr:twoCellAnchor>
    <xdr:from>
      <xdr:col>0</xdr:col>
      <xdr:colOff>102507</xdr:colOff>
      <xdr:row>25</xdr:row>
      <xdr:rowOff>105003</xdr:rowOff>
    </xdr:from>
    <xdr:to>
      <xdr:col>17</xdr:col>
      <xdr:colOff>245381</xdr:colOff>
      <xdr:row>28</xdr:row>
      <xdr:rowOff>66903</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102507" y="4782458"/>
          <a:ext cx="11130642" cy="52319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800">
              <a:solidFill>
                <a:schemeClr val="bg2">
                  <a:lumMod val="50000"/>
                </a:schemeClr>
              </a:solidFill>
              <a:effectLst/>
              <a:latin typeface="+mn-lt"/>
              <a:ea typeface="+mn-ea"/>
              <a:cs typeface="+mn-cs"/>
            </a:rPr>
            <a:t>© 2015-2016 Microsoft Corporation.  All rights reserved.  This document is provided "as-is." Information and views expressed in this document, including URL and other Internet Web site references, may change without notice. You bear the risk of using it. Some examples are for illustration only and are fictitious. No real association is intended or inferred. This document does not provide you with any legal rights to any intellectual property in any Microsoft product. You may copy and use this document for your internal, reference purposes. This document is confidential and proprietary to Microsoft. It is disclosed and can be used only pursuant to a non-disclosure agreement.</a:t>
          </a:r>
          <a:endParaRPr lang="en-GB" sz="800">
            <a:solidFill>
              <a:schemeClr val="bg2">
                <a:lumMod val="50000"/>
              </a:schemeClr>
            </a:solidFill>
            <a:effectLst/>
            <a:latin typeface="+mn-lt"/>
            <a:ea typeface="+mn-ea"/>
            <a:cs typeface="+mn-cs"/>
          </a:endParaRPr>
        </a:p>
        <a:p>
          <a:endParaRPr lang="en-GB" sz="1100"/>
        </a:p>
      </xdr:txBody>
    </xdr:sp>
    <xdr:clientData/>
  </xdr:twoCellAnchor>
  <xdr:twoCellAnchor>
    <xdr:from>
      <xdr:col>15</xdr:col>
      <xdr:colOff>396181</xdr:colOff>
      <xdr:row>19</xdr:row>
      <xdr:rowOff>46695</xdr:rowOff>
    </xdr:from>
    <xdr:to>
      <xdr:col>17</xdr:col>
      <xdr:colOff>48717</xdr:colOff>
      <xdr:row>24</xdr:row>
      <xdr:rowOff>4032</xdr:rowOff>
    </xdr:to>
    <xdr:sp macro="" textlink="">
      <xdr:nvSpPr>
        <xdr:cNvPr id="178" name="Rectangle 177">
          <a:hlinkClick xmlns:r="http://schemas.openxmlformats.org/officeDocument/2006/relationships" r:id="rId21" tooltip="Phishing"/>
          <a:extLst>
            <a:ext uri="{FF2B5EF4-FFF2-40B4-BE49-F238E27FC236}">
              <a16:creationId xmlns:a16="http://schemas.microsoft.com/office/drawing/2014/main" id="{00000000-0008-0000-0000-0000B2000000}"/>
            </a:ext>
          </a:extLst>
        </xdr:cNvPr>
        <xdr:cNvSpPr>
          <a:spLocks noChangeAspect="1"/>
        </xdr:cNvSpPr>
      </xdr:nvSpPr>
      <xdr:spPr>
        <a:xfrm>
          <a:off x="10111681" y="3562781"/>
          <a:ext cx="947936" cy="882622"/>
        </a:xfrm>
        <a:prstGeom prst="rect">
          <a:avLst/>
        </a:prstGeom>
        <a:solidFill>
          <a:srgbClr val="00B082"/>
        </a:solidFill>
        <a:ln w="12700" cap="flat" cmpd="sng" algn="ctr">
          <a:noFill/>
          <a:prstDash val="solid"/>
          <a:miter lim="800000"/>
        </a:ln>
        <a:effectLst/>
        <a:extLst/>
      </xdr:spPr>
      <xdr:style>
        <a:lnRef idx="2">
          <a:schemeClr val="accent1">
            <a:shade val="50000"/>
          </a:schemeClr>
        </a:lnRef>
        <a:fillRef idx="1">
          <a:schemeClr val="accent1"/>
        </a:fillRef>
        <a:effectRef idx="0">
          <a:schemeClr val="accent1"/>
        </a:effectRef>
        <a:fontRef idx="minor">
          <a:schemeClr val="lt1"/>
        </a:fontRef>
      </xdr:style>
      <xdr:txBody>
        <a:bodyPr wrap="square" lIns="39370" tIns="26670" rIns="39370" bIns="26670"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sz="800">
              <a:solidFill>
                <a:srgbClr val="000000"/>
              </a:solidFill>
            </a:rPr>
            <a:t>Phishing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0</xdr:row>
      <xdr:rowOff>0</xdr:rowOff>
    </xdr:from>
    <xdr:to>
      <xdr:col>8</xdr:col>
      <xdr:colOff>534865</xdr:colOff>
      <xdr:row>16</xdr:row>
      <xdr:rowOff>28574</xdr:rowOff>
    </xdr:to>
    <xdr:sp macro="" textlink="">
      <xdr:nvSpPr>
        <xdr:cNvPr id="6" name="Rectangle 5">
          <a:hlinkClick xmlns:r="http://schemas.openxmlformats.org/officeDocument/2006/relationships" r:id="rId1" tooltip="Back"/>
          <a:extLst>
            <a:ext uri="{FF2B5EF4-FFF2-40B4-BE49-F238E27FC236}">
              <a16:creationId xmlns:a16="http://schemas.microsoft.com/office/drawing/2014/main" id="{00000000-0008-0000-0100-000006000000}"/>
            </a:ext>
          </a:extLst>
        </xdr:cNvPr>
        <xdr:cNvSpPr/>
      </xdr:nvSpPr>
      <xdr:spPr>
        <a:xfrm>
          <a:off x="13925550" y="0"/>
          <a:ext cx="515815" cy="11496674"/>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515815</xdr:colOff>
      <xdr:row>42</xdr:row>
      <xdr:rowOff>0</xdr:rowOff>
    </xdr:to>
    <xdr:sp macro="" textlink="">
      <xdr:nvSpPr>
        <xdr:cNvPr id="4" name="Rectangle 3">
          <a:hlinkClick xmlns:r="http://schemas.openxmlformats.org/officeDocument/2006/relationships" r:id="rId1" tooltip="Back"/>
          <a:extLst>
            <a:ext uri="{FF2B5EF4-FFF2-40B4-BE49-F238E27FC236}">
              <a16:creationId xmlns:a16="http://schemas.microsoft.com/office/drawing/2014/main" id="{00000000-0008-0000-0200-000004000000}"/>
            </a:ext>
          </a:extLst>
        </xdr:cNvPr>
        <xdr:cNvSpPr/>
      </xdr:nvSpPr>
      <xdr:spPr>
        <a:xfrm>
          <a:off x="13906500" y="0"/>
          <a:ext cx="515815" cy="71485124"/>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515815</xdr:colOff>
      <xdr:row>81</xdr:row>
      <xdr:rowOff>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13906500" y="0"/>
          <a:ext cx="515815" cy="84915374"/>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515815</xdr:colOff>
      <xdr:row>118</xdr:row>
      <xdr:rowOff>114696</xdr:rowOff>
    </xdr:to>
    <xdr:sp macro="" textlink="">
      <xdr:nvSpPr>
        <xdr:cNvPr id="3" name="Rectangle 2">
          <a:hlinkClick xmlns:r="http://schemas.openxmlformats.org/officeDocument/2006/relationships" r:id="rId1" tooltip="Back"/>
          <a:extLst>
            <a:ext uri="{FF2B5EF4-FFF2-40B4-BE49-F238E27FC236}">
              <a16:creationId xmlns:a16="http://schemas.microsoft.com/office/drawing/2014/main" id="{00000000-0008-0000-0400-000003000000}"/>
            </a:ext>
          </a:extLst>
        </xdr:cNvPr>
        <xdr:cNvSpPr/>
      </xdr:nvSpPr>
      <xdr:spPr>
        <a:xfrm>
          <a:off x="14989629" y="0"/>
          <a:ext cx="515815" cy="80619996"/>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515815</xdr:colOff>
      <xdr:row>214</xdr:row>
      <xdr:rowOff>104774</xdr:rowOff>
    </xdr:to>
    <xdr:sp macro="" textlink="">
      <xdr:nvSpPr>
        <xdr:cNvPr id="3" name="Rectangle 2">
          <a:hlinkClick xmlns:r="http://schemas.openxmlformats.org/officeDocument/2006/relationships" r:id="rId1" tooltip="Back"/>
          <a:extLst>
            <a:ext uri="{FF2B5EF4-FFF2-40B4-BE49-F238E27FC236}">
              <a16:creationId xmlns:a16="http://schemas.microsoft.com/office/drawing/2014/main" id="{00000000-0008-0000-0500-000003000000}"/>
            </a:ext>
          </a:extLst>
        </xdr:cNvPr>
        <xdr:cNvSpPr/>
      </xdr:nvSpPr>
      <xdr:spPr>
        <a:xfrm>
          <a:off x="13906500" y="0"/>
          <a:ext cx="515815" cy="84915374"/>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201</xdr:row>
      <xdr:rowOff>0</xdr:rowOff>
    </xdr:from>
    <xdr:to>
      <xdr:col>7</xdr:col>
      <xdr:colOff>540000</xdr:colOff>
      <xdr:row>201</xdr:row>
      <xdr:rowOff>540000</xdr:rowOff>
    </xdr:to>
    <xdr:sp macro="" textlink="">
      <xdr:nvSpPr>
        <xdr:cNvPr id="5" name="Flowchart: Connector 4">
          <a:hlinkClick xmlns:r="http://schemas.openxmlformats.org/officeDocument/2006/relationships" r:id="rId1"/>
          <a:extLst>
            <a:ext uri="{FF2B5EF4-FFF2-40B4-BE49-F238E27FC236}">
              <a16:creationId xmlns:a16="http://schemas.microsoft.com/office/drawing/2014/main" id="{00000000-0008-0000-0600-000005000000}"/>
            </a:ext>
          </a:extLst>
        </xdr:cNvPr>
        <xdr:cNvSpPr/>
      </xdr:nvSpPr>
      <xdr:spPr>
        <a:xfrm>
          <a:off x="13982700" y="135388350"/>
          <a:ext cx="540000" cy="540000"/>
        </a:xfrm>
        <a:prstGeom prst="flowChartConnector">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l"/>
          <a:r>
            <a:rPr lang="en-GB" sz="800"/>
            <a:t>Back</a:t>
          </a:r>
        </a:p>
      </xdr:txBody>
    </xdr:sp>
    <xdr:clientData/>
  </xdr:twoCellAnchor>
  <xdr:twoCellAnchor>
    <xdr:from>
      <xdr:col>7</xdr:col>
      <xdr:colOff>0</xdr:colOff>
      <xdr:row>110</xdr:row>
      <xdr:rowOff>0</xdr:rowOff>
    </xdr:from>
    <xdr:to>
      <xdr:col>7</xdr:col>
      <xdr:colOff>540000</xdr:colOff>
      <xdr:row>110</xdr:row>
      <xdr:rowOff>540000</xdr:rowOff>
    </xdr:to>
    <xdr:sp macro="" textlink="">
      <xdr:nvSpPr>
        <xdr:cNvPr id="6" name="Flowchart: Connector 5">
          <a:hlinkClick xmlns:r="http://schemas.openxmlformats.org/officeDocument/2006/relationships" r:id="rId1"/>
          <a:extLst>
            <a:ext uri="{FF2B5EF4-FFF2-40B4-BE49-F238E27FC236}">
              <a16:creationId xmlns:a16="http://schemas.microsoft.com/office/drawing/2014/main" id="{00000000-0008-0000-0600-000006000000}"/>
            </a:ext>
          </a:extLst>
        </xdr:cNvPr>
        <xdr:cNvSpPr/>
      </xdr:nvSpPr>
      <xdr:spPr>
        <a:xfrm>
          <a:off x="13982700" y="61788675"/>
          <a:ext cx="540000" cy="540000"/>
        </a:xfrm>
        <a:prstGeom prst="flowChartConnector">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l"/>
          <a:r>
            <a:rPr lang="en-GB" sz="800"/>
            <a:t>Back</a:t>
          </a:r>
        </a:p>
      </xdr:txBody>
    </xdr:sp>
    <xdr:clientData/>
  </xdr:twoCellAnchor>
  <xdr:twoCellAnchor>
    <xdr:from>
      <xdr:col>7</xdr:col>
      <xdr:colOff>0</xdr:colOff>
      <xdr:row>0</xdr:row>
      <xdr:rowOff>0</xdr:rowOff>
    </xdr:from>
    <xdr:to>
      <xdr:col>7</xdr:col>
      <xdr:colOff>515815</xdr:colOff>
      <xdr:row>232</xdr:row>
      <xdr:rowOff>19050</xdr:rowOff>
    </xdr:to>
    <xdr:sp macro="" textlink="">
      <xdr:nvSpPr>
        <xdr:cNvPr id="7" name="Rectangle 6">
          <a:hlinkClick xmlns:r="http://schemas.openxmlformats.org/officeDocument/2006/relationships" r:id="rId1" tooltip="Back"/>
          <a:extLst>
            <a:ext uri="{FF2B5EF4-FFF2-40B4-BE49-F238E27FC236}">
              <a16:creationId xmlns:a16="http://schemas.microsoft.com/office/drawing/2014/main" id="{00000000-0008-0000-0600-000007000000}"/>
            </a:ext>
          </a:extLst>
        </xdr:cNvPr>
        <xdr:cNvSpPr/>
      </xdr:nvSpPr>
      <xdr:spPr>
        <a:xfrm>
          <a:off x="13115925" y="0"/>
          <a:ext cx="515815" cy="259994400"/>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5443</xdr:colOff>
      <xdr:row>0</xdr:row>
      <xdr:rowOff>0</xdr:rowOff>
    </xdr:from>
    <xdr:to>
      <xdr:col>7</xdr:col>
      <xdr:colOff>521258</xdr:colOff>
      <xdr:row>292</xdr:row>
      <xdr:rowOff>85724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700-000003000000}"/>
            </a:ext>
          </a:extLst>
        </xdr:cNvPr>
        <xdr:cNvSpPr/>
      </xdr:nvSpPr>
      <xdr:spPr>
        <a:xfrm>
          <a:off x="13041086" y="0"/>
          <a:ext cx="515815" cy="86833981"/>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515815</xdr:colOff>
      <xdr:row>317</xdr:row>
      <xdr:rowOff>9524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800-000003000000}"/>
            </a:ext>
          </a:extLst>
        </xdr:cNvPr>
        <xdr:cNvSpPr/>
      </xdr:nvSpPr>
      <xdr:spPr>
        <a:xfrm>
          <a:off x="12801600" y="0"/>
          <a:ext cx="515815" cy="84915374"/>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515815</xdr:colOff>
      <xdr:row>340</xdr:row>
      <xdr:rowOff>180974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900-000003000000}"/>
            </a:ext>
          </a:extLst>
        </xdr:cNvPr>
        <xdr:cNvSpPr/>
      </xdr:nvSpPr>
      <xdr:spPr>
        <a:xfrm>
          <a:off x="12077700" y="0"/>
          <a:ext cx="515815" cy="84915374"/>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515815</xdr:colOff>
      <xdr:row>428</xdr:row>
      <xdr:rowOff>180974</xdr:rowOff>
    </xdr:to>
    <xdr:sp macro="" textlink="">
      <xdr:nvSpPr>
        <xdr:cNvPr id="3" name="Rectangle 2">
          <a:hlinkClick xmlns:r="http://schemas.openxmlformats.org/officeDocument/2006/relationships" r:id="rId1" tooltip="Back"/>
          <a:extLst>
            <a:ext uri="{FF2B5EF4-FFF2-40B4-BE49-F238E27FC236}">
              <a16:creationId xmlns:a16="http://schemas.microsoft.com/office/drawing/2014/main" id="{00000000-0008-0000-0A00-000003000000}"/>
            </a:ext>
          </a:extLst>
        </xdr:cNvPr>
        <xdr:cNvSpPr/>
      </xdr:nvSpPr>
      <xdr:spPr>
        <a:xfrm>
          <a:off x="11820525" y="0"/>
          <a:ext cx="515815" cy="84915374"/>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515815</xdr:colOff>
      <xdr:row>346</xdr:row>
      <xdr:rowOff>57149</xdr:rowOff>
    </xdr:to>
    <xdr:sp macro="" textlink="">
      <xdr:nvSpPr>
        <xdr:cNvPr id="3" name="Rectangle 2">
          <a:hlinkClick xmlns:r="http://schemas.openxmlformats.org/officeDocument/2006/relationships" r:id="rId1" tooltip="Back"/>
          <a:extLst>
            <a:ext uri="{FF2B5EF4-FFF2-40B4-BE49-F238E27FC236}">
              <a16:creationId xmlns:a16="http://schemas.microsoft.com/office/drawing/2014/main" id="{00000000-0008-0000-0B00-000003000000}"/>
            </a:ext>
          </a:extLst>
        </xdr:cNvPr>
        <xdr:cNvSpPr/>
      </xdr:nvSpPr>
      <xdr:spPr>
        <a:xfrm>
          <a:off x="11449050" y="0"/>
          <a:ext cx="515815" cy="84915374"/>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515815</xdr:colOff>
      <xdr:row>406</xdr:row>
      <xdr:rowOff>180974</xdr:rowOff>
    </xdr:to>
    <xdr:sp macro="" textlink="">
      <xdr:nvSpPr>
        <xdr:cNvPr id="3" name="Rectangle 2">
          <a:hlinkClick xmlns:r="http://schemas.openxmlformats.org/officeDocument/2006/relationships" r:id="rId1" tooltip="Back"/>
          <a:extLst>
            <a:ext uri="{FF2B5EF4-FFF2-40B4-BE49-F238E27FC236}">
              <a16:creationId xmlns:a16="http://schemas.microsoft.com/office/drawing/2014/main" id="{00000000-0008-0000-0C00-000003000000}"/>
            </a:ext>
          </a:extLst>
        </xdr:cNvPr>
        <xdr:cNvSpPr/>
      </xdr:nvSpPr>
      <xdr:spPr>
        <a:xfrm>
          <a:off x="12915900" y="0"/>
          <a:ext cx="515815" cy="84915374"/>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515815</xdr:colOff>
      <xdr:row>426</xdr:row>
      <xdr:rowOff>180974</xdr:rowOff>
    </xdr:to>
    <xdr:sp macro="" textlink="">
      <xdr:nvSpPr>
        <xdr:cNvPr id="2" name="Rectangle 1">
          <a:hlinkClick xmlns:r="http://schemas.openxmlformats.org/officeDocument/2006/relationships" r:id="rId1" tooltip="Back"/>
          <a:extLst>
            <a:ext uri="{FF2B5EF4-FFF2-40B4-BE49-F238E27FC236}">
              <a16:creationId xmlns:a16="http://schemas.microsoft.com/office/drawing/2014/main" id="{00000000-0008-0000-0D00-000002000000}"/>
            </a:ext>
          </a:extLst>
        </xdr:cNvPr>
        <xdr:cNvSpPr/>
      </xdr:nvSpPr>
      <xdr:spPr>
        <a:xfrm>
          <a:off x="12534900" y="0"/>
          <a:ext cx="515815" cy="90080645"/>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515815</xdr:colOff>
      <xdr:row>426</xdr:row>
      <xdr:rowOff>180974</xdr:rowOff>
    </xdr:to>
    <xdr:sp macro="" textlink="">
      <xdr:nvSpPr>
        <xdr:cNvPr id="2" name="Rectangle 1">
          <a:hlinkClick xmlns:r="http://schemas.openxmlformats.org/officeDocument/2006/relationships" r:id="rId1" tooltip="Back"/>
          <a:extLst>
            <a:ext uri="{FF2B5EF4-FFF2-40B4-BE49-F238E27FC236}">
              <a16:creationId xmlns:a16="http://schemas.microsoft.com/office/drawing/2014/main" id="{00000000-0008-0000-0E00-000002000000}"/>
            </a:ext>
          </a:extLst>
        </xdr:cNvPr>
        <xdr:cNvSpPr/>
      </xdr:nvSpPr>
      <xdr:spPr>
        <a:xfrm>
          <a:off x="11820525" y="0"/>
          <a:ext cx="515815" cy="84915374"/>
        </a:xfrm>
        <a:prstGeom prst="rect">
          <a:avLst/>
        </a:prstGeom>
      </xdr:spPr>
      <xdr:style>
        <a:lnRef idx="0">
          <a:schemeClr val="accent6"/>
        </a:lnRef>
        <a:fillRef idx="3">
          <a:schemeClr val="accent6"/>
        </a:fillRef>
        <a:effectRef idx="3">
          <a:schemeClr val="accent6"/>
        </a:effectRef>
        <a:fontRef idx="minor">
          <a:schemeClr val="lt1"/>
        </a:fontRef>
      </xdr:style>
      <xdr:txBody>
        <a:bodyPr rot="0" spcFirstLastPara="0" vert="vert"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GB">
              <a:latin typeface="+mj-lt"/>
            </a:rPr>
            <a:t>                   Back to Main Page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https://microsoft-my.sharepoint.com/personal/jonnords_microsoft_com/Documents/Desktop/Customer%20Security%20Considerations/Office%20365%20Customer%20Security%20Considerations%20Previ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CSC Main!R198C3:R199C3" advise="1"/>
        </mc:Choice>
        <mc:Fallback>
          <oleItem name="!CSC Main!R198C3:R199C3" advise="1"/>
        </mc:Fallback>
      </mc:AlternateContent>
      <mc:AlternateContent xmlns:mc="http://schemas.openxmlformats.org/markup-compatibility/2006">
        <mc:Choice Requires="x14">
          <x14:oleItem name="!CSC Main!R44C3" advise="1"/>
        </mc:Choice>
        <mc:Fallback>
          <oleItem name="!CSC Main!R44C3" advise="1"/>
        </mc:Fallback>
      </mc:AlternateContent>
    </oleItems>
  </oleLink>
</externalLink>
</file>

<file path=xl/tables/table1.xml><?xml version="1.0" encoding="utf-8"?>
<table xmlns="http://schemas.openxmlformats.org/spreadsheetml/2006/main" id="2" name="Table2" displayName="Table2" ref="A1:H14" totalsRowShown="0" headerRowDxfId="117" dataDxfId="116">
  <autoFilter ref="A1:H14"/>
  <tableColumns count="8">
    <tableColumn id="1" name="Category" dataDxfId="115"/>
    <tableColumn id="2" name="Product" dataDxfId="114"/>
    <tableColumn id="3" name="Feature" dataDxfId="113"/>
    <tableColumn id="5" name="Description" dataDxfId="112"/>
    <tableColumn id="6" name="Portal" dataDxfId="111"/>
    <tableColumn id="7" name="PS Configure" dataDxfId="110"/>
    <tableColumn id="8" name="PS Get" dataDxfId="109"/>
    <tableColumn id="11" name="Assessed" dataDxfId="108"/>
  </tableColumns>
  <tableStyleInfo name="TableStyleMedium14" showFirstColumn="0" showLastColumn="0" showRowStripes="1" showColumnStripes="0"/>
</table>
</file>

<file path=xl/tables/table2.xml><?xml version="1.0" encoding="utf-8"?>
<table xmlns="http://schemas.openxmlformats.org/spreadsheetml/2006/main" id="4" name="Table25" displayName="Table25" ref="A1:H45" totalsRowShown="0" headerRowDxfId="107" dataDxfId="105" headerRowBorderDxfId="106" tableBorderDxfId="104" totalsRowBorderDxfId="103">
  <autoFilter ref="A1:H45"/>
  <tableColumns count="8">
    <tableColumn id="1" name="Category" dataDxfId="102"/>
    <tableColumn id="2" name="Product" dataDxfId="101"/>
    <tableColumn id="3" name="Feature" dataDxfId="100" dataCellStyle="Hyperlink"/>
    <tableColumn id="5" name="Description" dataDxfId="99" dataCellStyle="Hyperlink"/>
    <tableColumn id="6" name="Portal" dataDxfId="98"/>
    <tableColumn id="7" name="PS Configure" dataDxfId="97"/>
    <tableColumn id="8" name="PS Get" dataDxfId="96"/>
    <tableColumn id="11" name="Assessed" dataDxfId="95"/>
  </tableColumns>
  <tableStyleInfo name="TableStyleMedium14" showFirstColumn="0" showLastColumn="0" showRowStripes="1" showColumnStripes="0"/>
</table>
</file>

<file path=xl/tables/table3.xml><?xml version="1.0" encoding="utf-8"?>
<table xmlns="http://schemas.openxmlformats.org/spreadsheetml/2006/main" id="5" name="Table256" displayName="Table256" ref="A1:H83" totalsRowShown="0" headerRowDxfId="94" dataDxfId="92" headerRowBorderDxfId="93" tableBorderDxfId="91" totalsRowBorderDxfId="90">
  <autoFilter ref="A1:H83"/>
  <tableColumns count="8">
    <tableColumn id="1" name="Category" dataDxfId="89"/>
    <tableColumn id="2" name="Product" dataDxfId="88"/>
    <tableColumn id="3" name="Consideration" dataDxfId="87" dataCellStyle="Hyperlink"/>
    <tableColumn id="5" name="Description" dataDxfId="86" dataCellStyle="Hyperlink"/>
    <tableColumn id="6" name="Portal Configuration" dataDxfId="85"/>
    <tableColumn id="7" name="PS Configure" dataDxfId="84"/>
    <tableColumn id="8" name="PS Get" dataDxfId="83"/>
    <tableColumn id="11" name="Assessed" dataDxfId="82"/>
  </tableColumns>
  <tableStyleInfo name="TableStyleMedium14" showFirstColumn="0" showLastColumn="0" showRowStripes="1" showColumnStripes="0"/>
</table>
</file>

<file path=xl/tables/table4.xml><?xml version="1.0" encoding="utf-8"?>
<table xmlns="http://schemas.openxmlformats.org/spreadsheetml/2006/main" id="6" name="Table6" displayName="Table6" ref="A1:H82" totalsRowShown="0" headerRowDxfId="81" headerRowBorderDxfId="80">
  <autoFilter ref="A1:H82"/>
  <tableColumns count="8">
    <tableColumn id="1" name="Category" dataDxfId="79"/>
    <tableColumn id="2" name="Product" dataDxfId="78"/>
    <tableColumn id="3" name="Feature" dataDxfId="77" dataCellStyle="Hyperlink 2"/>
    <tableColumn id="4" name="Description" dataDxfId="76"/>
    <tableColumn id="5" name="Portal" dataDxfId="75" dataCellStyle="Hyperlink 2"/>
    <tableColumn id="6" name="PS Configure" dataDxfId="74"/>
    <tableColumn id="7" name="PS Get" dataDxfId="73"/>
    <tableColumn id="8" name="Assessed" dataDxfId="72"/>
  </tableColumns>
  <tableStyleInfo name="TableStyleMedium14" showFirstColumn="0" showLastColumn="0" showRowStripes="1" showColumnStripes="0"/>
</table>
</file>

<file path=xl/tables/table5.xml><?xml version="1.0" encoding="utf-8"?>
<table xmlns="http://schemas.openxmlformats.org/spreadsheetml/2006/main" id="7" name="Table25678" displayName="Table25678" ref="A1:H64" totalsRowShown="0" headerRowDxfId="71" dataDxfId="69" headerRowBorderDxfId="70" tableBorderDxfId="68" totalsRowBorderDxfId="67">
  <autoFilter ref="A1:H64"/>
  <tableColumns count="8">
    <tableColumn id="1" name="Category" dataDxfId="66"/>
    <tableColumn id="2" name="Product" dataDxfId="65"/>
    <tableColumn id="3" name="Consideration" dataDxfId="64"/>
    <tableColumn id="5" name="Description" dataDxfId="63"/>
    <tableColumn id="6" name="Portal Configuration" dataDxfId="62"/>
    <tableColumn id="7" name="PS Configure" dataDxfId="61"/>
    <tableColumn id="8" name="PS Get" dataDxfId="60"/>
    <tableColumn id="11" name="Assessed" dataDxfId="59"/>
  </tableColumns>
  <tableStyleInfo name="TableStyleMedium14" showFirstColumn="0" showLastColumn="0" showRowStripes="1" showColumnStripes="0"/>
</table>
</file>

<file path=xl/tables/table6.xml><?xml version="1.0" encoding="utf-8"?>
<table xmlns="http://schemas.openxmlformats.org/spreadsheetml/2006/main" id="9" name="Table25678910" displayName="Table25678910" ref="A1:G20" totalsRowShown="0" headerRowDxfId="58" dataDxfId="56" headerRowBorderDxfId="57" tableBorderDxfId="55" totalsRowBorderDxfId="54">
  <tableColumns count="7">
    <tableColumn id="1" name="Category" dataDxfId="53"/>
    <tableColumn id="2" name="Product" dataDxfId="52"/>
    <tableColumn id="3" name="Considerations" dataDxfId="51"/>
    <tableColumn id="6" name="Description" dataDxfId="50"/>
    <tableColumn id="7" name="Portal Configuration" dataDxfId="49"/>
    <tableColumn id="8" name="PS Configure" dataDxfId="48"/>
    <tableColumn id="4" name="PS Get" dataDxfId="47"/>
  </tableColumns>
  <tableStyleInfo name="TableStyleMedium14" showFirstColumn="0" showLastColumn="0" showRowStripes="1" showColumnStripes="0"/>
</table>
</file>

<file path=xl/tables/table7.xml><?xml version="1.0" encoding="utf-8"?>
<table xmlns="http://schemas.openxmlformats.org/spreadsheetml/2006/main" id="10" name="Table2567891011" displayName="Table2567891011" ref="A1:G20" totalsRowShown="0" headerRowDxfId="46" headerRowBorderDxfId="45" tableBorderDxfId="44" totalsRowBorderDxfId="43">
  <autoFilter ref="A1:G20"/>
  <tableColumns count="7">
    <tableColumn id="1" name="Category" dataDxfId="42"/>
    <tableColumn id="2" name="Product" dataDxfId="41"/>
    <tableColumn id="3" name="Consideration" dataDxfId="40" dataCellStyle="Hyperlink"/>
    <tableColumn id="6" name="Description" dataDxfId="39"/>
    <tableColumn id="7" name="Portal Configuration" dataDxfId="38" dataCellStyle="Hyperlink"/>
    <tableColumn id="8" name="PS Configure" dataDxfId="37"/>
    <tableColumn id="4" name="PS Get" dataDxfId="36"/>
  </tableColumns>
  <tableStyleInfo name="TableStyleMedium14" showFirstColumn="0" showLastColumn="0" showRowStripes="1" showColumnStripes="0"/>
</table>
</file>

<file path=xl/tables/table8.xml><?xml version="1.0" encoding="utf-8"?>
<table xmlns="http://schemas.openxmlformats.org/spreadsheetml/2006/main" id="11" name="Table256789101112" displayName="Table256789101112" ref="A1:G24" totalsRowShown="0" headerRowDxfId="35" dataDxfId="33" headerRowBorderDxfId="34" tableBorderDxfId="32" totalsRowBorderDxfId="31">
  <autoFilter ref="A1:G24"/>
  <tableColumns count="7">
    <tableColumn id="1" name="Category" dataDxfId="30"/>
    <tableColumn id="2" name="Product" dataDxfId="29"/>
    <tableColumn id="3" name="Feature" dataDxfId="28" dataCellStyle="Hyperlink"/>
    <tableColumn id="6" name="Description" dataDxfId="27"/>
    <tableColumn id="7" name="Portal" dataDxfId="26"/>
    <tableColumn id="8" name="PS Configure" dataDxfId="25"/>
    <tableColumn id="4" name="PS Get" dataDxfId="24"/>
  </tableColumns>
  <tableStyleInfo name="TableStyleMedium14" showFirstColumn="0" showLastColumn="0" showRowStripes="1" showColumnStripes="0"/>
</table>
</file>

<file path=xl/tables/table9.xml><?xml version="1.0" encoding="utf-8"?>
<table xmlns="http://schemas.openxmlformats.org/spreadsheetml/2006/main" id="1" name="Table2567891042" displayName="Table2567891042" ref="A1:G20" totalsRowShown="0" headerRowDxfId="23" dataDxfId="21" headerRowBorderDxfId="22" tableBorderDxfId="20" totalsRowBorderDxfId="19">
  <autoFilter ref="A1:G20"/>
  <tableColumns count="7">
    <tableColumn id="1" name="Category" dataDxfId="18"/>
    <tableColumn id="2" name="Product" dataDxfId="17"/>
    <tableColumn id="3" name="Feature" dataDxfId="16"/>
    <tableColumn id="6" name="Description" dataDxfId="15"/>
    <tableColumn id="7" name="Portal" dataDxfId="14"/>
    <tableColumn id="8" name="PS Configure" dataDxfId="13"/>
    <tableColumn id="4" name="PS Get" dataDxfId="12"/>
  </tableColumns>
  <tableStyleInfo name="TableStyleMedium14" showFirstColumn="0" showLastColumn="0" showRowStripes="1" showColumnStripes="0"/>
</table>
</file>

<file path=xl/tables/table10.xml><?xml version="1.0" encoding="utf-8"?>
<table xmlns="http://schemas.openxmlformats.org/spreadsheetml/2006/main" id="3" name="Table256789104" displayName="Table256789104" ref="A1:G9" totalsRowShown="0" headerRowDxfId="11" dataDxfId="9" headerRowBorderDxfId="10" tableBorderDxfId="8" totalsRowBorderDxfId="7">
  <autoFilter ref="A1:G9"/>
  <tableColumns count="7">
    <tableColumn id="1" name="Category" dataDxfId="6"/>
    <tableColumn id="2" name="Product" dataDxfId="5"/>
    <tableColumn id="3" name="Considerations" dataDxfId="4"/>
    <tableColumn id="6" name="Description" dataDxfId="3"/>
    <tableColumn id="7" name="Portal Configuration" dataDxfId="2"/>
    <tableColumn id="8" name="PS Configure" dataDxfId="1"/>
    <tableColumn id="4" name="PS Get"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aka.ms/DDPDR7" TargetMode="External"/><Relationship Id="rId13" Type="http://schemas.openxmlformats.org/officeDocument/2006/relationships/table" Target="../tables/table1.xml"/><Relationship Id="rId3" Type="http://schemas.openxmlformats.org/officeDocument/2006/relationships/hyperlink" Target="http://aka.ms/DDPPRE5" TargetMode="External"/><Relationship Id="rId7" Type="http://schemas.openxmlformats.org/officeDocument/2006/relationships/hyperlink" Target="http://aka.ms/DDPDR5" TargetMode="External"/><Relationship Id="rId12" Type="http://schemas.openxmlformats.org/officeDocument/2006/relationships/drawing" Target="../drawings/drawing2.xml"/><Relationship Id="rId2" Type="http://schemas.openxmlformats.org/officeDocument/2006/relationships/hyperlink" Target="http://aka.ms/PDPPRE5" TargetMode="External"/><Relationship Id="rId1" Type="http://schemas.openxmlformats.org/officeDocument/2006/relationships/hyperlink" Target="http://aka.ms/DDPDIS3" TargetMode="External"/><Relationship Id="rId6" Type="http://schemas.openxmlformats.org/officeDocument/2006/relationships/hyperlink" Target="http://aka.ms/DDPDR4" TargetMode="External"/><Relationship Id="rId11" Type="http://schemas.openxmlformats.org/officeDocument/2006/relationships/printerSettings" Target="../printerSettings/printerSettings2.bin"/><Relationship Id="rId5" Type="http://schemas.openxmlformats.org/officeDocument/2006/relationships/hyperlink" Target="http://aka.ms/DDPDR3" TargetMode="External"/><Relationship Id="rId10" Type="http://schemas.openxmlformats.org/officeDocument/2006/relationships/hyperlink" Target="http://aka.ms/DDPDR9" TargetMode="External"/><Relationship Id="rId4" Type="http://schemas.openxmlformats.org/officeDocument/2006/relationships/hyperlink" Target="http://aka.ms/DDPPRE8" TargetMode="External"/><Relationship Id="rId9" Type="http://schemas.openxmlformats.org/officeDocument/2006/relationships/hyperlink" Target="http://aka.ms/DDPDR8"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aka.ms/PADMAC8" TargetMode="External"/><Relationship Id="rId18" Type="http://schemas.openxmlformats.org/officeDocument/2006/relationships/hyperlink" Target="http://aka.ms/DAUIA2" TargetMode="External"/><Relationship Id="rId26" Type="http://schemas.openxmlformats.org/officeDocument/2006/relationships/hyperlink" Target="http://aka.ms/PAUIA9" TargetMode="External"/><Relationship Id="rId39" Type="http://schemas.openxmlformats.org/officeDocument/2006/relationships/hyperlink" Target="http://aka.ms/DUSRAC9" TargetMode="External"/><Relationship Id="rId21" Type="http://schemas.openxmlformats.org/officeDocument/2006/relationships/hyperlink" Target="http://aka.ms/DAUIA21" TargetMode="External"/><Relationship Id="rId34" Type="http://schemas.openxmlformats.org/officeDocument/2006/relationships/hyperlink" Target="https://aka.ms/IA242" TargetMode="External"/><Relationship Id="rId42" Type="http://schemas.openxmlformats.org/officeDocument/2006/relationships/hyperlink" Target="http://aka.ms/DUSRAC13" TargetMode="External"/><Relationship Id="rId47" Type="http://schemas.openxmlformats.org/officeDocument/2006/relationships/drawing" Target="../drawings/drawing3.xml"/><Relationship Id="rId7" Type="http://schemas.openxmlformats.org/officeDocument/2006/relationships/hyperlink" Target="http://aka.ms/DADMAC4" TargetMode="External"/><Relationship Id="rId2" Type="http://schemas.openxmlformats.org/officeDocument/2006/relationships/hyperlink" Target="http://aka.ms/PADMAC2" TargetMode="External"/><Relationship Id="rId16" Type="http://schemas.openxmlformats.org/officeDocument/2006/relationships/hyperlink" Target="http://aka.ms/DADMAC11" TargetMode="External"/><Relationship Id="rId29" Type="http://schemas.openxmlformats.org/officeDocument/2006/relationships/hyperlink" Target="http://aka.ms/DAUIA8" TargetMode="External"/><Relationship Id="rId1" Type="http://schemas.openxmlformats.org/officeDocument/2006/relationships/hyperlink" Target="http://aka.ms/DADMAC2" TargetMode="External"/><Relationship Id="rId6" Type="http://schemas.openxmlformats.org/officeDocument/2006/relationships/hyperlink" Target="http://aka.ms/DADMAC3" TargetMode="External"/><Relationship Id="rId11" Type="http://schemas.openxmlformats.org/officeDocument/2006/relationships/hyperlink" Target="http://aka.ms/DADMAC13" TargetMode="External"/><Relationship Id="rId24" Type="http://schemas.openxmlformats.org/officeDocument/2006/relationships/hyperlink" Target="http://aka.ms/PAUIA7" TargetMode="External"/><Relationship Id="rId32" Type="http://schemas.openxmlformats.org/officeDocument/2006/relationships/hyperlink" Target="http://aka.ms/PAUIA12" TargetMode="External"/><Relationship Id="rId37" Type="http://schemas.openxmlformats.org/officeDocument/2006/relationships/hyperlink" Target="http://aka.ms/PIDIA2" TargetMode="External"/><Relationship Id="rId40" Type="http://schemas.openxmlformats.org/officeDocument/2006/relationships/hyperlink" Target="http://aka.ms/DUSRAC10" TargetMode="External"/><Relationship Id="rId45" Type="http://schemas.openxmlformats.org/officeDocument/2006/relationships/hyperlink" Target="https://aka.ms/dia217" TargetMode="External"/><Relationship Id="rId5" Type="http://schemas.openxmlformats.org/officeDocument/2006/relationships/hyperlink" Target="http://aka.ms/PADMAC5" TargetMode="External"/><Relationship Id="rId15" Type="http://schemas.openxmlformats.org/officeDocument/2006/relationships/hyperlink" Target="http://aka.ms/DADMAC10" TargetMode="External"/><Relationship Id="rId23" Type="http://schemas.openxmlformats.org/officeDocument/2006/relationships/hyperlink" Target="http://aka.ms/PAUIA6" TargetMode="External"/><Relationship Id="rId28" Type="http://schemas.openxmlformats.org/officeDocument/2006/relationships/hyperlink" Target="http://aka.ms/DAUIA7" TargetMode="External"/><Relationship Id="rId36" Type="http://schemas.openxmlformats.org/officeDocument/2006/relationships/hyperlink" Target="http://aka.ms/DIDIA2" TargetMode="External"/><Relationship Id="rId10" Type="http://schemas.openxmlformats.org/officeDocument/2006/relationships/hyperlink" Target="http://aka.ms/DADMAC9" TargetMode="External"/><Relationship Id="rId19" Type="http://schemas.openxmlformats.org/officeDocument/2006/relationships/hyperlink" Target="http://aka.ms/PAUIA3" TargetMode="External"/><Relationship Id="rId31" Type="http://schemas.openxmlformats.org/officeDocument/2006/relationships/hyperlink" Target="http://aka.ms/DAUIA11" TargetMode="External"/><Relationship Id="rId44" Type="http://schemas.openxmlformats.org/officeDocument/2006/relationships/hyperlink" Target="https://aka.ms/dia216" TargetMode="External"/><Relationship Id="rId4" Type="http://schemas.openxmlformats.org/officeDocument/2006/relationships/hyperlink" Target="http://aka.ms/PADMAC4" TargetMode="External"/><Relationship Id="rId9" Type="http://schemas.openxmlformats.org/officeDocument/2006/relationships/hyperlink" Target="http://aka.ms/DADMAC7" TargetMode="External"/><Relationship Id="rId14" Type="http://schemas.openxmlformats.org/officeDocument/2006/relationships/hyperlink" Target="http://aka.ms/DADMAC8" TargetMode="External"/><Relationship Id="rId22" Type="http://schemas.openxmlformats.org/officeDocument/2006/relationships/hyperlink" Target="http://aka.ms/DAUIA6" TargetMode="External"/><Relationship Id="rId27" Type="http://schemas.openxmlformats.org/officeDocument/2006/relationships/hyperlink" Target="https://aka.ms/DIA218" TargetMode="External"/><Relationship Id="rId30" Type="http://schemas.openxmlformats.org/officeDocument/2006/relationships/hyperlink" Target="http://aka.ms/DAUIA9" TargetMode="External"/><Relationship Id="rId35" Type="http://schemas.openxmlformats.org/officeDocument/2006/relationships/hyperlink" Target="http://aka.ms/DAUIA12" TargetMode="External"/><Relationship Id="rId43" Type="http://schemas.openxmlformats.org/officeDocument/2006/relationships/hyperlink" Target="http://aka.ms/DUSRAC17" TargetMode="External"/><Relationship Id="rId48" Type="http://schemas.openxmlformats.org/officeDocument/2006/relationships/table" Target="../tables/table2.xml"/><Relationship Id="rId8" Type="http://schemas.openxmlformats.org/officeDocument/2006/relationships/hyperlink" Target="http://aka.ms/DADMAC5" TargetMode="External"/><Relationship Id="rId3" Type="http://schemas.openxmlformats.org/officeDocument/2006/relationships/hyperlink" Target="http://aka.ms/PADMAC3" TargetMode="External"/><Relationship Id="rId12" Type="http://schemas.openxmlformats.org/officeDocument/2006/relationships/hyperlink" Target="http://aka.ms/PADMAC7" TargetMode="External"/><Relationship Id="rId17" Type="http://schemas.openxmlformats.org/officeDocument/2006/relationships/hyperlink" Target="https://aka.ms/dia201" TargetMode="External"/><Relationship Id="rId25" Type="http://schemas.openxmlformats.org/officeDocument/2006/relationships/hyperlink" Target="http://aka.ms/PAUIA8" TargetMode="External"/><Relationship Id="rId33" Type="http://schemas.openxmlformats.org/officeDocument/2006/relationships/hyperlink" Target="https://aka.ms/IA241" TargetMode="External"/><Relationship Id="rId38" Type="http://schemas.openxmlformats.org/officeDocument/2006/relationships/hyperlink" Target="http://aka.ms/DUSRAC5" TargetMode="External"/><Relationship Id="rId46" Type="http://schemas.openxmlformats.org/officeDocument/2006/relationships/printerSettings" Target="../printerSettings/printerSettings3.bin"/><Relationship Id="rId20" Type="http://schemas.openxmlformats.org/officeDocument/2006/relationships/hyperlink" Target="http://aka.ms/DAUIA3" TargetMode="External"/><Relationship Id="rId41" Type="http://schemas.openxmlformats.org/officeDocument/2006/relationships/hyperlink" Target="http://aka.ms/DUSRAC12"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aka.ms/DCM1425" TargetMode="External"/><Relationship Id="rId21" Type="http://schemas.openxmlformats.org/officeDocument/2006/relationships/hyperlink" Target="http://aka.ms/DDPATP16" TargetMode="External"/><Relationship Id="rId42" Type="http://schemas.openxmlformats.org/officeDocument/2006/relationships/hyperlink" Target="http://aka.ms/DDPDL5" TargetMode="External"/><Relationship Id="rId47" Type="http://schemas.openxmlformats.org/officeDocument/2006/relationships/hyperlink" Target="http://aka.ms/DDPDL10" TargetMode="External"/><Relationship Id="rId63" Type="http://schemas.openxmlformats.org/officeDocument/2006/relationships/hyperlink" Target="http://aka.ms/DDPEnc4" TargetMode="External"/><Relationship Id="rId68" Type="http://schemas.openxmlformats.org/officeDocument/2006/relationships/hyperlink" Target="http://aka.ms/DDPEnc9" TargetMode="External"/><Relationship Id="rId84" Type="http://schemas.openxmlformats.org/officeDocument/2006/relationships/hyperlink" Target="http://aka.ms/DUSRAC6" TargetMode="External"/><Relationship Id="rId89" Type="http://schemas.openxmlformats.org/officeDocument/2006/relationships/hyperlink" Target="http://aka.ms/PUSRAC16" TargetMode="External"/><Relationship Id="rId16" Type="http://schemas.openxmlformats.org/officeDocument/2006/relationships/hyperlink" Target="http://aka.ms/DDPATP11" TargetMode="External"/><Relationship Id="rId11" Type="http://schemas.openxmlformats.org/officeDocument/2006/relationships/hyperlink" Target="http://aka.ms/DDPATP6" TargetMode="External"/><Relationship Id="rId32" Type="http://schemas.openxmlformats.org/officeDocument/2006/relationships/hyperlink" Target="http://aka.ms/PDPDL3" TargetMode="External"/><Relationship Id="rId37" Type="http://schemas.openxmlformats.org/officeDocument/2006/relationships/hyperlink" Target="http://aka.ms/PDPDL8" TargetMode="External"/><Relationship Id="rId53" Type="http://schemas.openxmlformats.org/officeDocument/2006/relationships/hyperlink" Target="http://aka.ms/PDPPRE10" TargetMode="External"/><Relationship Id="rId58" Type="http://schemas.openxmlformats.org/officeDocument/2006/relationships/hyperlink" Target="http://aka.ms/PDPEnc2" TargetMode="External"/><Relationship Id="rId74" Type="http://schemas.openxmlformats.org/officeDocument/2006/relationships/hyperlink" Target="http://aka.ms/DDPIR7" TargetMode="External"/><Relationship Id="rId79" Type="http://schemas.openxmlformats.org/officeDocument/2006/relationships/hyperlink" Target="http://aka.ms/DO365NS5" TargetMode="External"/><Relationship Id="rId5" Type="http://schemas.openxmlformats.org/officeDocument/2006/relationships/hyperlink" Target="http://aka.ms/PDPATP9" TargetMode="External"/><Relationship Id="rId90" Type="http://schemas.openxmlformats.org/officeDocument/2006/relationships/hyperlink" Target="http://aka.ms/DUSRAC14" TargetMode="External"/><Relationship Id="rId95" Type="http://schemas.openxmlformats.org/officeDocument/2006/relationships/hyperlink" Target="http://aka.ms/PUSRAC20" TargetMode="External"/><Relationship Id="rId22" Type="http://schemas.openxmlformats.org/officeDocument/2006/relationships/hyperlink" Target="http://aka.ms/DDPATP18" TargetMode="External"/><Relationship Id="rId27" Type="http://schemas.openxmlformats.org/officeDocument/2006/relationships/hyperlink" Target="http://aka.ms/DDPDL2" TargetMode="External"/><Relationship Id="rId43" Type="http://schemas.openxmlformats.org/officeDocument/2006/relationships/hyperlink" Target="http://aka.ms/DDPDL6" TargetMode="External"/><Relationship Id="rId48" Type="http://schemas.openxmlformats.org/officeDocument/2006/relationships/hyperlink" Target="http://aka.ms/DDPDL11" TargetMode="External"/><Relationship Id="rId64" Type="http://schemas.openxmlformats.org/officeDocument/2006/relationships/hyperlink" Target="http://aka.ms/DDPEnc5" TargetMode="External"/><Relationship Id="rId69" Type="http://schemas.openxmlformats.org/officeDocument/2006/relationships/hyperlink" Target="http://aka.ms/DDPEnc12" TargetMode="External"/><Relationship Id="rId80" Type="http://schemas.openxmlformats.org/officeDocument/2006/relationships/hyperlink" Target="http://aka.ms/PUSRAC4" TargetMode="External"/><Relationship Id="rId85" Type="http://schemas.openxmlformats.org/officeDocument/2006/relationships/hyperlink" Target="http://aka.ms/DUSRAC7" TargetMode="External"/><Relationship Id="rId3" Type="http://schemas.openxmlformats.org/officeDocument/2006/relationships/hyperlink" Target="http://aka.ms/DDPATP7" TargetMode="External"/><Relationship Id="rId12" Type="http://schemas.openxmlformats.org/officeDocument/2006/relationships/hyperlink" Target="http://aka.ms/DDPATP8" TargetMode="External"/><Relationship Id="rId17" Type="http://schemas.openxmlformats.org/officeDocument/2006/relationships/hyperlink" Target="http://aka.ms/DDPATP12" TargetMode="External"/><Relationship Id="rId25" Type="http://schemas.openxmlformats.org/officeDocument/2006/relationships/hyperlink" Target="https://aka.ms/DCMCLI6" TargetMode="External"/><Relationship Id="rId33" Type="http://schemas.openxmlformats.org/officeDocument/2006/relationships/hyperlink" Target="http://aka.ms/PDPDL4" TargetMode="External"/><Relationship Id="rId38" Type="http://schemas.openxmlformats.org/officeDocument/2006/relationships/hyperlink" Target="http://aka.ms/PDPDL9" TargetMode="External"/><Relationship Id="rId46" Type="http://schemas.openxmlformats.org/officeDocument/2006/relationships/hyperlink" Target="http://aka.ms/DDPDL9" TargetMode="External"/><Relationship Id="rId59" Type="http://schemas.openxmlformats.org/officeDocument/2006/relationships/hyperlink" Target="http://aka.ms/PDPEnc12" TargetMode="External"/><Relationship Id="rId67" Type="http://schemas.openxmlformats.org/officeDocument/2006/relationships/hyperlink" Target="http://aka.ms/DDPEnc8" TargetMode="External"/><Relationship Id="rId20" Type="http://schemas.openxmlformats.org/officeDocument/2006/relationships/hyperlink" Target="http://aka.ms/DDPATP15" TargetMode="External"/><Relationship Id="rId41" Type="http://schemas.openxmlformats.org/officeDocument/2006/relationships/hyperlink" Target="http://aka.ms/DDPDL4" TargetMode="External"/><Relationship Id="rId54" Type="http://schemas.openxmlformats.org/officeDocument/2006/relationships/hyperlink" Target="http://aka.ms/DDPPRE10" TargetMode="External"/><Relationship Id="rId62" Type="http://schemas.openxmlformats.org/officeDocument/2006/relationships/hyperlink" Target="http://aka.ms/DDPEnc3" TargetMode="External"/><Relationship Id="rId70" Type="http://schemas.openxmlformats.org/officeDocument/2006/relationships/hyperlink" Target="http://aka.ms/DDPEnc13" TargetMode="External"/><Relationship Id="rId75" Type="http://schemas.openxmlformats.org/officeDocument/2006/relationships/hyperlink" Target="http://aka.ms/DDPIR8" TargetMode="External"/><Relationship Id="rId83" Type="http://schemas.openxmlformats.org/officeDocument/2006/relationships/hyperlink" Target="http://aka.ms/PUSRAC6" TargetMode="External"/><Relationship Id="rId88" Type="http://schemas.openxmlformats.org/officeDocument/2006/relationships/hyperlink" Target="http://aka.ms/PUSRAC15" TargetMode="External"/><Relationship Id="rId91" Type="http://schemas.openxmlformats.org/officeDocument/2006/relationships/hyperlink" Target="http://aka.ms/DUSRAC15" TargetMode="External"/><Relationship Id="rId96" Type="http://schemas.openxmlformats.org/officeDocument/2006/relationships/hyperlink" Target="http://aka.ms/DUSRAC18" TargetMode="External"/><Relationship Id="rId1" Type="http://schemas.openxmlformats.org/officeDocument/2006/relationships/hyperlink" Target="http://aka.ms/DDPATP2" TargetMode="External"/><Relationship Id="rId6" Type="http://schemas.openxmlformats.org/officeDocument/2006/relationships/hyperlink" Target="http://aka.ms/PDPATP10" TargetMode="External"/><Relationship Id="rId15" Type="http://schemas.openxmlformats.org/officeDocument/2006/relationships/hyperlink" Target="http://aka.ms/DDPATP10" TargetMode="External"/><Relationship Id="rId23" Type="http://schemas.openxmlformats.org/officeDocument/2006/relationships/hyperlink" Target="http://aka.ms/DDPATP19" TargetMode="External"/><Relationship Id="rId28" Type="http://schemas.openxmlformats.org/officeDocument/2006/relationships/hyperlink" Target="http://aka.ms/DDPDL13" TargetMode="External"/><Relationship Id="rId36" Type="http://schemas.openxmlformats.org/officeDocument/2006/relationships/hyperlink" Target="http://aka.ms/PDPDL7" TargetMode="External"/><Relationship Id="rId49" Type="http://schemas.openxmlformats.org/officeDocument/2006/relationships/hyperlink" Target="http://aka.ms/DDPDL12" TargetMode="External"/><Relationship Id="rId57" Type="http://schemas.openxmlformats.org/officeDocument/2006/relationships/hyperlink" Target="http://aka.ms/DDPEnc16" TargetMode="External"/><Relationship Id="rId10" Type="http://schemas.openxmlformats.org/officeDocument/2006/relationships/hyperlink" Target="http://aka.ms/DDPATP5" TargetMode="External"/><Relationship Id="rId31" Type="http://schemas.openxmlformats.org/officeDocument/2006/relationships/hyperlink" Target="http://aka.ms/PDPDL2" TargetMode="External"/><Relationship Id="rId44" Type="http://schemas.openxmlformats.org/officeDocument/2006/relationships/hyperlink" Target="http://aka.ms/DDPDL7" TargetMode="External"/><Relationship Id="rId52" Type="http://schemas.openxmlformats.org/officeDocument/2006/relationships/hyperlink" Target="https://aka.ms/DDL752" TargetMode="External"/><Relationship Id="rId60" Type="http://schemas.openxmlformats.org/officeDocument/2006/relationships/hyperlink" Target="http://aka.ms/PDPEnc13" TargetMode="External"/><Relationship Id="rId65" Type="http://schemas.openxmlformats.org/officeDocument/2006/relationships/hyperlink" Target="http://aka.ms/DDPEnc6" TargetMode="External"/><Relationship Id="rId73" Type="http://schemas.openxmlformats.org/officeDocument/2006/relationships/hyperlink" Target="http://aka.ms/DDPIR6" TargetMode="External"/><Relationship Id="rId78" Type="http://schemas.openxmlformats.org/officeDocument/2006/relationships/hyperlink" Target="http://aka.ms/DO365NS3" TargetMode="External"/><Relationship Id="rId81" Type="http://schemas.openxmlformats.org/officeDocument/2006/relationships/hyperlink" Target="http://aka.ms/DUSRAC3" TargetMode="External"/><Relationship Id="rId86" Type="http://schemas.openxmlformats.org/officeDocument/2006/relationships/hyperlink" Target="http://aka.ms/DUSRAC8" TargetMode="External"/><Relationship Id="rId94" Type="http://schemas.openxmlformats.org/officeDocument/2006/relationships/hyperlink" Target="http://aka.ms/DUSRAC20" TargetMode="External"/><Relationship Id="rId99" Type="http://schemas.openxmlformats.org/officeDocument/2006/relationships/drawing" Target="../drawings/drawing4.xml"/><Relationship Id="rId4" Type="http://schemas.openxmlformats.org/officeDocument/2006/relationships/hyperlink" Target="http://aka.ms/PDPATP6" TargetMode="External"/><Relationship Id="rId9" Type="http://schemas.openxmlformats.org/officeDocument/2006/relationships/hyperlink" Target="http://aka.ms/DDPATP4" TargetMode="External"/><Relationship Id="rId13" Type="http://schemas.openxmlformats.org/officeDocument/2006/relationships/hyperlink" Target="http://aka.ms/DDPATP20" TargetMode="External"/><Relationship Id="rId18" Type="http://schemas.openxmlformats.org/officeDocument/2006/relationships/hyperlink" Target="http://aka.ms/DDPATP13" TargetMode="External"/><Relationship Id="rId39" Type="http://schemas.openxmlformats.org/officeDocument/2006/relationships/hyperlink" Target="http://aka.ms/PDPDL10" TargetMode="External"/><Relationship Id="rId34" Type="http://schemas.openxmlformats.org/officeDocument/2006/relationships/hyperlink" Target="http://aka.ms/PDPDL5" TargetMode="External"/><Relationship Id="rId50" Type="http://schemas.openxmlformats.org/officeDocument/2006/relationships/hyperlink" Target="http://aka.ms/DDPDL15" TargetMode="External"/><Relationship Id="rId55" Type="http://schemas.openxmlformats.org/officeDocument/2006/relationships/hyperlink" Target="http://aka.ms/DDPEnc2" TargetMode="External"/><Relationship Id="rId76" Type="http://schemas.openxmlformats.org/officeDocument/2006/relationships/hyperlink" Target="http://aka.ms/DDPIR9" TargetMode="External"/><Relationship Id="rId97" Type="http://schemas.openxmlformats.org/officeDocument/2006/relationships/hyperlink" Target="http://aka.ms/DUSRAC19" TargetMode="External"/><Relationship Id="rId7" Type="http://schemas.openxmlformats.org/officeDocument/2006/relationships/hyperlink" Target="http://aka.ms/PDPATP11" TargetMode="External"/><Relationship Id="rId71" Type="http://schemas.openxmlformats.org/officeDocument/2006/relationships/hyperlink" Target="http://aka.ms/DDPEnc14" TargetMode="External"/><Relationship Id="rId92" Type="http://schemas.openxmlformats.org/officeDocument/2006/relationships/hyperlink" Target="http://aka.ms/DUSRAC22" TargetMode="External"/><Relationship Id="rId2" Type="http://schemas.openxmlformats.org/officeDocument/2006/relationships/hyperlink" Target="http://aka.ms/DDPATP3" TargetMode="External"/><Relationship Id="rId29" Type="http://schemas.openxmlformats.org/officeDocument/2006/relationships/hyperlink" Target="http://aka.ms/DDPDL14" TargetMode="External"/><Relationship Id="rId24" Type="http://schemas.openxmlformats.org/officeDocument/2006/relationships/hyperlink" Target="https://aka.ms/dcm1402" TargetMode="External"/><Relationship Id="rId40" Type="http://schemas.openxmlformats.org/officeDocument/2006/relationships/hyperlink" Target="http://aka.ms/DDPDL3" TargetMode="External"/><Relationship Id="rId45" Type="http://schemas.openxmlformats.org/officeDocument/2006/relationships/hyperlink" Target="http://aka.ms/DDPDL8" TargetMode="External"/><Relationship Id="rId66" Type="http://schemas.openxmlformats.org/officeDocument/2006/relationships/hyperlink" Target="http://aka.ms/DDPEnc7" TargetMode="External"/><Relationship Id="rId87" Type="http://schemas.openxmlformats.org/officeDocument/2006/relationships/hyperlink" Target="http://aka.ms/DUSRAC11" TargetMode="External"/><Relationship Id="rId61" Type="http://schemas.openxmlformats.org/officeDocument/2006/relationships/hyperlink" Target="http://aka.ms/PDPEnc15" TargetMode="External"/><Relationship Id="rId82" Type="http://schemas.openxmlformats.org/officeDocument/2006/relationships/hyperlink" Target="http://aka.ms/DUSRAC4" TargetMode="External"/><Relationship Id="rId19" Type="http://schemas.openxmlformats.org/officeDocument/2006/relationships/hyperlink" Target="http://aka.ms/DDPATP14" TargetMode="External"/><Relationship Id="rId14" Type="http://schemas.openxmlformats.org/officeDocument/2006/relationships/hyperlink" Target="http://aka.ms/DDPATP9" TargetMode="External"/><Relationship Id="rId30" Type="http://schemas.openxmlformats.org/officeDocument/2006/relationships/hyperlink" Target="http://aka.ms/DDPDL16" TargetMode="External"/><Relationship Id="rId35" Type="http://schemas.openxmlformats.org/officeDocument/2006/relationships/hyperlink" Target="http://aka.ms/PDPDL6" TargetMode="External"/><Relationship Id="rId56" Type="http://schemas.openxmlformats.org/officeDocument/2006/relationships/hyperlink" Target="http://aka.ms/DDPEnc10" TargetMode="External"/><Relationship Id="rId77" Type="http://schemas.openxmlformats.org/officeDocument/2006/relationships/hyperlink" Target="http://aka.ms/DO365NS2" TargetMode="External"/><Relationship Id="rId100" Type="http://schemas.openxmlformats.org/officeDocument/2006/relationships/table" Target="../tables/table3.xml"/><Relationship Id="rId8" Type="http://schemas.openxmlformats.org/officeDocument/2006/relationships/hyperlink" Target="http://aka.ms/PDPATP12" TargetMode="External"/><Relationship Id="rId51" Type="http://schemas.openxmlformats.org/officeDocument/2006/relationships/hyperlink" Target="http://aka.ms/DDPDL17" TargetMode="External"/><Relationship Id="rId72" Type="http://schemas.openxmlformats.org/officeDocument/2006/relationships/hyperlink" Target="http://aka.ms/DDPEnc15" TargetMode="External"/><Relationship Id="rId93" Type="http://schemas.openxmlformats.org/officeDocument/2006/relationships/hyperlink" Target="http://aka.ms/DUSRAC16" TargetMode="External"/><Relationship Id="rId98"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hyperlink" Target="http://aka.ms/DAULog24" TargetMode="External"/><Relationship Id="rId21" Type="http://schemas.openxmlformats.org/officeDocument/2006/relationships/hyperlink" Target="https://aka.ms/daulog40" TargetMode="External"/><Relationship Id="rId42" Type="http://schemas.openxmlformats.org/officeDocument/2006/relationships/hyperlink" Target="http://aka.ms/PDMDEL3" TargetMode="External"/><Relationship Id="rId47" Type="http://schemas.openxmlformats.org/officeDocument/2006/relationships/hyperlink" Target="http://aka.ms/DDPDIS5" TargetMode="External"/><Relationship Id="rId63" Type="http://schemas.openxmlformats.org/officeDocument/2006/relationships/hyperlink" Target="http://aka.ms/DDPPRE4" TargetMode="External"/><Relationship Id="rId68" Type="http://schemas.openxmlformats.org/officeDocument/2006/relationships/hyperlink" Target="http://aka.ms/DDPPRE10" TargetMode="External"/><Relationship Id="rId16" Type="http://schemas.openxmlformats.org/officeDocument/2006/relationships/hyperlink" Target="http://aka.ms/DAULog7" TargetMode="External"/><Relationship Id="rId11" Type="http://schemas.openxmlformats.org/officeDocument/2006/relationships/hyperlink" Target="http://aka.ms/daulog35" TargetMode="External"/><Relationship Id="rId32" Type="http://schemas.openxmlformats.org/officeDocument/2006/relationships/hyperlink" Target="http://aka.ms/DAULog28" TargetMode="External"/><Relationship Id="rId37" Type="http://schemas.openxmlformats.org/officeDocument/2006/relationships/hyperlink" Target="http://aka.ms/DDPDIS8" TargetMode="External"/><Relationship Id="rId53" Type="http://schemas.openxmlformats.org/officeDocument/2006/relationships/hyperlink" Target="http://aka.ms/DDPPRE15" TargetMode="External"/><Relationship Id="rId58" Type="http://schemas.openxmlformats.org/officeDocument/2006/relationships/hyperlink" Target="http://aka.ms/PDPPRE5" TargetMode="External"/><Relationship Id="rId74" Type="http://schemas.openxmlformats.org/officeDocument/2006/relationships/hyperlink" Target="https://aka.ms/daulog44" TargetMode="External"/><Relationship Id="rId79" Type="http://schemas.openxmlformats.org/officeDocument/2006/relationships/hyperlink" Target="http://aka.ms/DDPDIS8" TargetMode="External"/><Relationship Id="rId5" Type="http://schemas.openxmlformats.org/officeDocument/2006/relationships/hyperlink" Target="http://aka.ms/DAULog14" TargetMode="External"/><Relationship Id="rId61" Type="http://schemas.openxmlformats.org/officeDocument/2006/relationships/hyperlink" Target="https://aka.ms/ddp920" TargetMode="External"/><Relationship Id="rId82" Type="http://schemas.openxmlformats.org/officeDocument/2006/relationships/table" Target="../tables/table4.xml"/><Relationship Id="rId19" Type="http://schemas.openxmlformats.org/officeDocument/2006/relationships/hyperlink" Target="http://aka.ms/DAULog10" TargetMode="External"/><Relationship Id="rId14" Type="http://schemas.openxmlformats.org/officeDocument/2006/relationships/hyperlink" Target="http://aka.ms/DAULog5" TargetMode="External"/><Relationship Id="rId22" Type="http://schemas.openxmlformats.org/officeDocument/2006/relationships/hyperlink" Target="https://aka.ms/daulog41" TargetMode="External"/><Relationship Id="rId27" Type="http://schemas.openxmlformats.org/officeDocument/2006/relationships/hyperlink" Target="http://aka.ms/DAULog25" TargetMode="External"/><Relationship Id="rId30" Type="http://schemas.openxmlformats.org/officeDocument/2006/relationships/hyperlink" Target="http://aka.ms/DAULog11" TargetMode="External"/><Relationship Id="rId35" Type="http://schemas.openxmlformats.org/officeDocument/2006/relationships/hyperlink" Target="http://aka.ms/DAULog12" TargetMode="External"/><Relationship Id="rId43" Type="http://schemas.openxmlformats.org/officeDocument/2006/relationships/hyperlink" Target="http://aka.ms/PDMDEL5" TargetMode="External"/><Relationship Id="rId48" Type="http://schemas.openxmlformats.org/officeDocument/2006/relationships/hyperlink" Target="http://aka.ms/DDPDIS7" TargetMode="External"/><Relationship Id="rId56" Type="http://schemas.openxmlformats.org/officeDocument/2006/relationships/hyperlink" Target="http://aka.ms/PDPPRE15" TargetMode="External"/><Relationship Id="rId64" Type="http://schemas.openxmlformats.org/officeDocument/2006/relationships/hyperlink" Target="http://aka.ms/DDPPRE5" TargetMode="External"/><Relationship Id="rId69" Type="http://schemas.openxmlformats.org/officeDocument/2006/relationships/hyperlink" Target="http://aka.ms/DDPPRE11" TargetMode="External"/><Relationship Id="rId77" Type="http://schemas.openxmlformats.org/officeDocument/2006/relationships/hyperlink" Target="https://aka.ms/daulog47" TargetMode="External"/><Relationship Id="rId8" Type="http://schemas.openxmlformats.org/officeDocument/2006/relationships/hyperlink" Target="http://aka.ms/DAULog33" TargetMode="External"/><Relationship Id="rId51" Type="http://schemas.openxmlformats.org/officeDocument/2006/relationships/hyperlink" Target="http://aka.ms/DDMDEL4" TargetMode="External"/><Relationship Id="rId72" Type="http://schemas.openxmlformats.org/officeDocument/2006/relationships/hyperlink" Target="http://aka.ms/PIDIA3" TargetMode="External"/><Relationship Id="rId80" Type="http://schemas.openxmlformats.org/officeDocument/2006/relationships/printerSettings" Target="../printerSettings/printerSettings5.bin"/><Relationship Id="rId3" Type="http://schemas.openxmlformats.org/officeDocument/2006/relationships/hyperlink" Target="http://aka.ms/DAULog3" TargetMode="External"/><Relationship Id="rId12" Type="http://schemas.openxmlformats.org/officeDocument/2006/relationships/hyperlink" Target="http://aka.ms/daulog36" TargetMode="External"/><Relationship Id="rId17" Type="http://schemas.openxmlformats.org/officeDocument/2006/relationships/hyperlink" Target="http://aka.ms/DAULog8" TargetMode="External"/><Relationship Id="rId25" Type="http://schemas.openxmlformats.org/officeDocument/2006/relationships/hyperlink" Target="https://aka.ms/dau546" TargetMode="External"/><Relationship Id="rId33" Type="http://schemas.openxmlformats.org/officeDocument/2006/relationships/hyperlink" Target="http://aka.ms/DAULog29" TargetMode="External"/><Relationship Id="rId38" Type="http://schemas.openxmlformats.org/officeDocument/2006/relationships/hyperlink" Target="http://aka.ms/DDPDIS14" TargetMode="External"/><Relationship Id="rId46" Type="http://schemas.openxmlformats.org/officeDocument/2006/relationships/hyperlink" Target="http://aka.ms/DDPDIS4" TargetMode="External"/><Relationship Id="rId59" Type="http://schemas.openxmlformats.org/officeDocument/2006/relationships/hyperlink" Target="http://aka.ms/PDPPRE10" TargetMode="External"/><Relationship Id="rId67" Type="http://schemas.openxmlformats.org/officeDocument/2006/relationships/hyperlink" Target="http://aka.ms/DDPPRE9" TargetMode="External"/><Relationship Id="rId20" Type="http://schemas.openxmlformats.org/officeDocument/2006/relationships/hyperlink" Target="https://aka.ms/daulog39" TargetMode="External"/><Relationship Id="rId41" Type="http://schemas.openxmlformats.org/officeDocument/2006/relationships/hyperlink" Target="http://aka.ms/PDMDEL2" TargetMode="External"/><Relationship Id="rId54" Type="http://schemas.openxmlformats.org/officeDocument/2006/relationships/hyperlink" Target="http://aka.ms/DDPPRE2" TargetMode="External"/><Relationship Id="rId62" Type="http://schemas.openxmlformats.org/officeDocument/2006/relationships/hyperlink" Target="http://aka.ms/DDPPRE3" TargetMode="External"/><Relationship Id="rId70" Type="http://schemas.openxmlformats.org/officeDocument/2006/relationships/hyperlink" Target="http://aka.ms/DDPPRE13" TargetMode="External"/><Relationship Id="rId75" Type="http://schemas.openxmlformats.org/officeDocument/2006/relationships/hyperlink" Target="https://aka.ms/daulog45" TargetMode="External"/><Relationship Id="rId1" Type="http://schemas.openxmlformats.org/officeDocument/2006/relationships/hyperlink" Target="http://aka.ms/DAULog1" TargetMode="External"/><Relationship Id="rId6" Type="http://schemas.openxmlformats.org/officeDocument/2006/relationships/hyperlink" Target="http://aka.ms/DAULog21" TargetMode="External"/><Relationship Id="rId15" Type="http://schemas.openxmlformats.org/officeDocument/2006/relationships/hyperlink" Target="http://aka.ms/DAULog6" TargetMode="External"/><Relationship Id="rId23" Type="http://schemas.openxmlformats.org/officeDocument/2006/relationships/hyperlink" Target="https://aka.ms/daulog42" TargetMode="External"/><Relationship Id="rId28" Type="http://schemas.openxmlformats.org/officeDocument/2006/relationships/hyperlink" Target="http://aka.ms/DAULog31" TargetMode="External"/><Relationship Id="rId36" Type="http://schemas.openxmlformats.org/officeDocument/2006/relationships/hyperlink" Target="http://aka.ms/DAULog13" TargetMode="External"/><Relationship Id="rId49" Type="http://schemas.openxmlformats.org/officeDocument/2006/relationships/hyperlink" Target="https://aka.ms/DDI1016" TargetMode="External"/><Relationship Id="rId57" Type="http://schemas.openxmlformats.org/officeDocument/2006/relationships/hyperlink" Target="http://aka.ms/PDPPRE4" TargetMode="External"/><Relationship Id="rId10" Type="http://schemas.openxmlformats.org/officeDocument/2006/relationships/hyperlink" Target="http://aka.ms/daulog34" TargetMode="External"/><Relationship Id="rId31" Type="http://schemas.openxmlformats.org/officeDocument/2006/relationships/hyperlink" Target="http://aka.ms/DAU600" TargetMode="External"/><Relationship Id="rId44" Type="http://schemas.openxmlformats.org/officeDocument/2006/relationships/hyperlink" Target="http://aka.ms/PDMDEL6" TargetMode="External"/><Relationship Id="rId52" Type="http://schemas.openxmlformats.org/officeDocument/2006/relationships/hyperlink" Target="http://aka.ms/DDMDEL6" TargetMode="External"/><Relationship Id="rId60" Type="http://schemas.openxmlformats.org/officeDocument/2006/relationships/hyperlink" Target="http://aka.ms/PDPPRE13" TargetMode="External"/><Relationship Id="rId65" Type="http://schemas.openxmlformats.org/officeDocument/2006/relationships/hyperlink" Target="http://aka.ms/DDPPRE6" TargetMode="External"/><Relationship Id="rId73" Type="http://schemas.openxmlformats.org/officeDocument/2006/relationships/hyperlink" Target="http://aka.ms/DUSRAC22" TargetMode="External"/><Relationship Id="rId78" Type="http://schemas.openxmlformats.org/officeDocument/2006/relationships/hyperlink" Target="https://aka.ms/daulog40" TargetMode="External"/><Relationship Id="rId81" Type="http://schemas.openxmlformats.org/officeDocument/2006/relationships/drawing" Target="../drawings/drawing5.xml"/><Relationship Id="rId4" Type="http://schemas.openxmlformats.org/officeDocument/2006/relationships/hyperlink" Target="http://aka.ms/DAULog4" TargetMode="External"/><Relationship Id="rId9" Type="http://schemas.openxmlformats.org/officeDocument/2006/relationships/hyperlink" Target="http://aka.ms/DAULog26" TargetMode="External"/><Relationship Id="rId13" Type="http://schemas.openxmlformats.org/officeDocument/2006/relationships/hyperlink" Target="http://aka.ms/daulog37" TargetMode="External"/><Relationship Id="rId18" Type="http://schemas.openxmlformats.org/officeDocument/2006/relationships/hyperlink" Target="http://aka.ms/DAULog9" TargetMode="External"/><Relationship Id="rId39" Type="http://schemas.openxmlformats.org/officeDocument/2006/relationships/hyperlink" Target="http://aka.ms/DDMDEL2" TargetMode="External"/><Relationship Id="rId34" Type="http://schemas.openxmlformats.org/officeDocument/2006/relationships/hyperlink" Target="http://aka.ms/DAULog30" TargetMode="External"/><Relationship Id="rId50" Type="http://schemas.openxmlformats.org/officeDocument/2006/relationships/hyperlink" Target="http://aka.ms/DDMDEL3" TargetMode="External"/><Relationship Id="rId55" Type="http://schemas.openxmlformats.org/officeDocument/2006/relationships/hyperlink" Target="http://aka.ms/DDPPRE7" TargetMode="External"/><Relationship Id="rId76" Type="http://schemas.openxmlformats.org/officeDocument/2006/relationships/hyperlink" Target="https://aka.ms/daulog46" TargetMode="External"/><Relationship Id="rId7" Type="http://schemas.openxmlformats.org/officeDocument/2006/relationships/hyperlink" Target="http://aka.ms/DAULog23" TargetMode="External"/><Relationship Id="rId71" Type="http://schemas.openxmlformats.org/officeDocument/2006/relationships/hyperlink" Target="http://aka.ms/DDPPRE14" TargetMode="External"/><Relationship Id="rId2" Type="http://schemas.openxmlformats.org/officeDocument/2006/relationships/hyperlink" Target="http://aka.ms/DAULog2" TargetMode="External"/><Relationship Id="rId29" Type="http://schemas.openxmlformats.org/officeDocument/2006/relationships/hyperlink" Target="http://aka.ms/DAulog32" TargetMode="External"/><Relationship Id="rId24" Type="http://schemas.openxmlformats.org/officeDocument/2006/relationships/hyperlink" Target="https://aka.ms/daulog43" TargetMode="External"/><Relationship Id="rId40" Type="http://schemas.openxmlformats.org/officeDocument/2006/relationships/hyperlink" Target="http://aka.ms/DDMDEL5" TargetMode="External"/><Relationship Id="rId45" Type="http://schemas.openxmlformats.org/officeDocument/2006/relationships/hyperlink" Target="http://aka.ms/DDPDIS3" TargetMode="External"/><Relationship Id="rId66" Type="http://schemas.openxmlformats.org/officeDocument/2006/relationships/hyperlink" Target="http://aka.ms/DDPPRE8"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aka.ms/DAULog3" TargetMode="External"/><Relationship Id="rId18" Type="http://schemas.openxmlformats.org/officeDocument/2006/relationships/hyperlink" Target="http://aka.ms/daulog37" TargetMode="External"/><Relationship Id="rId26" Type="http://schemas.openxmlformats.org/officeDocument/2006/relationships/hyperlink" Target="http://aka.ms/DAULog26" TargetMode="External"/><Relationship Id="rId39" Type="http://schemas.openxmlformats.org/officeDocument/2006/relationships/hyperlink" Target="http://aka.ms/DAULog29" TargetMode="External"/><Relationship Id="rId21" Type="http://schemas.openxmlformats.org/officeDocument/2006/relationships/hyperlink" Target="http://aka.ms/DAULog9" TargetMode="External"/><Relationship Id="rId34" Type="http://schemas.openxmlformats.org/officeDocument/2006/relationships/hyperlink" Target="http://aka.ms/DAULog25" TargetMode="External"/><Relationship Id="rId42" Type="http://schemas.openxmlformats.org/officeDocument/2006/relationships/hyperlink" Target="http://aka.ms/DAULog13" TargetMode="External"/><Relationship Id="rId47" Type="http://schemas.openxmlformats.org/officeDocument/2006/relationships/hyperlink" Target="http://aka.ms/DAUIA4" TargetMode="External"/><Relationship Id="rId50" Type="http://schemas.openxmlformats.org/officeDocument/2006/relationships/hyperlink" Target="http://aka.ms/DDPIR3" TargetMode="External"/><Relationship Id="rId55" Type="http://schemas.openxmlformats.org/officeDocument/2006/relationships/hyperlink" Target="http://aka.ms/DDPIR13" TargetMode="External"/><Relationship Id="rId63" Type="http://schemas.openxmlformats.org/officeDocument/2006/relationships/drawing" Target="../drawings/drawing6.xml"/><Relationship Id="rId7" Type="http://schemas.openxmlformats.org/officeDocument/2006/relationships/hyperlink" Target="http://aka.ms/DDPATP6" TargetMode="External"/><Relationship Id="rId2" Type="http://schemas.openxmlformats.org/officeDocument/2006/relationships/hyperlink" Target="http://aka.ms/PADMAC8" TargetMode="External"/><Relationship Id="rId16" Type="http://schemas.openxmlformats.org/officeDocument/2006/relationships/hyperlink" Target="http://aka.ms/daulog35" TargetMode="External"/><Relationship Id="rId29" Type="http://schemas.openxmlformats.org/officeDocument/2006/relationships/hyperlink" Target="https://aka.ms/daulog41" TargetMode="External"/><Relationship Id="rId11" Type="http://schemas.openxmlformats.org/officeDocument/2006/relationships/hyperlink" Target="http://aka.ms/DAULog1" TargetMode="External"/><Relationship Id="rId24" Type="http://schemas.openxmlformats.org/officeDocument/2006/relationships/hyperlink" Target="http://aka.ms/DAULog23" TargetMode="External"/><Relationship Id="rId32" Type="http://schemas.openxmlformats.org/officeDocument/2006/relationships/hyperlink" Target="https://aka.ms/dau546" TargetMode="External"/><Relationship Id="rId37" Type="http://schemas.openxmlformats.org/officeDocument/2006/relationships/hyperlink" Target="http://aka.ms/DAU600" TargetMode="External"/><Relationship Id="rId40" Type="http://schemas.openxmlformats.org/officeDocument/2006/relationships/hyperlink" Target="http://aka.ms/DAULog30" TargetMode="External"/><Relationship Id="rId45" Type="http://schemas.openxmlformats.org/officeDocument/2006/relationships/hyperlink" Target="http://aka.ms/DCMCLI13" TargetMode="External"/><Relationship Id="rId53" Type="http://schemas.openxmlformats.org/officeDocument/2006/relationships/hyperlink" Target="http://aka.ms/DDPIR14" TargetMode="External"/><Relationship Id="rId58" Type="http://schemas.openxmlformats.org/officeDocument/2006/relationships/hyperlink" Target="https://aka.ms/daulog44" TargetMode="External"/><Relationship Id="rId5" Type="http://schemas.openxmlformats.org/officeDocument/2006/relationships/hyperlink" Target="http://aka.ms/DDPATP3" TargetMode="External"/><Relationship Id="rId61" Type="http://schemas.openxmlformats.org/officeDocument/2006/relationships/hyperlink" Target="https://aka.ms/daulog47" TargetMode="External"/><Relationship Id="rId19" Type="http://schemas.openxmlformats.org/officeDocument/2006/relationships/hyperlink" Target="http://aka.ms/DAULog5" TargetMode="External"/><Relationship Id="rId14" Type="http://schemas.openxmlformats.org/officeDocument/2006/relationships/hyperlink" Target="http://aka.ms/DAULog4" TargetMode="External"/><Relationship Id="rId22" Type="http://schemas.openxmlformats.org/officeDocument/2006/relationships/hyperlink" Target="http://aka.ms/DAULog14" TargetMode="External"/><Relationship Id="rId27" Type="http://schemas.openxmlformats.org/officeDocument/2006/relationships/hyperlink" Target="https://aka.ms/daulog39" TargetMode="External"/><Relationship Id="rId30" Type="http://schemas.openxmlformats.org/officeDocument/2006/relationships/hyperlink" Target="https://aka.ms/daulog42" TargetMode="External"/><Relationship Id="rId35" Type="http://schemas.openxmlformats.org/officeDocument/2006/relationships/hyperlink" Target="http://aka.ms/DAULog27" TargetMode="External"/><Relationship Id="rId43" Type="http://schemas.openxmlformats.org/officeDocument/2006/relationships/hyperlink" Target="http://aka.ms/dcmcli27" TargetMode="External"/><Relationship Id="rId48" Type="http://schemas.openxmlformats.org/officeDocument/2006/relationships/hyperlink" Target="http://aka.ms/PIDIA3" TargetMode="External"/><Relationship Id="rId56" Type="http://schemas.openxmlformats.org/officeDocument/2006/relationships/hyperlink" Target="http://aka.ms/DUSRAC3" TargetMode="External"/><Relationship Id="rId64" Type="http://schemas.openxmlformats.org/officeDocument/2006/relationships/table" Target="../tables/table5.xml"/><Relationship Id="rId8" Type="http://schemas.openxmlformats.org/officeDocument/2006/relationships/hyperlink" Target="http://aka.ms/DDPATP17" TargetMode="External"/><Relationship Id="rId51" Type="http://schemas.openxmlformats.org/officeDocument/2006/relationships/hyperlink" Target="http://aka.ms/PDPIR2" TargetMode="External"/><Relationship Id="rId3" Type="http://schemas.openxmlformats.org/officeDocument/2006/relationships/hyperlink" Target="http://aka.ms/DADMAC8" TargetMode="External"/><Relationship Id="rId12" Type="http://schemas.openxmlformats.org/officeDocument/2006/relationships/hyperlink" Target="http://aka.ms/DAULog2" TargetMode="External"/><Relationship Id="rId17" Type="http://schemas.openxmlformats.org/officeDocument/2006/relationships/hyperlink" Target="http://aka.ms/daulog36" TargetMode="External"/><Relationship Id="rId25" Type="http://schemas.openxmlformats.org/officeDocument/2006/relationships/hyperlink" Target="http://aka.ms/DAULog33" TargetMode="External"/><Relationship Id="rId33" Type="http://schemas.openxmlformats.org/officeDocument/2006/relationships/hyperlink" Target="http://aka.ms/DAULog24" TargetMode="External"/><Relationship Id="rId38" Type="http://schemas.openxmlformats.org/officeDocument/2006/relationships/hyperlink" Target="http://aka.ms/DAULog28" TargetMode="External"/><Relationship Id="rId46" Type="http://schemas.openxmlformats.org/officeDocument/2006/relationships/hyperlink" Target="https://aka.ms/dia201" TargetMode="External"/><Relationship Id="rId59" Type="http://schemas.openxmlformats.org/officeDocument/2006/relationships/hyperlink" Target="https://aka.ms/daulog45" TargetMode="External"/><Relationship Id="rId20" Type="http://schemas.openxmlformats.org/officeDocument/2006/relationships/hyperlink" Target="http://aka.ms/DAULog6" TargetMode="External"/><Relationship Id="rId41" Type="http://schemas.openxmlformats.org/officeDocument/2006/relationships/hyperlink" Target="http://aka.ms/DAULog12" TargetMode="External"/><Relationship Id="rId54" Type="http://schemas.openxmlformats.org/officeDocument/2006/relationships/hyperlink" Target="http://aka.ms/DDPIR4" TargetMode="External"/><Relationship Id="rId62" Type="http://schemas.openxmlformats.org/officeDocument/2006/relationships/printerSettings" Target="../printerSettings/printerSettings6.bin"/><Relationship Id="rId1" Type="http://schemas.openxmlformats.org/officeDocument/2006/relationships/hyperlink" Target="http://aka.ms/DADMAC9" TargetMode="External"/><Relationship Id="rId6" Type="http://schemas.openxmlformats.org/officeDocument/2006/relationships/hyperlink" Target="http://aka.ms/PDPATP6" TargetMode="External"/><Relationship Id="rId15" Type="http://schemas.openxmlformats.org/officeDocument/2006/relationships/hyperlink" Target="http://aka.ms/daulog34" TargetMode="External"/><Relationship Id="rId23" Type="http://schemas.openxmlformats.org/officeDocument/2006/relationships/hyperlink" Target="http://aka.ms/DAULog21" TargetMode="External"/><Relationship Id="rId28" Type="http://schemas.openxmlformats.org/officeDocument/2006/relationships/hyperlink" Target="https://aka.ms/daulog40" TargetMode="External"/><Relationship Id="rId36" Type="http://schemas.openxmlformats.org/officeDocument/2006/relationships/hyperlink" Target="http://aka.ms/DAULog11" TargetMode="External"/><Relationship Id="rId49" Type="http://schemas.openxmlformats.org/officeDocument/2006/relationships/hyperlink" Target="http://aka.ms/DDPIR2" TargetMode="External"/><Relationship Id="rId57" Type="http://schemas.openxmlformats.org/officeDocument/2006/relationships/hyperlink" Target="https://aka.ms/daulog40" TargetMode="External"/><Relationship Id="rId10" Type="http://schemas.openxmlformats.org/officeDocument/2006/relationships/hyperlink" Target="http://aka.ms/PDPATP17" TargetMode="External"/><Relationship Id="rId31" Type="http://schemas.openxmlformats.org/officeDocument/2006/relationships/hyperlink" Target="https://aka.ms/daulog43" TargetMode="External"/><Relationship Id="rId44" Type="http://schemas.openxmlformats.org/officeDocument/2006/relationships/hyperlink" Target="http://aka.ms/PCMCLI13" TargetMode="External"/><Relationship Id="rId52" Type="http://schemas.openxmlformats.org/officeDocument/2006/relationships/hyperlink" Target="http://aka.ms/PDPIR3" TargetMode="External"/><Relationship Id="rId60" Type="http://schemas.openxmlformats.org/officeDocument/2006/relationships/hyperlink" Target="https://aka.ms/daulog46" TargetMode="External"/><Relationship Id="rId4" Type="http://schemas.openxmlformats.org/officeDocument/2006/relationships/hyperlink" Target="http://aka.ms/DADMAC10" TargetMode="External"/><Relationship Id="rId9" Type="http://schemas.openxmlformats.org/officeDocument/2006/relationships/hyperlink" Target="http://aka.ms/DDPATP18"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aka.ms/DDPATP4" TargetMode="External"/><Relationship Id="rId21" Type="http://schemas.openxmlformats.org/officeDocument/2006/relationships/hyperlink" Target="http://aka.ms/DAULog26" TargetMode="External"/><Relationship Id="rId63" Type="http://schemas.openxmlformats.org/officeDocument/2006/relationships/hyperlink" Target="http://aka.ms/PDPATP10" TargetMode="External"/><Relationship Id="rId159" Type="http://schemas.openxmlformats.org/officeDocument/2006/relationships/hyperlink" Target="https://aka.ms/DCMCLI6" TargetMode="External"/><Relationship Id="rId170" Type="http://schemas.openxmlformats.org/officeDocument/2006/relationships/hyperlink" Target="http://aka.ms/DCMCLI33" TargetMode="External"/><Relationship Id="rId226" Type="http://schemas.openxmlformats.org/officeDocument/2006/relationships/hyperlink" Target="http://aka.ms/DDPEnc14" TargetMode="External"/><Relationship Id="rId268" Type="http://schemas.openxmlformats.org/officeDocument/2006/relationships/hyperlink" Target="http://aka.ms/DUSRAC15" TargetMode="External"/><Relationship Id="rId32" Type="http://schemas.openxmlformats.org/officeDocument/2006/relationships/hyperlink" Target="http://aka.ms/DDPDL13" TargetMode="External"/><Relationship Id="rId74" Type="http://schemas.openxmlformats.org/officeDocument/2006/relationships/hyperlink" Target="http://aka.ms/PDMDEL3" TargetMode="External"/><Relationship Id="rId128" Type="http://schemas.openxmlformats.org/officeDocument/2006/relationships/hyperlink" Target="http://aka.ms/DDPATP15" TargetMode="External"/><Relationship Id="rId5" Type="http://schemas.openxmlformats.org/officeDocument/2006/relationships/hyperlink" Target="http://aka.ms/DADMAC9" TargetMode="External"/><Relationship Id="rId181" Type="http://schemas.openxmlformats.org/officeDocument/2006/relationships/hyperlink" Target="http://aka.ms/DDPDIS5" TargetMode="External"/><Relationship Id="rId237" Type="http://schemas.openxmlformats.org/officeDocument/2006/relationships/hyperlink" Target="http://aka.ms/DAUIA12" TargetMode="External"/><Relationship Id="rId279" Type="http://schemas.openxmlformats.org/officeDocument/2006/relationships/hyperlink" Target="http://aka.ms/DDPDIS8" TargetMode="External"/><Relationship Id="rId22" Type="http://schemas.openxmlformats.org/officeDocument/2006/relationships/hyperlink" Target="http://aka.ms/DAULog27" TargetMode="External"/><Relationship Id="rId43" Type="http://schemas.openxmlformats.org/officeDocument/2006/relationships/hyperlink" Target="http://aka.ms/DAUIA6" TargetMode="External"/><Relationship Id="rId64" Type="http://schemas.openxmlformats.org/officeDocument/2006/relationships/hyperlink" Target="http://aka.ms/PDPATP11" TargetMode="External"/><Relationship Id="rId118" Type="http://schemas.openxmlformats.org/officeDocument/2006/relationships/hyperlink" Target="http://aka.ms/DDPATP5" TargetMode="External"/><Relationship Id="rId139" Type="http://schemas.openxmlformats.org/officeDocument/2006/relationships/hyperlink" Target="http://aka.ms/DAULog10" TargetMode="External"/><Relationship Id="rId85" Type="http://schemas.openxmlformats.org/officeDocument/2006/relationships/hyperlink" Target="http://aka.ms/PDPDL10" TargetMode="External"/><Relationship Id="rId150" Type="http://schemas.openxmlformats.org/officeDocument/2006/relationships/hyperlink" Target="http://aka.ms/DAULog28" TargetMode="External"/><Relationship Id="rId171" Type="http://schemas.openxmlformats.org/officeDocument/2006/relationships/hyperlink" Target="http://aka.ms/DCMCLI34" TargetMode="External"/><Relationship Id="rId192" Type="http://schemas.openxmlformats.org/officeDocument/2006/relationships/hyperlink" Target="http://aka.ms/DDPDL8" TargetMode="External"/><Relationship Id="rId206" Type="http://schemas.openxmlformats.org/officeDocument/2006/relationships/hyperlink" Target="http://aka.ms/DDPPRE9" TargetMode="External"/><Relationship Id="rId227" Type="http://schemas.openxmlformats.org/officeDocument/2006/relationships/hyperlink" Target="http://aka.ms/DDPEnc15" TargetMode="External"/><Relationship Id="rId248" Type="http://schemas.openxmlformats.org/officeDocument/2006/relationships/hyperlink" Target="http://aka.ms/DDPIR4" TargetMode="External"/><Relationship Id="rId269" Type="http://schemas.openxmlformats.org/officeDocument/2006/relationships/hyperlink" Target="http://aka.ms/DUSRAC22" TargetMode="External"/><Relationship Id="rId12" Type="http://schemas.openxmlformats.org/officeDocument/2006/relationships/hyperlink" Target="http://aka.ms/DDPATP19" TargetMode="External"/><Relationship Id="rId33" Type="http://schemas.openxmlformats.org/officeDocument/2006/relationships/hyperlink" Target="http://aka.ms/DDPDL14" TargetMode="External"/><Relationship Id="rId108" Type="http://schemas.openxmlformats.org/officeDocument/2006/relationships/hyperlink" Target="http://aka.ms/PUSRAC15" TargetMode="External"/><Relationship Id="rId129" Type="http://schemas.openxmlformats.org/officeDocument/2006/relationships/hyperlink" Target="http://aka.ms/DDPATP16" TargetMode="External"/><Relationship Id="rId280" Type="http://schemas.openxmlformats.org/officeDocument/2006/relationships/hyperlink" Target="https://aka.ms/dia216" TargetMode="External"/><Relationship Id="rId54" Type="http://schemas.openxmlformats.org/officeDocument/2006/relationships/hyperlink" Target="http://aka.ms/DUSRAC21" TargetMode="External"/><Relationship Id="rId75" Type="http://schemas.openxmlformats.org/officeDocument/2006/relationships/hyperlink" Target="http://aka.ms/PDMDEL5" TargetMode="External"/><Relationship Id="rId96" Type="http://schemas.openxmlformats.org/officeDocument/2006/relationships/hyperlink" Target="http://aka.ms/PAUIA6" TargetMode="External"/><Relationship Id="rId140" Type="http://schemas.openxmlformats.org/officeDocument/2006/relationships/hyperlink" Target="https://aka.ms/daulog39" TargetMode="External"/><Relationship Id="rId161" Type="http://schemas.openxmlformats.org/officeDocument/2006/relationships/hyperlink" Target="https://aka.ms/dc1416" TargetMode="External"/><Relationship Id="rId182" Type="http://schemas.openxmlformats.org/officeDocument/2006/relationships/hyperlink" Target="http://aka.ms/DDPDIS7" TargetMode="External"/><Relationship Id="rId217" Type="http://schemas.openxmlformats.org/officeDocument/2006/relationships/hyperlink" Target="http://aka.ms/DDPEnc3" TargetMode="External"/><Relationship Id="rId6" Type="http://schemas.openxmlformats.org/officeDocument/2006/relationships/hyperlink" Target="http://aka.ms/DADMAC13" TargetMode="External"/><Relationship Id="rId238" Type="http://schemas.openxmlformats.org/officeDocument/2006/relationships/hyperlink" Target="http://aka.ms/DAUIA14" TargetMode="External"/><Relationship Id="rId259" Type="http://schemas.openxmlformats.org/officeDocument/2006/relationships/hyperlink" Target="http://aka.ms/DUSRAC5" TargetMode="External"/><Relationship Id="rId23" Type="http://schemas.openxmlformats.org/officeDocument/2006/relationships/hyperlink" Target="http://aka.ms/DAULog11" TargetMode="External"/><Relationship Id="rId119" Type="http://schemas.openxmlformats.org/officeDocument/2006/relationships/hyperlink" Target="http://aka.ms/DDPATP6" TargetMode="External"/><Relationship Id="rId270" Type="http://schemas.openxmlformats.org/officeDocument/2006/relationships/hyperlink" Target="http://aka.ms/DUSRAC16" TargetMode="External"/><Relationship Id="rId44" Type="http://schemas.openxmlformats.org/officeDocument/2006/relationships/hyperlink" Target="http://aka.ms/DAUIA10" TargetMode="External"/><Relationship Id="rId65" Type="http://schemas.openxmlformats.org/officeDocument/2006/relationships/hyperlink" Target="http://aka.ms/PDPATP12" TargetMode="External"/><Relationship Id="rId86" Type="http://schemas.openxmlformats.org/officeDocument/2006/relationships/hyperlink" Target="http://aka.ms/PDPPRE15" TargetMode="External"/><Relationship Id="rId130" Type="http://schemas.openxmlformats.org/officeDocument/2006/relationships/hyperlink" Target="http://aka.ms/daulog34" TargetMode="External"/><Relationship Id="rId151" Type="http://schemas.openxmlformats.org/officeDocument/2006/relationships/hyperlink" Target="http://aka.ms/DAULog29" TargetMode="External"/><Relationship Id="rId172" Type="http://schemas.openxmlformats.org/officeDocument/2006/relationships/hyperlink" Target="http://aka.ms/DCMCLI35" TargetMode="External"/><Relationship Id="rId193" Type="http://schemas.openxmlformats.org/officeDocument/2006/relationships/hyperlink" Target="http://aka.ms/DDPDL9" TargetMode="External"/><Relationship Id="rId207" Type="http://schemas.openxmlformats.org/officeDocument/2006/relationships/hyperlink" Target="http://aka.ms/DDPPRE10" TargetMode="External"/><Relationship Id="rId228" Type="http://schemas.openxmlformats.org/officeDocument/2006/relationships/hyperlink" Target="http://aka.ms/DAUIA3" TargetMode="External"/><Relationship Id="rId249" Type="http://schemas.openxmlformats.org/officeDocument/2006/relationships/hyperlink" Target="http://aka.ms/DDPIR13" TargetMode="External"/><Relationship Id="rId13" Type="http://schemas.openxmlformats.org/officeDocument/2006/relationships/hyperlink" Target="http://aka.ms/DAULog1" TargetMode="External"/><Relationship Id="rId109" Type="http://schemas.openxmlformats.org/officeDocument/2006/relationships/hyperlink" Target="http://aka.ms/PUSRAC16" TargetMode="External"/><Relationship Id="rId260" Type="http://schemas.openxmlformats.org/officeDocument/2006/relationships/hyperlink" Target="http://aka.ms/DUSRAC6" TargetMode="External"/><Relationship Id="rId281" Type="http://schemas.openxmlformats.org/officeDocument/2006/relationships/hyperlink" Target="https://aka.ms/dia217" TargetMode="External"/><Relationship Id="rId34" Type="http://schemas.openxmlformats.org/officeDocument/2006/relationships/hyperlink" Target="http://aka.ms/DDPDL16" TargetMode="External"/><Relationship Id="rId55" Type="http://schemas.openxmlformats.org/officeDocument/2006/relationships/hyperlink" Target="http://aka.ms/PADMAC2" TargetMode="External"/><Relationship Id="rId76" Type="http://schemas.openxmlformats.org/officeDocument/2006/relationships/hyperlink" Target="http://aka.ms/PDMDEL6" TargetMode="External"/><Relationship Id="rId97" Type="http://schemas.openxmlformats.org/officeDocument/2006/relationships/hyperlink" Target="http://aka.ms/PAUIA7" TargetMode="External"/><Relationship Id="rId120" Type="http://schemas.openxmlformats.org/officeDocument/2006/relationships/hyperlink" Target="http://aka.ms/DDPATP8" TargetMode="External"/><Relationship Id="rId141" Type="http://schemas.openxmlformats.org/officeDocument/2006/relationships/hyperlink" Target="https://aka.ms/daulog40" TargetMode="External"/><Relationship Id="rId7" Type="http://schemas.openxmlformats.org/officeDocument/2006/relationships/hyperlink" Target="http://aka.ms/DDPATP2" TargetMode="External"/><Relationship Id="rId162" Type="http://schemas.openxmlformats.org/officeDocument/2006/relationships/hyperlink" Target="http://aka.ms/DCMCLI11" TargetMode="External"/><Relationship Id="rId183" Type="http://schemas.openxmlformats.org/officeDocument/2006/relationships/hyperlink" Target="https://aka.ms/DDI1016" TargetMode="External"/><Relationship Id="rId218" Type="http://schemas.openxmlformats.org/officeDocument/2006/relationships/hyperlink" Target="http://aka.ms/DDPEnc4" TargetMode="External"/><Relationship Id="rId239" Type="http://schemas.openxmlformats.org/officeDocument/2006/relationships/hyperlink" Target="http://aka.ms/DAUIA15" TargetMode="External"/><Relationship Id="rId250" Type="http://schemas.openxmlformats.org/officeDocument/2006/relationships/hyperlink" Target="http://aka.ms/DDPIR6" TargetMode="External"/><Relationship Id="rId271" Type="http://schemas.openxmlformats.org/officeDocument/2006/relationships/hyperlink" Target="http://aka.ms/DUSRAC17" TargetMode="External"/><Relationship Id="rId24" Type="http://schemas.openxmlformats.org/officeDocument/2006/relationships/hyperlink" Target="http://aka.ms/DAU600" TargetMode="External"/><Relationship Id="rId45" Type="http://schemas.openxmlformats.org/officeDocument/2006/relationships/hyperlink" Target="http://aka.ms/DAUIA11" TargetMode="External"/><Relationship Id="rId66" Type="http://schemas.openxmlformats.org/officeDocument/2006/relationships/hyperlink" Target="http://aka.ms/PDPATP17" TargetMode="External"/><Relationship Id="rId87" Type="http://schemas.openxmlformats.org/officeDocument/2006/relationships/hyperlink" Target="http://aka.ms/PDPPRE4" TargetMode="External"/><Relationship Id="rId110" Type="http://schemas.openxmlformats.org/officeDocument/2006/relationships/hyperlink" Target="http://aka.ms/PUSRAC20" TargetMode="External"/><Relationship Id="rId131" Type="http://schemas.openxmlformats.org/officeDocument/2006/relationships/hyperlink" Target="http://aka.ms/daulog35" TargetMode="External"/><Relationship Id="rId152" Type="http://schemas.openxmlformats.org/officeDocument/2006/relationships/hyperlink" Target="http://aka.ms/DAULog30" TargetMode="External"/><Relationship Id="rId173" Type="http://schemas.openxmlformats.org/officeDocument/2006/relationships/hyperlink" Target="http://aka.ms/DCMCLI36" TargetMode="External"/><Relationship Id="rId194" Type="http://schemas.openxmlformats.org/officeDocument/2006/relationships/hyperlink" Target="http://aka.ms/DDPDL10" TargetMode="External"/><Relationship Id="rId208" Type="http://schemas.openxmlformats.org/officeDocument/2006/relationships/hyperlink" Target="http://aka.ms/DDPPRE11" TargetMode="External"/><Relationship Id="rId229" Type="http://schemas.openxmlformats.org/officeDocument/2006/relationships/hyperlink" Target="http://aka.ms/DAUIA21" TargetMode="External"/><Relationship Id="rId240" Type="http://schemas.openxmlformats.org/officeDocument/2006/relationships/hyperlink" Target="http://aka.ms/DAUIA16" TargetMode="External"/><Relationship Id="rId261" Type="http://schemas.openxmlformats.org/officeDocument/2006/relationships/hyperlink" Target="http://aka.ms/DUSRAC7" TargetMode="External"/><Relationship Id="rId14" Type="http://schemas.openxmlformats.org/officeDocument/2006/relationships/hyperlink" Target="http://aka.ms/DAULog2" TargetMode="External"/><Relationship Id="rId35" Type="http://schemas.openxmlformats.org/officeDocument/2006/relationships/hyperlink" Target="http://aka.ms/DDPPRE15" TargetMode="External"/><Relationship Id="rId56" Type="http://schemas.openxmlformats.org/officeDocument/2006/relationships/hyperlink" Target="http://aka.ms/PADMAC3" TargetMode="External"/><Relationship Id="rId77" Type="http://schemas.openxmlformats.org/officeDocument/2006/relationships/hyperlink" Target="http://aka.ms/PDPDL2" TargetMode="External"/><Relationship Id="rId100" Type="http://schemas.openxmlformats.org/officeDocument/2006/relationships/hyperlink" Target="http://aka.ms/PAUIA12" TargetMode="External"/><Relationship Id="rId282" Type="http://schemas.openxmlformats.org/officeDocument/2006/relationships/printerSettings" Target="../printerSettings/printerSettings7.bin"/><Relationship Id="rId8" Type="http://schemas.openxmlformats.org/officeDocument/2006/relationships/hyperlink" Target="http://aka.ms/DDPATP3" TargetMode="External"/><Relationship Id="rId98" Type="http://schemas.openxmlformats.org/officeDocument/2006/relationships/hyperlink" Target="http://aka.ms/PAUIA8" TargetMode="External"/><Relationship Id="rId121" Type="http://schemas.openxmlformats.org/officeDocument/2006/relationships/hyperlink" Target="http://aka.ms/DDPATP20" TargetMode="External"/><Relationship Id="rId142" Type="http://schemas.openxmlformats.org/officeDocument/2006/relationships/hyperlink" Target="https://aka.ms/daulog41" TargetMode="External"/><Relationship Id="rId163" Type="http://schemas.openxmlformats.org/officeDocument/2006/relationships/hyperlink" Target="https://aka.ms/DCM1425" TargetMode="External"/><Relationship Id="rId184" Type="http://schemas.openxmlformats.org/officeDocument/2006/relationships/hyperlink" Target="http://aka.ms/DDMDEL3" TargetMode="External"/><Relationship Id="rId219" Type="http://schemas.openxmlformats.org/officeDocument/2006/relationships/hyperlink" Target="http://aka.ms/DDPEnc5" TargetMode="External"/><Relationship Id="rId230" Type="http://schemas.openxmlformats.org/officeDocument/2006/relationships/hyperlink" Target="http://aka.ms/DAUIA4" TargetMode="External"/><Relationship Id="rId251" Type="http://schemas.openxmlformats.org/officeDocument/2006/relationships/hyperlink" Target="http://aka.ms/DDPIR7" TargetMode="External"/><Relationship Id="rId25" Type="http://schemas.openxmlformats.org/officeDocument/2006/relationships/hyperlink" Target="https://aka.ms/DCM1423" TargetMode="External"/><Relationship Id="rId46" Type="http://schemas.openxmlformats.org/officeDocument/2006/relationships/hyperlink" Target="http://aka.ms/DAUIA13" TargetMode="External"/><Relationship Id="rId67" Type="http://schemas.openxmlformats.org/officeDocument/2006/relationships/hyperlink" Target="http://aka.ms/PCMCLI5" TargetMode="External"/><Relationship Id="rId272" Type="http://schemas.openxmlformats.org/officeDocument/2006/relationships/hyperlink" Target="http://aka.ms/DUSRAC18" TargetMode="External"/><Relationship Id="rId88" Type="http://schemas.openxmlformats.org/officeDocument/2006/relationships/hyperlink" Target="http://aka.ms/PDPPRE5" TargetMode="External"/><Relationship Id="rId111" Type="http://schemas.openxmlformats.org/officeDocument/2006/relationships/hyperlink" Target="http://aka.ms/DADMAC3" TargetMode="External"/><Relationship Id="rId132" Type="http://schemas.openxmlformats.org/officeDocument/2006/relationships/hyperlink" Target="http://aka.ms/daulog36" TargetMode="External"/><Relationship Id="rId153" Type="http://schemas.openxmlformats.org/officeDocument/2006/relationships/hyperlink" Target="http://aka.ms/DAULog12" TargetMode="External"/><Relationship Id="rId174" Type="http://schemas.openxmlformats.org/officeDocument/2006/relationships/hyperlink" Target="http://aka.ms/DCMCLI37" TargetMode="External"/><Relationship Id="rId195" Type="http://schemas.openxmlformats.org/officeDocument/2006/relationships/hyperlink" Target="http://aka.ms/DDPDL11" TargetMode="External"/><Relationship Id="rId209" Type="http://schemas.openxmlformats.org/officeDocument/2006/relationships/hyperlink" Target="http://aka.ms/DDPPRE13" TargetMode="External"/><Relationship Id="rId220" Type="http://schemas.openxmlformats.org/officeDocument/2006/relationships/hyperlink" Target="http://aka.ms/DDPEnc6" TargetMode="External"/><Relationship Id="rId241" Type="http://schemas.openxmlformats.org/officeDocument/2006/relationships/hyperlink" Target="http://aka.ms/DAUIA17" TargetMode="External"/><Relationship Id="rId15" Type="http://schemas.openxmlformats.org/officeDocument/2006/relationships/hyperlink" Target="http://aka.ms/DAULog3" TargetMode="External"/><Relationship Id="rId36" Type="http://schemas.openxmlformats.org/officeDocument/2006/relationships/hyperlink" Target="http://aka.ms/DDPPRE2" TargetMode="External"/><Relationship Id="rId57" Type="http://schemas.openxmlformats.org/officeDocument/2006/relationships/hyperlink" Target="http://aka.ms/PADMAC4" TargetMode="External"/><Relationship Id="rId262" Type="http://schemas.openxmlformats.org/officeDocument/2006/relationships/hyperlink" Target="http://aka.ms/DUSRAC8" TargetMode="External"/><Relationship Id="rId283" Type="http://schemas.openxmlformats.org/officeDocument/2006/relationships/drawing" Target="../drawings/drawing7.xml"/><Relationship Id="rId78" Type="http://schemas.openxmlformats.org/officeDocument/2006/relationships/hyperlink" Target="http://aka.ms/PDPDL3" TargetMode="External"/><Relationship Id="rId99" Type="http://schemas.openxmlformats.org/officeDocument/2006/relationships/hyperlink" Target="http://aka.ms/PAUIA9" TargetMode="External"/><Relationship Id="rId101" Type="http://schemas.openxmlformats.org/officeDocument/2006/relationships/hyperlink" Target="http://aka.ms/PIDIA2" TargetMode="External"/><Relationship Id="rId122" Type="http://schemas.openxmlformats.org/officeDocument/2006/relationships/hyperlink" Target="http://aka.ms/DDPATP9" TargetMode="External"/><Relationship Id="rId143" Type="http://schemas.openxmlformats.org/officeDocument/2006/relationships/hyperlink" Target="https://aka.ms/daulog42" TargetMode="External"/><Relationship Id="rId164" Type="http://schemas.openxmlformats.org/officeDocument/2006/relationships/hyperlink" Target="http://aka.ms/DCMCLI13" TargetMode="External"/><Relationship Id="rId185" Type="http://schemas.openxmlformats.org/officeDocument/2006/relationships/hyperlink" Target="http://aka.ms/DDMDEL4" TargetMode="External"/><Relationship Id="rId9" Type="http://schemas.openxmlformats.org/officeDocument/2006/relationships/hyperlink" Target="http://aka.ms/DDPATP7" TargetMode="External"/><Relationship Id="rId210" Type="http://schemas.openxmlformats.org/officeDocument/2006/relationships/hyperlink" Target="http://aka.ms/DDPPRE14" TargetMode="External"/><Relationship Id="rId26" Type="http://schemas.openxmlformats.org/officeDocument/2006/relationships/hyperlink" Target="http://aka.ms/DCMCLI28" TargetMode="External"/><Relationship Id="rId231" Type="http://schemas.openxmlformats.org/officeDocument/2006/relationships/hyperlink" Target="https://aka.ms/DIA218" TargetMode="External"/><Relationship Id="rId252" Type="http://schemas.openxmlformats.org/officeDocument/2006/relationships/hyperlink" Target="http://aka.ms/DDPIR8" TargetMode="External"/><Relationship Id="rId273" Type="http://schemas.openxmlformats.org/officeDocument/2006/relationships/hyperlink" Target="http://aka.ms/DUSRAC19" TargetMode="External"/><Relationship Id="rId47" Type="http://schemas.openxmlformats.org/officeDocument/2006/relationships/hyperlink" Target="http://aka.ms/DIDIA2" TargetMode="External"/><Relationship Id="rId68" Type="http://schemas.openxmlformats.org/officeDocument/2006/relationships/hyperlink" Target="http://aka.ms/PCMCLI8" TargetMode="External"/><Relationship Id="rId89" Type="http://schemas.openxmlformats.org/officeDocument/2006/relationships/hyperlink" Target="http://aka.ms/PDPPRE10" TargetMode="External"/><Relationship Id="rId112" Type="http://schemas.openxmlformats.org/officeDocument/2006/relationships/hyperlink" Target="http://aka.ms/DADMAC4" TargetMode="External"/><Relationship Id="rId133" Type="http://schemas.openxmlformats.org/officeDocument/2006/relationships/hyperlink" Target="http://aka.ms/daulog37" TargetMode="External"/><Relationship Id="rId154" Type="http://schemas.openxmlformats.org/officeDocument/2006/relationships/hyperlink" Target="http://aka.ms/DAULog13" TargetMode="External"/><Relationship Id="rId175" Type="http://schemas.openxmlformats.org/officeDocument/2006/relationships/hyperlink" Target="http://aka.ms/DCMCLI38" TargetMode="External"/><Relationship Id="rId196" Type="http://schemas.openxmlformats.org/officeDocument/2006/relationships/hyperlink" Target="http://aka.ms/DDPDL12" TargetMode="External"/><Relationship Id="rId200" Type="http://schemas.openxmlformats.org/officeDocument/2006/relationships/hyperlink" Target="https://aka.ms/ddp920" TargetMode="External"/><Relationship Id="rId16" Type="http://schemas.openxmlformats.org/officeDocument/2006/relationships/hyperlink" Target="http://aka.ms/DAULog4" TargetMode="External"/><Relationship Id="rId221" Type="http://schemas.openxmlformats.org/officeDocument/2006/relationships/hyperlink" Target="http://aka.ms/DDPEnc7" TargetMode="External"/><Relationship Id="rId242" Type="http://schemas.openxmlformats.org/officeDocument/2006/relationships/hyperlink" Target="http://aka.ms/DAUIA18" TargetMode="External"/><Relationship Id="rId263" Type="http://schemas.openxmlformats.org/officeDocument/2006/relationships/hyperlink" Target="http://aka.ms/DUSRAC9" TargetMode="External"/><Relationship Id="rId37" Type="http://schemas.openxmlformats.org/officeDocument/2006/relationships/hyperlink" Target="http://aka.ms/DDPPRE7" TargetMode="External"/><Relationship Id="rId58" Type="http://schemas.openxmlformats.org/officeDocument/2006/relationships/hyperlink" Target="http://aka.ms/PADMAC5" TargetMode="External"/><Relationship Id="rId79" Type="http://schemas.openxmlformats.org/officeDocument/2006/relationships/hyperlink" Target="http://aka.ms/PDPDL4" TargetMode="External"/><Relationship Id="rId102" Type="http://schemas.openxmlformats.org/officeDocument/2006/relationships/hyperlink" Target="http://aka.ms/PIDIA3" TargetMode="External"/><Relationship Id="rId123" Type="http://schemas.openxmlformats.org/officeDocument/2006/relationships/hyperlink" Target="http://aka.ms/DDPATP10" TargetMode="External"/><Relationship Id="rId144" Type="http://schemas.openxmlformats.org/officeDocument/2006/relationships/hyperlink" Target="https://aka.ms/daulog43" TargetMode="External"/><Relationship Id="rId90" Type="http://schemas.openxmlformats.org/officeDocument/2006/relationships/hyperlink" Target="http://aka.ms/PDPPRE13" TargetMode="External"/><Relationship Id="rId165" Type="http://schemas.openxmlformats.org/officeDocument/2006/relationships/hyperlink" Target="http://aka.ms/DCMCLI14" TargetMode="External"/><Relationship Id="rId186" Type="http://schemas.openxmlformats.org/officeDocument/2006/relationships/hyperlink" Target="http://aka.ms/DDMDEL6" TargetMode="External"/><Relationship Id="rId211" Type="http://schemas.openxmlformats.org/officeDocument/2006/relationships/hyperlink" Target="http://aka.ms/DDPDR3" TargetMode="External"/><Relationship Id="rId232" Type="http://schemas.openxmlformats.org/officeDocument/2006/relationships/hyperlink" Target="http://aka.ms/DAUIA7" TargetMode="External"/><Relationship Id="rId253" Type="http://schemas.openxmlformats.org/officeDocument/2006/relationships/hyperlink" Target="http://aka.ms/DDPIR9" TargetMode="External"/><Relationship Id="rId274" Type="http://schemas.openxmlformats.org/officeDocument/2006/relationships/hyperlink" Target="https://aka.ms/daulog44" TargetMode="External"/><Relationship Id="rId27" Type="http://schemas.openxmlformats.org/officeDocument/2006/relationships/hyperlink" Target="http://aka.ms/DDPDIS8" TargetMode="External"/><Relationship Id="rId48" Type="http://schemas.openxmlformats.org/officeDocument/2006/relationships/hyperlink" Target="http://aka.ms/DIDIA4" TargetMode="External"/><Relationship Id="rId69" Type="http://schemas.openxmlformats.org/officeDocument/2006/relationships/hyperlink" Target="http://aka.ms/PCMCLI9" TargetMode="External"/><Relationship Id="rId113" Type="http://schemas.openxmlformats.org/officeDocument/2006/relationships/hyperlink" Target="http://aka.ms/DADMAC5" TargetMode="External"/><Relationship Id="rId134" Type="http://schemas.openxmlformats.org/officeDocument/2006/relationships/hyperlink" Target="http://aka.ms/DAULog5" TargetMode="External"/><Relationship Id="rId80" Type="http://schemas.openxmlformats.org/officeDocument/2006/relationships/hyperlink" Target="http://aka.ms/PDPDL5" TargetMode="External"/><Relationship Id="rId155" Type="http://schemas.openxmlformats.org/officeDocument/2006/relationships/hyperlink" Target="http://aka.ms/dcmcli27" TargetMode="External"/><Relationship Id="rId176" Type="http://schemas.openxmlformats.org/officeDocument/2006/relationships/hyperlink" Target="http://aka.ms/DCMCLI39" TargetMode="External"/><Relationship Id="rId197" Type="http://schemas.openxmlformats.org/officeDocument/2006/relationships/hyperlink" Target="http://aka.ms/DDPDL15" TargetMode="External"/><Relationship Id="rId201" Type="http://schemas.openxmlformats.org/officeDocument/2006/relationships/hyperlink" Target="http://aka.ms/DDPPRE3" TargetMode="External"/><Relationship Id="rId222" Type="http://schemas.openxmlformats.org/officeDocument/2006/relationships/hyperlink" Target="http://aka.ms/DDPEnc8" TargetMode="External"/><Relationship Id="rId243" Type="http://schemas.openxmlformats.org/officeDocument/2006/relationships/hyperlink" Target="http://aka.ms/DAUIA19" TargetMode="External"/><Relationship Id="rId264" Type="http://schemas.openxmlformats.org/officeDocument/2006/relationships/hyperlink" Target="http://aka.ms/DUSRAC10" TargetMode="External"/><Relationship Id="rId17" Type="http://schemas.openxmlformats.org/officeDocument/2006/relationships/hyperlink" Target="http://aka.ms/DAULog14" TargetMode="External"/><Relationship Id="rId38" Type="http://schemas.openxmlformats.org/officeDocument/2006/relationships/hyperlink" Target="http://aka.ms/DDPEnc2" TargetMode="External"/><Relationship Id="rId59" Type="http://schemas.openxmlformats.org/officeDocument/2006/relationships/hyperlink" Target="http://aka.ms/PADMAC7" TargetMode="External"/><Relationship Id="rId103" Type="http://schemas.openxmlformats.org/officeDocument/2006/relationships/hyperlink" Target="http://aka.ms/PIDIA4" TargetMode="External"/><Relationship Id="rId124" Type="http://schemas.openxmlformats.org/officeDocument/2006/relationships/hyperlink" Target="http://aka.ms/DDPATP11" TargetMode="External"/><Relationship Id="rId70" Type="http://schemas.openxmlformats.org/officeDocument/2006/relationships/hyperlink" Target="http://aka.ms/PCMCLI13" TargetMode="External"/><Relationship Id="rId91" Type="http://schemas.openxmlformats.org/officeDocument/2006/relationships/hyperlink" Target="http://aka.ms/PDPEnc2" TargetMode="External"/><Relationship Id="rId145" Type="http://schemas.openxmlformats.org/officeDocument/2006/relationships/hyperlink" Target="https://aka.ms/dau546" TargetMode="External"/><Relationship Id="rId166" Type="http://schemas.openxmlformats.org/officeDocument/2006/relationships/hyperlink" Target="http://aka.ms/DCMCLI29" TargetMode="External"/><Relationship Id="rId187" Type="http://schemas.openxmlformats.org/officeDocument/2006/relationships/hyperlink" Target="http://aka.ms/DDPDL3" TargetMode="External"/><Relationship Id="rId1" Type="http://schemas.openxmlformats.org/officeDocument/2006/relationships/hyperlink" Target="http://aka.ms/DADMAC2" TargetMode="External"/><Relationship Id="rId212" Type="http://schemas.openxmlformats.org/officeDocument/2006/relationships/hyperlink" Target="http://aka.ms/DDPDR4" TargetMode="External"/><Relationship Id="rId233" Type="http://schemas.openxmlformats.org/officeDocument/2006/relationships/hyperlink" Target="http://aka.ms/DAUIA8" TargetMode="External"/><Relationship Id="rId254" Type="http://schemas.openxmlformats.org/officeDocument/2006/relationships/hyperlink" Target="http://aka.ms/DO365NS2" TargetMode="External"/><Relationship Id="rId28" Type="http://schemas.openxmlformats.org/officeDocument/2006/relationships/hyperlink" Target="http://aka.ms/DDPDIS14" TargetMode="External"/><Relationship Id="rId49" Type="http://schemas.openxmlformats.org/officeDocument/2006/relationships/hyperlink" Target="http://aka.ms/DDPIR2" TargetMode="External"/><Relationship Id="rId114" Type="http://schemas.openxmlformats.org/officeDocument/2006/relationships/hyperlink" Target="http://aka.ms/DADMAC8" TargetMode="External"/><Relationship Id="rId275" Type="http://schemas.openxmlformats.org/officeDocument/2006/relationships/hyperlink" Target="https://aka.ms/daulog45" TargetMode="External"/><Relationship Id="rId60" Type="http://schemas.openxmlformats.org/officeDocument/2006/relationships/hyperlink" Target="http://aka.ms/PADMAC8" TargetMode="External"/><Relationship Id="rId81" Type="http://schemas.openxmlformats.org/officeDocument/2006/relationships/hyperlink" Target="http://aka.ms/PDPDL6" TargetMode="External"/><Relationship Id="rId135" Type="http://schemas.openxmlformats.org/officeDocument/2006/relationships/hyperlink" Target="http://aka.ms/DAULog6" TargetMode="External"/><Relationship Id="rId156" Type="http://schemas.openxmlformats.org/officeDocument/2006/relationships/hyperlink" Target="https://aka.ms/dcm1402" TargetMode="External"/><Relationship Id="rId177" Type="http://schemas.openxmlformats.org/officeDocument/2006/relationships/hyperlink" Target="http://aka.ms/DCMCLI40" TargetMode="External"/><Relationship Id="rId198" Type="http://schemas.openxmlformats.org/officeDocument/2006/relationships/hyperlink" Target="http://aka.ms/DDPDL17" TargetMode="External"/><Relationship Id="rId202" Type="http://schemas.openxmlformats.org/officeDocument/2006/relationships/hyperlink" Target="http://aka.ms/DDPPRE4" TargetMode="External"/><Relationship Id="rId223" Type="http://schemas.openxmlformats.org/officeDocument/2006/relationships/hyperlink" Target="http://aka.ms/DDPEnc9" TargetMode="External"/><Relationship Id="rId244" Type="http://schemas.openxmlformats.org/officeDocument/2006/relationships/hyperlink" Target="http://aka.ms/DAUIA20" TargetMode="External"/><Relationship Id="rId18" Type="http://schemas.openxmlformats.org/officeDocument/2006/relationships/hyperlink" Target="http://aka.ms/DAULog21" TargetMode="External"/><Relationship Id="rId39" Type="http://schemas.openxmlformats.org/officeDocument/2006/relationships/hyperlink" Target="http://aka.ms/DDPEnc10" TargetMode="External"/><Relationship Id="rId265" Type="http://schemas.openxmlformats.org/officeDocument/2006/relationships/hyperlink" Target="http://aka.ms/DUSRAC12" TargetMode="External"/><Relationship Id="rId50" Type="http://schemas.openxmlformats.org/officeDocument/2006/relationships/hyperlink" Target="http://aka.ms/DDPIR3" TargetMode="External"/><Relationship Id="rId104" Type="http://schemas.openxmlformats.org/officeDocument/2006/relationships/hyperlink" Target="http://aka.ms/PDPIR2" TargetMode="External"/><Relationship Id="rId125" Type="http://schemas.openxmlformats.org/officeDocument/2006/relationships/hyperlink" Target="http://aka.ms/DDPATP12" TargetMode="External"/><Relationship Id="rId146" Type="http://schemas.openxmlformats.org/officeDocument/2006/relationships/hyperlink" Target="http://aka.ms/DAULog24" TargetMode="External"/><Relationship Id="rId167" Type="http://schemas.openxmlformats.org/officeDocument/2006/relationships/hyperlink" Target="http://aka.ms/DCMCLI30" TargetMode="External"/><Relationship Id="rId188" Type="http://schemas.openxmlformats.org/officeDocument/2006/relationships/hyperlink" Target="http://aka.ms/DDPDL4" TargetMode="External"/><Relationship Id="rId71" Type="http://schemas.openxmlformats.org/officeDocument/2006/relationships/hyperlink" Target="http://aka.ms/PCMCLI14" TargetMode="External"/><Relationship Id="rId92" Type="http://schemas.openxmlformats.org/officeDocument/2006/relationships/hyperlink" Target="http://aka.ms/PDPEnc12" TargetMode="External"/><Relationship Id="rId213" Type="http://schemas.openxmlformats.org/officeDocument/2006/relationships/hyperlink" Target="http://aka.ms/DDPDR5" TargetMode="External"/><Relationship Id="rId234" Type="http://schemas.openxmlformats.org/officeDocument/2006/relationships/hyperlink" Target="http://aka.ms/DAUIA9" TargetMode="External"/><Relationship Id="rId2" Type="http://schemas.openxmlformats.org/officeDocument/2006/relationships/hyperlink" Target="http://aka.ms/DADMAC6" TargetMode="External"/><Relationship Id="rId29" Type="http://schemas.openxmlformats.org/officeDocument/2006/relationships/hyperlink" Target="http://aka.ms/DDMDEL2" TargetMode="External"/><Relationship Id="rId255" Type="http://schemas.openxmlformats.org/officeDocument/2006/relationships/hyperlink" Target="http://aka.ms/DO365NS3" TargetMode="External"/><Relationship Id="rId276" Type="http://schemas.openxmlformats.org/officeDocument/2006/relationships/hyperlink" Target="https://aka.ms/daulog46" TargetMode="External"/><Relationship Id="rId40" Type="http://schemas.openxmlformats.org/officeDocument/2006/relationships/hyperlink" Target="http://aka.ms/DDPEnc16" TargetMode="External"/><Relationship Id="rId115" Type="http://schemas.openxmlformats.org/officeDocument/2006/relationships/hyperlink" Target="http://aka.ms/DADMAC10" TargetMode="External"/><Relationship Id="rId136" Type="http://schemas.openxmlformats.org/officeDocument/2006/relationships/hyperlink" Target="http://aka.ms/DAULog7" TargetMode="External"/><Relationship Id="rId157" Type="http://schemas.openxmlformats.org/officeDocument/2006/relationships/hyperlink" Target="http://aka.ms/DCMCLI4" TargetMode="External"/><Relationship Id="rId178" Type="http://schemas.openxmlformats.org/officeDocument/2006/relationships/hyperlink" Target="https://aka.ms/dcmcli41" TargetMode="External"/><Relationship Id="rId61" Type="http://schemas.openxmlformats.org/officeDocument/2006/relationships/hyperlink" Target="http://aka.ms/PDPATP6" TargetMode="External"/><Relationship Id="rId82" Type="http://schemas.openxmlformats.org/officeDocument/2006/relationships/hyperlink" Target="http://aka.ms/PDPDL7" TargetMode="External"/><Relationship Id="rId199" Type="http://schemas.openxmlformats.org/officeDocument/2006/relationships/hyperlink" Target="https://aka.ms/DDL752" TargetMode="External"/><Relationship Id="rId203" Type="http://schemas.openxmlformats.org/officeDocument/2006/relationships/hyperlink" Target="http://aka.ms/DDPPRE5" TargetMode="External"/><Relationship Id="rId19" Type="http://schemas.openxmlformats.org/officeDocument/2006/relationships/hyperlink" Target="http://aka.ms/DAULog23" TargetMode="External"/><Relationship Id="rId224" Type="http://schemas.openxmlformats.org/officeDocument/2006/relationships/hyperlink" Target="http://aka.ms/DDPEnc12" TargetMode="External"/><Relationship Id="rId245" Type="http://schemas.openxmlformats.org/officeDocument/2006/relationships/hyperlink" Target="http://aka.ms/DIDIA5" TargetMode="External"/><Relationship Id="rId266" Type="http://schemas.openxmlformats.org/officeDocument/2006/relationships/hyperlink" Target="http://aka.ms/DUSRAC13" TargetMode="External"/><Relationship Id="rId30" Type="http://schemas.openxmlformats.org/officeDocument/2006/relationships/hyperlink" Target="http://aka.ms/DDMDEL5" TargetMode="External"/><Relationship Id="rId105" Type="http://schemas.openxmlformats.org/officeDocument/2006/relationships/hyperlink" Target="http://aka.ms/PDPIR3" TargetMode="External"/><Relationship Id="rId126" Type="http://schemas.openxmlformats.org/officeDocument/2006/relationships/hyperlink" Target="http://aka.ms/DDPATP13" TargetMode="External"/><Relationship Id="rId147" Type="http://schemas.openxmlformats.org/officeDocument/2006/relationships/hyperlink" Target="http://aka.ms/DAULog25" TargetMode="External"/><Relationship Id="rId168" Type="http://schemas.openxmlformats.org/officeDocument/2006/relationships/hyperlink" Target="http://aka.ms/DCMCLI31" TargetMode="External"/><Relationship Id="rId51" Type="http://schemas.openxmlformats.org/officeDocument/2006/relationships/hyperlink" Target="https://aka.ms/pol101" TargetMode="External"/><Relationship Id="rId72" Type="http://schemas.openxmlformats.org/officeDocument/2006/relationships/hyperlink" Target="http://aka.ms/PCMCLI16" TargetMode="External"/><Relationship Id="rId93" Type="http://schemas.openxmlformats.org/officeDocument/2006/relationships/hyperlink" Target="http://aka.ms/PDPEnc13" TargetMode="External"/><Relationship Id="rId189" Type="http://schemas.openxmlformats.org/officeDocument/2006/relationships/hyperlink" Target="http://aka.ms/DDPDL5" TargetMode="External"/><Relationship Id="rId3" Type="http://schemas.openxmlformats.org/officeDocument/2006/relationships/hyperlink" Target="http://aka.ms/DADMAC12" TargetMode="External"/><Relationship Id="rId214" Type="http://schemas.openxmlformats.org/officeDocument/2006/relationships/hyperlink" Target="http://aka.ms/DDPDR7" TargetMode="External"/><Relationship Id="rId235" Type="http://schemas.openxmlformats.org/officeDocument/2006/relationships/hyperlink" Target="https://aka.ms/IA241" TargetMode="External"/><Relationship Id="rId256" Type="http://schemas.openxmlformats.org/officeDocument/2006/relationships/hyperlink" Target="http://aka.ms/DO365NS5" TargetMode="External"/><Relationship Id="rId277" Type="http://schemas.openxmlformats.org/officeDocument/2006/relationships/hyperlink" Target="https://aka.ms/daulog47" TargetMode="External"/><Relationship Id="rId116" Type="http://schemas.openxmlformats.org/officeDocument/2006/relationships/hyperlink" Target="http://aka.ms/DADMAC11" TargetMode="External"/><Relationship Id="rId137" Type="http://schemas.openxmlformats.org/officeDocument/2006/relationships/hyperlink" Target="http://aka.ms/DAULog8" TargetMode="External"/><Relationship Id="rId158" Type="http://schemas.openxmlformats.org/officeDocument/2006/relationships/hyperlink" Target="http://aka.ms/DCMCLI5" TargetMode="External"/><Relationship Id="rId20" Type="http://schemas.openxmlformats.org/officeDocument/2006/relationships/hyperlink" Target="http://aka.ms/DAULog33" TargetMode="External"/><Relationship Id="rId41" Type="http://schemas.openxmlformats.org/officeDocument/2006/relationships/hyperlink" Target="https://aka.ms/dia201" TargetMode="External"/><Relationship Id="rId62" Type="http://schemas.openxmlformats.org/officeDocument/2006/relationships/hyperlink" Target="http://aka.ms/PDPATP9" TargetMode="External"/><Relationship Id="rId83" Type="http://schemas.openxmlformats.org/officeDocument/2006/relationships/hyperlink" Target="http://aka.ms/PDPDL8" TargetMode="External"/><Relationship Id="rId179" Type="http://schemas.openxmlformats.org/officeDocument/2006/relationships/hyperlink" Target="http://aka.ms/DDPDIS3" TargetMode="External"/><Relationship Id="rId190" Type="http://schemas.openxmlformats.org/officeDocument/2006/relationships/hyperlink" Target="http://aka.ms/DDPDL6" TargetMode="External"/><Relationship Id="rId204" Type="http://schemas.openxmlformats.org/officeDocument/2006/relationships/hyperlink" Target="http://aka.ms/DDPPRE6" TargetMode="External"/><Relationship Id="rId225" Type="http://schemas.openxmlformats.org/officeDocument/2006/relationships/hyperlink" Target="http://aka.ms/DDPEnc13" TargetMode="External"/><Relationship Id="rId246" Type="http://schemas.openxmlformats.org/officeDocument/2006/relationships/hyperlink" Target="http://aka.ms/DIDIA6" TargetMode="External"/><Relationship Id="rId267" Type="http://schemas.openxmlformats.org/officeDocument/2006/relationships/hyperlink" Target="http://aka.ms/DUSRAC14" TargetMode="External"/><Relationship Id="rId106" Type="http://schemas.openxmlformats.org/officeDocument/2006/relationships/hyperlink" Target="http://aka.ms/PUSRAC4" TargetMode="External"/><Relationship Id="rId127" Type="http://schemas.openxmlformats.org/officeDocument/2006/relationships/hyperlink" Target="http://aka.ms/DDPATP14" TargetMode="External"/><Relationship Id="rId10" Type="http://schemas.openxmlformats.org/officeDocument/2006/relationships/hyperlink" Target="http://aka.ms/DDPATP17" TargetMode="External"/><Relationship Id="rId31" Type="http://schemas.openxmlformats.org/officeDocument/2006/relationships/hyperlink" Target="http://aka.ms/DDPDL2" TargetMode="External"/><Relationship Id="rId52" Type="http://schemas.openxmlformats.org/officeDocument/2006/relationships/hyperlink" Target="http://aka.ms/DUSRAC11" TargetMode="External"/><Relationship Id="rId73" Type="http://schemas.openxmlformats.org/officeDocument/2006/relationships/hyperlink" Target="http://aka.ms/PDMDEL2" TargetMode="External"/><Relationship Id="rId94" Type="http://schemas.openxmlformats.org/officeDocument/2006/relationships/hyperlink" Target="http://aka.ms/PDPEnc15" TargetMode="External"/><Relationship Id="rId148" Type="http://schemas.openxmlformats.org/officeDocument/2006/relationships/hyperlink" Target="http://aka.ms/DAULog31" TargetMode="External"/><Relationship Id="rId169" Type="http://schemas.openxmlformats.org/officeDocument/2006/relationships/hyperlink" Target="http://aka.ms/DCMCLI32" TargetMode="External"/><Relationship Id="rId4" Type="http://schemas.openxmlformats.org/officeDocument/2006/relationships/hyperlink" Target="http://aka.ms/DADMAC7" TargetMode="External"/><Relationship Id="rId180" Type="http://schemas.openxmlformats.org/officeDocument/2006/relationships/hyperlink" Target="http://aka.ms/DDPDIS4" TargetMode="External"/><Relationship Id="rId215" Type="http://schemas.openxmlformats.org/officeDocument/2006/relationships/hyperlink" Target="http://aka.ms/DDPDR8" TargetMode="External"/><Relationship Id="rId236" Type="http://schemas.openxmlformats.org/officeDocument/2006/relationships/hyperlink" Target="https://aka.ms/IA242" TargetMode="External"/><Relationship Id="rId257" Type="http://schemas.openxmlformats.org/officeDocument/2006/relationships/hyperlink" Target="http://aka.ms/DUSRAC3" TargetMode="External"/><Relationship Id="rId278" Type="http://schemas.openxmlformats.org/officeDocument/2006/relationships/hyperlink" Target="https://aka.ms/daulog40" TargetMode="External"/><Relationship Id="rId42" Type="http://schemas.openxmlformats.org/officeDocument/2006/relationships/hyperlink" Target="http://aka.ms/DAUIA2" TargetMode="External"/><Relationship Id="rId84" Type="http://schemas.openxmlformats.org/officeDocument/2006/relationships/hyperlink" Target="http://aka.ms/PDPDL9" TargetMode="External"/><Relationship Id="rId138" Type="http://schemas.openxmlformats.org/officeDocument/2006/relationships/hyperlink" Target="http://aka.ms/DAULog9" TargetMode="External"/><Relationship Id="rId191" Type="http://schemas.openxmlformats.org/officeDocument/2006/relationships/hyperlink" Target="http://aka.ms/DDPDL7" TargetMode="External"/><Relationship Id="rId205" Type="http://schemas.openxmlformats.org/officeDocument/2006/relationships/hyperlink" Target="http://aka.ms/DDPPRE8" TargetMode="External"/><Relationship Id="rId247" Type="http://schemas.openxmlformats.org/officeDocument/2006/relationships/hyperlink" Target="http://aka.ms/DDPIR14" TargetMode="External"/><Relationship Id="rId107" Type="http://schemas.openxmlformats.org/officeDocument/2006/relationships/hyperlink" Target="http://aka.ms/PUSRAC6" TargetMode="External"/><Relationship Id="rId11" Type="http://schemas.openxmlformats.org/officeDocument/2006/relationships/hyperlink" Target="http://aka.ms/DDPATP18" TargetMode="External"/><Relationship Id="rId53" Type="http://schemas.openxmlformats.org/officeDocument/2006/relationships/hyperlink" Target="http://aka.ms/DUSRAC20" TargetMode="External"/><Relationship Id="rId149" Type="http://schemas.openxmlformats.org/officeDocument/2006/relationships/hyperlink" Target="http://aka.ms/DAulog32" TargetMode="External"/><Relationship Id="rId95" Type="http://schemas.openxmlformats.org/officeDocument/2006/relationships/hyperlink" Target="http://aka.ms/PAUIA3" TargetMode="External"/><Relationship Id="rId160" Type="http://schemas.openxmlformats.org/officeDocument/2006/relationships/hyperlink" Target="https://aka.ms/DCM1415" TargetMode="External"/><Relationship Id="rId216" Type="http://schemas.openxmlformats.org/officeDocument/2006/relationships/hyperlink" Target="http://aka.ms/DDPDR9" TargetMode="External"/><Relationship Id="rId258" Type="http://schemas.openxmlformats.org/officeDocument/2006/relationships/hyperlink" Target="http://aka.ms/DUSRAC4"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aka.ms/PADMAC8" TargetMode="External"/><Relationship Id="rId18" Type="http://schemas.openxmlformats.org/officeDocument/2006/relationships/hyperlink" Target="http://aka.ms/DAULog3" TargetMode="External"/><Relationship Id="rId26" Type="http://schemas.openxmlformats.org/officeDocument/2006/relationships/hyperlink" Target="https://aka.ms/daulog42" TargetMode="External"/><Relationship Id="rId3" Type="http://schemas.openxmlformats.org/officeDocument/2006/relationships/hyperlink" Target="http://aka.ms/PADMAC3" TargetMode="External"/><Relationship Id="rId21" Type="http://schemas.openxmlformats.org/officeDocument/2006/relationships/hyperlink" Target="http://aka.ms/DAULog7" TargetMode="External"/><Relationship Id="rId34" Type="http://schemas.openxmlformats.org/officeDocument/2006/relationships/drawing" Target="../drawings/drawing8.xml"/><Relationship Id="rId7" Type="http://schemas.openxmlformats.org/officeDocument/2006/relationships/hyperlink" Target="http://aka.ms/DADMAC4" TargetMode="External"/><Relationship Id="rId12" Type="http://schemas.openxmlformats.org/officeDocument/2006/relationships/hyperlink" Target="http://aka.ms/PADMAC7" TargetMode="External"/><Relationship Id="rId17" Type="http://schemas.openxmlformats.org/officeDocument/2006/relationships/hyperlink" Target="http://aka.ms/DAULog2" TargetMode="External"/><Relationship Id="rId25" Type="http://schemas.openxmlformats.org/officeDocument/2006/relationships/hyperlink" Target="https://aka.ms/daulog41" TargetMode="External"/><Relationship Id="rId33" Type="http://schemas.openxmlformats.org/officeDocument/2006/relationships/printerSettings" Target="../printerSettings/printerSettings8.bin"/><Relationship Id="rId2" Type="http://schemas.openxmlformats.org/officeDocument/2006/relationships/hyperlink" Target="http://aka.ms/PADMAC2" TargetMode="External"/><Relationship Id="rId16" Type="http://schemas.openxmlformats.org/officeDocument/2006/relationships/hyperlink" Target="http://aka.ms/DADMAC13" TargetMode="External"/><Relationship Id="rId20" Type="http://schemas.openxmlformats.org/officeDocument/2006/relationships/hyperlink" Target="http://aka.ms/DAULog6" TargetMode="External"/><Relationship Id="rId29" Type="http://schemas.openxmlformats.org/officeDocument/2006/relationships/hyperlink" Target="http://aka.ms/DAU600" TargetMode="External"/><Relationship Id="rId1" Type="http://schemas.openxmlformats.org/officeDocument/2006/relationships/hyperlink" Target="http://aka.ms/DADMAC2" TargetMode="External"/><Relationship Id="rId6" Type="http://schemas.openxmlformats.org/officeDocument/2006/relationships/hyperlink" Target="http://aka.ms/DADMAC3" TargetMode="External"/><Relationship Id="rId11" Type="http://schemas.openxmlformats.org/officeDocument/2006/relationships/hyperlink" Target="http://aka.ms/DADMAC9" TargetMode="External"/><Relationship Id="rId24" Type="http://schemas.openxmlformats.org/officeDocument/2006/relationships/hyperlink" Target="https://aka.ms/daulog40" TargetMode="External"/><Relationship Id="rId32" Type="http://schemas.openxmlformats.org/officeDocument/2006/relationships/hyperlink" Target="http://aka.ms/DUSRAC5" TargetMode="External"/><Relationship Id="rId5" Type="http://schemas.openxmlformats.org/officeDocument/2006/relationships/hyperlink" Target="http://aka.ms/PADMAC5" TargetMode="External"/><Relationship Id="rId15" Type="http://schemas.openxmlformats.org/officeDocument/2006/relationships/hyperlink" Target="http://aka.ms/DADMAC10" TargetMode="External"/><Relationship Id="rId23" Type="http://schemas.openxmlformats.org/officeDocument/2006/relationships/hyperlink" Target="https://aka.ms/daulog39" TargetMode="External"/><Relationship Id="rId28" Type="http://schemas.openxmlformats.org/officeDocument/2006/relationships/hyperlink" Target="http://aka.ms/DAULog23" TargetMode="External"/><Relationship Id="rId10" Type="http://schemas.openxmlformats.org/officeDocument/2006/relationships/hyperlink" Target="http://aka.ms/DADMAC7" TargetMode="External"/><Relationship Id="rId19" Type="http://schemas.openxmlformats.org/officeDocument/2006/relationships/hyperlink" Target="http://aka.ms/DAULog5" TargetMode="External"/><Relationship Id="rId31" Type="http://schemas.openxmlformats.org/officeDocument/2006/relationships/hyperlink" Target="http://aka.ms/DAULog13" TargetMode="External"/><Relationship Id="rId4" Type="http://schemas.openxmlformats.org/officeDocument/2006/relationships/hyperlink" Target="http://aka.ms/PADMAC4" TargetMode="External"/><Relationship Id="rId9" Type="http://schemas.openxmlformats.org/officeDocument/2006/relationships/hyperlink" Target="http://aka.ms/DADMAC12" TargetMode="External"/><Relationship Id="rId14" Type="http://schemas.openxmlformats.org/officeDocument/2006/relationships/hyperlink" Target="http://aka.ms/DADMAC8" TargetMode="External"/><Relationship Id="rId22" Type="http://schemas.openxmlformats.org/officeDocument/2006/relationships/hyperlink" Target="http://aka.ms/DAULog9" TargetMode="External"/><Relationship Id="rId27" Type="http://schemas.openxmlformats.org/officeDocument/2006/relationships/hyperlink" Target="https://aka.ms/daulog43" TargetMode="External"/><Relationship Id="rId30" Type="http://schemas.openxmlformats.org/officeDocument/2006/relationships/hyperlink" Target="http://aka.ms/DAULog12" TargetMode="External"/><Relationship Id="rId8" Type="http://schemas.openxmlformats.org/officeDocument/2006/relationships/hyperlink" Target="http://aka.ms/DADMAC5"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aka.ms/DAUIA3" TargetMode="External"/><Relationship Id="rId13" Type="http://schemas.openxmlformats.org/officeDocument/2006/relationships/hyperlink" Target="http://aka.ms/DAUIA10" TargetMode="External"/><Relationship Id="rId18" Type="http://schemas.openxmlformats.org/officeDocument/2006/relationships/hyperlink" Target="http://aka.ms/PAUIA12" TargetMode="External"/><Relationship Id="rId26" Type="http://schemas.openxmlformats.org/officeDocument/2006/relationships/hyperlink" Target="http://aka.ms/DAUIA15" TargetMode="External"/><Relationship Id="rId3" Type="http://schemas.openxmlformats.org/officeDocument/2006/relationships/hyperlink" Target="http://aka.ms/DAULog28" TargetMode="External"/><Relationship Id="rId21" Type="http://schemas.openxmlformats.org/officeDocument/2006/relationships/hyperlink" Target="http://aka.ms/DAUIA9" TargetMode="External"/><Relationship Id="rId7" Type="http://schemas.openxmlformats.org/officeDocument/2006/relationships/hyperlink" Target="http://aka.ms/PAUIA3" TargetMode="External"/><Relationship Id="rId12" Type="http://schemas.openxmlformats.org/officeDocument/2006/relationships/hyperlink" Target="https://aka.ms/DIA218" TargetMode="External"/><Relationship Id="rId17" Type="http://schemas.openxmlformats.org/officeDocument/2006/relationships/hyperlink" Target="http://aka.ms/PAUIA9" TargetMode="External"/><Relationship Id="rId25" Type="http://schemas.openxmlformats.org/officeDocument/2006/relationships/hyperlink" Target="http://aka.ms/DAUIA14" TargetMode="External"/><Relationship Id="rId2" Type="http://schemas.openxmlformats.org/officeDocument/2006/relationships/hyperlink" Target="http://aka.ms/DAULog3" TargetMode="External"/><Relationship Id="rId16" Type="http://schemas.openxmlformats.org/officeDocument/2006/relationships/hyperlink" Target="http://aka.ms/PAUIA8" TargetMode="External"/><Relationship Id="rId20" Type="http://schemas.openxmlformats.org/officeDocument/2006/relationships/hyperlink" Target="http://aka.ms/DAUIA8" TargetMode="External"/><Relationship Id="rId29" Type="http://schemas.openxmlformats.org/officeDocument/2006/relationships/hyperlink" Target="http://aka.ms/DAUIA17" TargetMode="External"/><Relationship Id="rId1" Type="http://schemas.openxmlformats.org/officeDocument/2006/relationships/hyperlink" Target="http://aka.ms/DAULog2" TargetMode="External"/><Relationship Id="rId6" Type="http://schemas.openxmlformats.org/officeDocument/2006/relationships/hyperlink" Target="http://aka.ms/DAUIA2" TargetMode="External"/><Relationship Id="rId11" Type="http://schemas.openxmlformats.org/officeDocument/2006/relationships/hyperlink" Target="http://aka.ms/PAUIA6" TargetMode="External"/><Relationship Id="rId24" Type="http://schemas.openxmlformats.org/officeDocument/2006/relationships/hyperlink" Target="http://aka.ms/DAUIA12" TargetMode="External"/><Relationship Id="rId32" Type="http://schemas.openxmlformats.org/officeDocument/2006/relationships/drawing" Target="../drawings/drawing9.xml"/><Relationship Id="rId5" Type="http://schemas.openxmlformats.org/officeDocument/2006/relationships/hyperlink" Target="http://aka.ms/DCMCLI11" TargetMode="External"/><Relationship Id="rId15" Type="http://schemas.openxmlformats.org/officeDocument/2006/relationships/hyperlink" Target="http://aka.ms/PAUIA7" TargetMode="External"/><Relationship Id="rId23" Type="http://schemas.openxmlformats.org/officeDocument/2006/relationships/hyperlink" Target="https://aka.ms/IA242" TargetMode="External"/><Relationship Id="rId28" Type="http://schemas.openxmlformats.org/officeDocument/2006/relationships/hyperlink" Target="http://aka.ms/DAUIA19" TargetMode="External"/><Relationship Id="rId10" Type="http://schemas.openxmlformats.org/officeDocument/2006/relationships/hyperlink" Target="http://aka.ms/DAUIA6" TargetMode="External"/><Relationship Id="rId19" Type="http://schemas.openxmlformats.org/officeDocument/2006/relationships/hyperlink" Target="http://aka.ms/DAUIA7" TargetMode="External"/><Relationship Id="rId31" Type="http://schemas.openxmlformats.org/officeDocument/2006/relationships/hyperlink" Target="https://aka.ms/dia217" TargetMode="External"/><Relationship Id="rId4" Type="http://schemas.openxmlformats.org/officeDocument/2006/relationships/hyperlink" Target="http://aka.ms/DAULog29" TargetMode="External"/><Relationship Id="rId9" Type="http://schemas.openxmlformats.org/officeDocument/2006/relationships/hyperlink" Target="http://aka.ms/DAUIA4" TargetMode="External"/><Relationship Id="rId14" Type="http://schemas.openxmlformats.org/officeDocument/2006/relationships/hyperlink" Target="http://aka.ms/DAUIA11" TargetMode="External"/><Relationship Id="rId22" Type="http://schemas.openxmlformats.org/officeDocument/2006/relationships/hyperlink" Target="https://aka.ms/IA241" TargetMode="External"/><Relationship Id="rId27" Type="http://schemas.openxmlformats.org/officeDocument/2006/relationships/hyperlink" Target="http://aka.ms/DAUIA18" TargetMode="External"/><Relationship Id="rId30" Type="http://schemas.openxmlformats.org/officeDocument/2006/relationships/hyperlink" Target="http://aka.ms/DAUIA17"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aka.ms/PDPATP9" TargetMode="External"/><Relationship Id="rId13" Type="http://schemas.openxmlformats.org/officeDocument/2006/relationships/hyperlink" Target="http://aka.ms/DDPDR8" TargetMode="External"/><Relationship Id="rId3" Type="http://schemas.openxmlformats.org/officeDocument/2006/relationships/hyperlink" Target="http://aka.ms/DDPATP7" TargetMode="External"/><Relationship Id="rId7" Type="http://schemas.openxmlformats.org/officeDocument/2006/relationships/hyperlink" Target="http://aka.ms/DDPATP6" TargetMode="External"/><Relationship Id="rId12" Type="http://schemas.openxmlformats.org/officeDocument/2006/relationships/hyperlink" Target="http://aka.ms/DDPATP18" TargetMode="External"/><Relationship Id="rId17" Type="http://schemas.openxmlformats.org/officeDocument/2006/relationships/drawing" Target="../drawings/drawing10.xml"/><Relationship Id="rId2" Type="http://schemas.openxmlformats.org/officeDocument/2006/relationships/hyperlink" Target="http://aka.ms/DDPATP2" TargetMode="External"/><Relationship Id="rId16" Type="http://schemas.openxmlformats.org/officeDocument/2006/relationships/printerSettings" Target="../printerSettings/printerSettings9.bin"/><Relationship Id="rId1" Type="http://schemas.openxmlformats.org/officeDocument/2006/relationships/hyperlink" Target="http://aka.ms/DADMAC9" TargetMode="External"/><Relationship Id="rId6" Type="http://schemas.openxmlformats.org/officeDocument/2006/relationships/hyperlink" Target="http://aka.ms/DDPATP5" TargetMode="External"/><Relationship Id="rId11" Type="http://schemas.openxmlformats.org/officeDocument/2006/relationships/hyperlink" Target="http://aka.ms/DDPATP16" TargetMode="External"/><Relationship Id="rId5" Type="http://schemas.openxmlformats.org/officeDocument/2006/relationships/hyperlink" Target="http://aka.ms/DDPATP4" TargetMode="External"/><Relationship Id="rId15" Type="http://schemas.openxmlformats.org/officeDocument/2006/relationships/hyperlink" Target="http://aka.ms/DUSRAC12" TargetMode="External"/><Relationship Id="rId10" Type="http://schemas.openxmlformats.org/officeDocument/2006/relationships/hyperlink" Target="http://aka.ms/DDPATP9" TargetMode="External"/><Relationship Id="rId4" Type="http://schemas.openxmlformats.org/officeDocument/2006/relationships/hyperlink" Target="http://aka.ms/PDPATP6" TargetMode="External"/><Relationship Id="rId9" Type="http://schemas.openxmlformats.org/officeDocument/2006/relationships/hyperlink" Target="http://aka.ms/DDPATP20" TargetMode="External"/><Relationship Id="rId14" Type="http://schemas.openxmlformats.org/officeDocument/2006/relationships/hyperlink" Target="http://aka.ms/DUSRAC10"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aka.ms/IA241" TargetMode="External"/><Relationship Id="rId13" Type="http://schemas.openxmlformats.org/officeDocument/2006/relationships/printerSettings" Target="../printerSettings/printerSettings10.bin"/><Relationship Id="rId3" Type="http://schemas.openxmlformats.org/officeDocument/2006/relationships/hyperlink" Target="http://aka.ms/DIDIA2" TargetMode="External"/><Relationship Id="rId7" Type="http://schemas.openxmlformats.org/officeDocument/2006/relationships/hyperlink" Target="http://aka.ms/DAUIA4" TargetMode="External"/><Relationship Id="rId12" Type="http://schemas.openxmlformats.org/officeDocument/2006/relationships/hyperlink" Target="http://aka.ms/DDPEnc8" TargetMode="External"/><Relationship Id="rId2" Type="http://schemas.openxmlformats.org/officeDocument/2006/relationships/hyperlink" Target="http://aka.ms/DDPIR14" TargetMode="External"/><Relationship Id="rId1" Type="http://schemas.openxmlformats.org/officeDocument/2006/relationships/hyperlink" Target="http://aka.ms/DDPIR13" TargetMode="External"/><Relationship Id="rId6" Type="http://schemas.openxmlformats.org/officeDocument/2006/relationships/hyperlink" Target="https://aka.ms/IA242" TargetMode="External"/><Relationship Id="rId11" Type="http://schemas.openxmlformats.org/officeDocument/2006/relationships/hyperlink" Target="http://aka.ms/DDPDR9" TargetMode="External"/><Relationship Id="rId5" Type="http://schemas.openxmlformats.org/officeDocument/2006/relationships/hyperlink" Target="http://aka.ms/DDPIR4" TargetMode="External"/><Relationship Id="rId15" Type="http://schemas.openxmlformats.org/officeDocument/2006/relationships/table" Target="../tables/table6.xml"/><Relationship Id="rId10" Type="http://schemas.openxmlformats.org/officeDocument/2006/relationships/hyperlink" Target="http://aka.ms/DDPDR7" TargetMode="External"/><Relationship Id="rId4" Type="http://schemas.openxmlformats.org/officeDocument/2006/relationships/hyperlink" Target="http://aka.ms/PIDIA2" TargetMode="External"/><Relationship Id="rId9" Type="http://schemas.openxmlformats.org/officeDocument/2006/relationships/hyperlink" Target="http://aka.ms/DDPEnc9" TargetMode="External"/><Relationship Id="rId1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8" Type="http://schemas.openxmlformats.org/officeDocument/2006/relationships/hyperlink" Target="https://aka.ms/IA242" TargetMode="External"/><Relationship Id="rId13" Type="http://schemas.openxmlformats.org/officeDocument/2006/relationships/table" Target="../tables/table7.xml"/><Relationship Id="rId3" Type="http://schemas.openxmlformats.org/officeDocument/2006/relationships/hyperlink" Target="http://aka.ms/DAULog25" TargetMode="External"/><Relationship Id="rId7" Type="http://schemas.openxmlformats.org/officeDocument/2006/relationships/hyperlink" Target="https://aka.ms/dia201" TargetMode="External"/><Relationship Id="rId12" Type="http://schemas.openxmlformats.org/officeDocument/2006/relationships/drawing" Target="../drawings/drawing12.xml"/><Relationship Id="rId2" Type="http://schemas.openxmlformats.org/officeDocument/2006/relationships/hyperlink" Target="http://aka.ms/DAULog26" TargetMode="External"/><Relationship Id="rId1" Type="http://schemas.openxmlformats.org/officeDocument/2006/relationships/hyperlink" Target="http://aka.ms/DAULog33" TargetMode="External"/><Relationship Id="rId6" Type="http://schemas.openxmlformats.org/officeDocument/2006/relationships/hyperlink" Target="http://aka.ms/DDPIR13" TargetMode="External"/><Relationship Id="rId11" Type="http://schemas.openxmlformats.org/officeDocument/2006/relationships/printerSettings" Target="../printerSettings/printerSettings11.bin"/><Relationship Id="rId5" Type="http://schemas.openxmlformats.org/officeDocument/2006/relationships/hyperlink" Target="https://aka.ms/DCM1423" TargetMode="External"/><Relationship Id="rId10" Type="http://schemas.openxmlformats.org/officeDocument/2006/relationships/hyperlink" Target="http://aka.ms/DDPEnc8" TargetMode="External"/><Relationship Id="rId4" Type="http://schemas.openxmlformats.org/officeDocument/2006/relationships/hyperlink" Target="http://aka.ms/dcmcli27" TargetMode="External"/><Relationship Id="rId9" Type="http://schemas.openxmlformats.org/officeDocument/2006/relationships/hyperlink" Target="http://aka.ms/DDPEnc9"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aka.ms/dia201" TargetMode="External"/><Relationship Id="rId13" Type="http://schemas.openxmlformats.org/officeDocument/2006/relationships/hyperlink" Target="http://aka.ms/DAULog33" TargetMode="External"/><Relationship Id="rId18" Type="http://schemas.openxmlformats.org/officeDocument/2006/relationships/hyperlink" Target="http://aka.ms/daulog37" TargetMode="External"/><Relationship Id="rId26" Type="http://schemas.openxmlformats.org/officeDocument/2006/relationships/drawing" Target="../drawings/drawing13.xml"/><Relationship Id="rId3" Type="http://schemas.openxmlformats.org/officeDocument/2006/relationships/hyperlink" Target="http://aka.ms/DIDIA2" TargetMode="External"/><Relationship Id="rId21" Type="http://schemas.openxmlformats.org/officeDocument/2006/relationships/hyperlink" Target="http://aka.ms/DDPATP15" TargetMode="External"/><Relationship Id="rId7" Type="http://schemas.openxmlformats.org/officeDocument/2006/relationships/hyperlink" Target="http://aka.ms/DUSRAC3" TargetMode="External"/><Relationship Id="rId12" Type="http://schemas.openxmlformats.org/officeDocument/2006/relationships/hyperlink" Target="http://aka.ms/dcmcli27" TargetMode="External"/><Relationship Id="rId17" Type="http://schemas.openxmlformats.org/officeDocument/2006/relationships/hyperlink" Target="https://aka.ms/daulog44" TargetMode="External"/><Relationship Id="rId25" Type="http://schemas.openxmlformats.org/officeDocument/2006/relationships/printerSettings" Target="../printerSettings/printerSettings12.bin"/><Relationship Id="rId2" Type="http://schemas.openxmlformats.org/officeDocument/2006/relationships/hyperlink" Target="http://aka.ms/DUSRAC4" TargetMode="External"/><Relationship Id="rId16" Type="http://schemas.openxmlformats.org/officeDocument/2006/relationships/hyperlink" Target="http://aka.ms/DAULog21" TargetMode="External"/><Relationship Id="rId20" Type="http://schemas.openxmlformats.org/officeDocument/2006/relationships/hyperlink" Target="http://aka.ms/daulog35" TargetMode="External"/><Relationship Id="rId1" Type="http://schemas.openxmlformats.org/officeDocument/2006/relationships/hyperlink" Target="http://aka.ms/PUSRAC4" TargetMode="External"/><Relationship Id="rId6" Type="http://schemas.openxmlformats.org/officeDocument/2006/relationships/hyperlink" Target="https://aka.ms/DIA218" TargetMode="External"/><Relationship Id="rId11" Type="http://schemas.openxmlformats.org/officeDocument/2006/relationships/hyperlink" Target="http://aka.ms/DAU600" TargetMode="External"/><Relationship Id="rId24" Type="http://schemas.openxmlformats.org/officeDocument/2006/relationships/hyperlink" Target="https://aka.ms/daulog45" TargetMode="External"/><Relationship Id="rId5" Type="http://schemas.openxmlformats.org/officeDocument/2006/relationships/hyperlink" Target="http://aka.ms/PIDIA3" TargetMode="External"/><Relationship Id="rId15" Type="http://schemas.openxmlformats.org/officeDocument/2006/relationships/hyperlink" Target="http://aka.ms/DAULog23" TargetMode="External"/><Relationship Id="rId23" Type="http://schemas.openxmlformats.org/officeDocument/2006/relationships/hyperlink" Target="https://aka.ms/daulog46" TargetMode="External"/><Relationship Id="rId10" Type="http://schemas.openxmlformats.org/officeDocument/2006/relationships/hyperlink" Target="http://aka.ms/DAULog26" TargetMode="External"/><Relationship Id="rId19" Type="http://schemas.openxmlformats.org/officeDocument/2006/relationships/hyperlink" Target="http://aka.ms/daulog36" TargetMode="External"/><Relationship Id="rId4" Type="http://schemas.openxmlformats.org/officeDocument/2006/relationships/hyperlink" Target="http://aka.ms/PIDIA2" TargetMode="External"/><Relationship Id="rId9" Type="http://schemas.openxmlformats.org/officeDocument/2006/relationships/hyperlink" Target="http://aka.ms/DDPEnc4" TargetMode="External"/><Relationship Id="rId14" Type="http://schemas.openxmlformats.org/officeDocument/2006/relationships/hyperlink" Target="http://aka.ms/DAULog24" TargetMode="External"/><Relationship Id="rId22" Type="http://schemas.openxmlformats.org/officeDocument/2006/relationships/hyperlink" Target="http://aka.ms/daulog34" TargetMode="External"/><Relationship Id="rId27"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8" Type="http://schemas.openxmlformats.org/officeDocument/2006/relationships/hyperlink" Target="http://aka.ms/PDPATP6" TargetMode="External"/><Relationship Id="rId13" Type="http://schemas.openxmlformats.org/officeDocument/2006/relationships/hyperlink" Target="http://aka.ms/PDPATP17" TargetMode="External"/><Relationship Id="rId18" Type="http://schemas.openxmlformats.org/officeDocument/2006/relationships/hyperlink" Target="http://aka.ms/DDPATP10" TargetMode="External"/><Relationship Id="rId26" Type="http://schemas.openxmlformats.org/officeDocument/2006/relationships/drawing" Target="../drawings/drawing14.xml"/><Relationship Id="rId3" Type="http://schemas.openxmlformats.org/officeDocument/2006/relationships/hyperlink" Target="http://aka.ms/DDPATP4" TargetMode="External"/><Relationship Id="rId21" Type="http://schemas.openxmlformats.org/officeDocument/2006/relationships/hyperlink" Target="http://aka.ms/DDPATP13" TargetMode="External"/><Relationship Id="rId7" Type="http://schemas.openxmlformats.org/officeDocument/2006/relationships/hyperlink" Target="http://aka.ms/DDPATP19" TargetMode="External"/><Relationship Id="rId12" Type="http://schemas.openxmlformats.org/officeDocument/2006/relationships/hyperlink" Target="http://aka.ms/PDPATP12" TargetMode="External"/><Relationship Id="rId17" Type="http://schemas.openxmlformats.org/officeDocument/2006/relationships/hyperlink" Target="http://aka.ms/DDPATP9" TargetMode="External"/><Relationship Id="rId25" Type="http://schemas.openxmlformats.org/officeDocument/2006/relationships/printerSettings" Target="../printerSettings/printerSettings13.bin"/><Relationship Id="rId2" Type="http://schemas.openxmlformats.org/officeDocument/2006/relationships/hyperlink" Target="http://aka.ms/DDPATP3" TargetMode="External"/><Relationship Id="rId16" Type="http://schemas.openxmlformats.org/officeDocument/2006/relationships/hyperlink" Target="http://aka.ms/DDPATP20" TargetMode="External"/><Relationship Id="rId20" Type="http://schemas.openxmlformats.org/officeDocument/2006/relationships/hyperlink" Target="http://aka.ms/DDPATP12" TargetMode="External"/><Relationship Id="rId1" Type="http://schemas.openxmlformats.org/officeDocument/2006/relationships/hyperlink" Target="http://aka.ms/DDPATP2" TargetMode="External"/><Relationship Id="rId6" Type="http://schemas.openxmlformats.org/officeDocument/2006/relationships/hyperlink" Target="http://aka.ms/DDPATP18" TargetMode="External"/><Relationship Id="rId11" Type="http://schemas.openxmlformats.org/officeDocument/2006/relationships/hyperlink" Target="http://aka.ms/PDPATP11" TargetMode="External"/><Relationship Id="rId24" Type="http://schemas.openxmlformats.org/officeDocument/2006/relationships/hyperlink" Target="http://aka.ms/DDPATP16" TargetMode="External"/><Relationship Id="rId5" Type="http://schemas.openxmlformats.org/officeDocument/2006/relationships/hyperlink" Target="http://aka.ms/DDPATP17" TargetMode="External"/><Relationship Id="rId15" Type="http://schemas.openxmlformats.org/officeDocument/2006/relationships/hyperlink" Target="http://aka.ms/DDPATP8" TargetMode="External"/><Relationship Id="rId23" Type="http://schemas.openxmlformats.org/officeDocument/2006/relationships/hyperlink" Target="http://aka.ms/DDPATP15" TargetMode="External"/><Relationship Id="rId10" Type="http://schemas.openxmlformats.org/officeDocument/2006/relationships/hyperlink" Target="http://aka.ms/PDPATP10" TargetMode="External"/><Relationship Id="rId19" Type="http://schemas.openxmlformats.org/officeDocument/2006/relationships/hyperlink" Target="http://aka.ms/DDPATP11" TargetMode="External"/><Relationship Id="rId4" Type="http://schemas.openxmlformats.org/officeDocument/2006/relationships/hyperlink" Target="http://aka.ms/DDPATP7" TargetMode="External"/><Relationship Id="rId9" Type="http://schemas.openxmlformats.org/officeDocument/2006/relationships/hyperlink" Target="http://aka.ms/PDPATP9" TargetMode="External"/><Relationship Id="rId14" Type="http://schemas.openxmlformats.org/officeDocument/2006/relationships/hyperlink" Target="http://aka.ms/DDPATP6" TargetMode="External"/><Relationship Id="rId22" Type="http://schemas.openxmlformats.org/officeDocument/2006/relationships/hyperlink" Target="http://aka.ms/DDPATP14" TargetMode="External"/><Relationship Id="rId27"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8" Type="http://schemas.openxmlformats.org/officeDocument/2006/relationships/hyperlink" Target="http://aka.ms/DDPEnc6" TargetMode="External"/><Relationship Id="rId3" Type="http://schemas.openxmlformats.org/officeDocument/2006/relationships/hyperlink" Target="http://aka.ms/DAULog33" TargetMode="External"/><Relationship Id="rId7" Type="http://schemas.openxmlformats.org/officeDocument/2006/relationships/hyperlink" Target="http://aka.ms/DAulog32" TargetMode="External"/><Relationship Id="rId2" Type="http://schemas.openxmlformats.org/officeDocument/2006/relationships/hyperlink" Target="http://aka.ms/DAULog10" TargetMode="External"/><Relationship Id="rId1" Type="http://schemas.openxmlformats.org/officeDocument/2006/relationships/hyperlink" Target="http://aka.ms/DADMAC11" TargetMode="External"/><Relationship Id="rId6" Type="http://schemas.openxmlformats.org/officeDocument/2006/relationships/hyperlink" Target="http://aka.ms/DAULog31" TargetMode="External"/><Relationship Id="rId11" Type="http://schemas.openxmlformats.org/officeDocument/2006/relationships/table" Target="../tables/table10.xml"/><Relationship Id="rId5" Type="http://schemas.openxmlformats.org/officeDocument/2006/relationships/hyperlink" Target="http://aka.ms/DAULog25" TargetMode="External"/><Relationship Id="rId10" Type="http://schemas.openxmlformats.org/officeDocument/2006/relationships/drawing" Target="../drawings/drawing15.xml"/><Relationship Id="rId4" Type="http://schemas.openxmlformats.org/officeDocument/2006/relationships/hyperlink" Target="http://aka.ms/DAULog26" TargetMode="External"/><Relationship Id="rId9"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8:I310"/>
  <sheetViews>
    <sheetView showGridLines="0" showRowColHeaders="0" zoomScale="96" zoomScaleNormal="96" workbookViewId="0"/>
  </sheetViews>
  <sheetFormatPr defaultColWidth="9.140625" defaultRowHeight="15" x14ac:dyDescent="0.25"/>
  <cols>
    <col min="1" max="16384" width="9.140625" style="1"/>
  </cols>
  <sheetData>
    <row r="28" spans="9:9" x14ac:dyDescent="0.25">
      <c r="I28" s="23"/>
    </row>
    <row r="306" spans="1:2" x14ac:dyDescent="0.25">
      <c r="A306" s="1" t="s">
        <v>322</v>
      </c>
      <c r="B306" s="1" t="str">
        <f>CONCATENATE('Data resiliency'!$H$56,"/",'Data resiliency'!$A$56," Assessed")</f>
        <v>0/13 Assessed</v>
      </c>
    </row>
    <row r="307" spans="1:2" x14ac:dyDescent="0.25">
      <c r="A307" s="1" t="s">
        <v>319</v>
      </c>
      <c r="B307" s="1" t="str">
        <f>CONCATENATE('Access Control'!$H$57,"/",'Access Control'!$A$57," Assessed")</f>
        <v>0/41 Assessed</v>
      </c>
    </row>
    <row r="308" spans="1:2" x14ac:dyDescent="0.25">
      <c r="A308" s="1" t="s">
        <v>320</v>
      </c>
      <c r="B308" s="1" t="str">
        <f>CONCATENATE('Data Leakage'!$H$96,"/",'Data Leakage'!$A$96," Assessed")</f>
        <v>0/82 Assessed</v>
      </c>
    </row>
    <row r="309" spans="1:2" x14ac:dyDescent="0.25">
      <c r="A309" s="1" t="s">
        <v>325</v>
      </c>
      <c r="B309" s="1" t="str">
        <f>CONCATENATE('Security &amp; Compliance'!$H$134,"/",'Security &amp; Compliance'!$A$134," Assessed")</f>
        <v>0/80 Assessed</v>
      </c>
    </row>
    <row r="310" spans="1:2" x14ac:dyDescent="0.25">
      <c r="A310" s="1" t="s">
        <v>321</v>
      </c>
      <c r="B310" s="1" t="str">
        <f>CONCATENATE('Incident Response'!$H$101,"/",'Incident Response'!$A$101," Assessed")</f>
        <v>0/63 Assessed</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showGridLines="0" showRowColHeaders="0" zoomScale="91" zoomScaleNormal="91" workbookViewId="0">
      <pane ySplit="1" topLeftCell="A2" activePane="bottomLeft" state="frozen"/>
      <selection pane="bottomLeft" activeCell="C10" sqref="C10"/>
    </sheetView>
  </sheetViews>
  <sheetFormatPr defaultColWidth="9.140625" defaultRowHeight="15" x14ac:dyDescent="0.25"/>
  <cols>
    <col min="1" max="1" width="10.85546875" style="1" customWidth="1"/>
    <col min="2" max="2" width="19.42578125" style="1" customWidth="1"/>
    <col min="3" max="3" width="29.5703125" style="1" customWidth="1"/>
    <col min="4" max="4" width="50.5703125" style="1" customWidth="1"/>
    <col min="5" max="5" width="21.5703125" style="1" customWidth="1"/>
    <col min="6" max="6" width="31.42578125" style="1" customWidth="1"/>
    <col min="7" max="7" width="24.28515625" style="1" customWidth="1"/>
    <col min="8" max="8" width="19.42578125" style="1" customWidth="1"/>
    <col min="9" max="16384" width="9.140625" style="1"/>
  </cols>
  <sheetData>
    <row r="1" spans="1:8" x14ac:dyDescent="0.25">
      <c r="A1" s="27" t="s">
        <v>30</v>
      </c>
      <c r="B1" s="27" t="s">
        <v>0</v>
      </c>
      <c r="C1" s="27" t="s">
        <v>575</v>
      </c>
      <c r="D1" s="27" t="s">
        <v>2</v>
      </c>
      <c r="E1" s="27" t="s">
        <v>576</v>
      </c>
      <c r="F1" s="27" t="s">
        <v>276</v>
      </c>
      <c r="G1" s="27" t="s">
        <v>440</v>
      </c>
      <c r="H1" s="27" t="s">
        <v>323</v>
      </c>
    </row>
    <row r="2" spans="1:8" ht="48.75" x14ac:dyDescent="0.25">
      <c r="A2" s="28" t="s">
        <v>342</v>
      </c>
      <c r="B2" s="28" t="s">
        <v>559</v>
      </c>
      <c r="C2" s="29" t="s">
        <v>537</v>
      </c>
      <c r="D2" s="28" t="s">
        <v>17</v>
      </c>
      <c r="E2" s="29"/>
      <c r="F2" s="29"/>
      <c r="G2" s="29"/>
      <c r="H2" s="29"/>
    </row>
    <row r="3" spans="1:8" ht="72.75" x14ac:dyDescent="0.25">
      <c r="A3" s="27" t="s">
        <v>342</v>
      </c>
      <c r="B3" s="27" t="s">
        <v>6</v>
      </c>
      <c r="C3" s="27" t="s">
        <v>6</v>
      </c>
      <c r="D3" s="27" t="s">
        <v>582</v>
      </c>
      <c r="E3" s="30"/>
      <c r="F3" s="31"/>
      <c r="G3" s="31"/>
      <c r="H3" s="31"/>
    </row>
    <row r="4" spans="1:8" ht="60.75" x14ac:dyDescent="0.25">
      <c r="A4" s="27" t="s">
        <v>342</v>
      </c>
      <c r="B4" s="27" t="s">
        <v>6</v>
      </c>
      <c r="C4" s="30" t="s">
        <v>18</v>
      </c>
      <c r="D4" s="27" t="s">
        <v>19</v>
      </c>
      <c r="E4" s="30"/>
      <c r="F4" s="31"/>
      <c r="G4" s="31"/>
      <c r="H4" s="31"/>
    </row>
    <row r="5" spans="1:8" ht="72.75" x14ac:dyDescent="0.25">
      <c r="A5" s="27" t="s">
        <v>342</v>
      </c>
      <c r="B5" s="27" t="s">
        <v>6</v>
      </c>
      <c r="C5" s="30" t="s">
        <v>20</v>
      </c>
      <c r="D5" s="27" t="s">
        <v>21</v>
      </c>
      <c r="E5" s="30"/>
      <c r="F5" s="31"/>
      <c r="G5" s="31"/>
      <c r="H5" s="31"/>
    </row>
    <row r="6" spans="1:8" ht="48.75" x14ac:dyDescent="0.25">
      <c r="A6" s="27" t="s">
        <v>342</v>
      </c>
      <c r="B6" s="27" t="s">
        <v>6</v>
      </c>
      <c r="C6" s="30" t="s">
        <v>22</v>
      </c>
      <c r="D6" s="27" t="s">
        <v>23</v>
      </c>
      <c r="E6" s="30"/>
      <c r="F6" s="31"/>
      <c r="G6" s="31"/>
      <c r="H6" s="31"/>
    </row>
    <row r="7" spans="1:8" ht="36.75" x14ac:dyDescent="0.25">
      <c r="A7" s="27" t="s">
        <v>342</v>
      </c>
      <c r="B7" s="27" t="s">
        <v>11</v>
      </c>
      <c r="C7" s="27" t="s">
        <v>11</v>
      </c>
      <c r="D7" s="27" t="s">
        <v>427</v>
      </c>
      <c r="E7" s="30"/>
      <c r="F7" s="31"/>
      <c r="G7" s="31"/>
      <c r="H7" s="31"/>
    </row>
    <row r="8" spans="1:8" ht="60.75" x14ac:dyDescent="0.25">
      <c r="A8" s="27" t="s">
        <v>342</v>
      </c>
      <c r="B8" s="27" t="s">
        <v>11</v>
      </c>
      <c r="C8" s="30" t="s">
        <v>24</v>
      </c>
      <c r="D8" s="27" t="s">
        <v>25</v>
      </c>
      <c r="E8" s="30"/>
      <c r="F8" s="31"/>
      <c r="G8" s="31"/>
      <c r="H8" s="31"/>
    </row>
    <row r="9" spans="1:8" ht="96.75" x14ac:dyDescent="0.25">
      <c r="A9" s="27" t="s">
        <v>342</v>
      </c>
      <c r="B9" s="27" t="s">
        <v>11</v>
      </c>
      <c r="C9" s="30" t="s">
        <v>26</v>
      </c>
      <c r="D9" s="27" t="s">
        <v>27</v>
      </c>
      <c r="E9" s="30"/>
      <c r="F9" s="31"/>
      <c r="G9" s="31"/>
      <c r="H9" s="31"/>
    </row>
    <row r="10" spans="1:8" ht="60.75" x14ac:dyDescent="0.25">
      <c r="A10" s="27" t="s">
        <v>342</v>
      </c>
      <c r="B10" s="27" t="s">
        <v>11</v>
      </c>
      <c r="C10" s="30" t="s">
        <v>28</v>
      </c>
      <c r="D10" s="27" t="s">
        <v>29</v>
      </c>
      <c r="E10" s="30"/>
      <c r="F10" s="31"/>
      <c r="G10" s="31"/>
      <c r="H10" s="31"/>
    </row>
    <row r="11" spans="1:8" ht="96.75" x14ac:dyDescent="0.25">
      <c r="A11" s="28" t="s">
        <v>197</v>
      </c>
      <c r="B11" s="28" t="s">
        <v>559</v>
      </c>
      <c r="C11" s="29" t="s">
        <v>13</v>
      </c>
      <c r="D11" s="28" t="s">
        <v>14</v>
      </c>
      <c r="E11" s="29"/>
      <c r="F11" s="29"/>
      <c r="G11" s="29"/>
      <c r="H11" s="29"/>
    </row>
    <row r="12" spans="1:8" ht="48.75" x14ac:dyDescent="0.25">
      <c r="A12" s="27" t="s">
        <v>197</v>
      </c>
      <c r="B12" s="27" t="s">
        <v>559</v>
      </c>
      <c r="C12" s="30" t="s">
        <v>15</v>
      </c>
      <c r="D12" s="27" t="s">
        <v>16</v>
      </c>
      <c r="E12" s="30"/>
      <c r="F12" s="31"/>
      <c r="G12" s="31"/>
      <c r="H12" s="31"/>
    </row>
    <row r="13" spans="1:8" ht="60.75" x14ac:dyDescent="0.25">
      <c r="A13" s="27" t="s">
        <v>177</v>
      </c>
      <c r="B13" s="27" t="s">
        <v>6</v>
      </c>
      <c r="C13" s="30" t="s">
        <v>8</v>
      </c>
      <c r="D13" s="27" t="s">
        <v>9</v>
      </c>
      <c r="E13" s="30" t="s">
        <v>10</v>
      </c>
      <c r="F13" s="31"/>
      <c r="G13" s="31"/>
      <c r="H13" s="31"/>
    </row>
    <row r="14" spans="1:8" ht="36.75" x14ac:dyDescent="0.25">
      <c r="A14" s="33" t="s">
        <v>177</v>
      </c>
      <c r="B14" s="33" t="s">
        <v>11</v>
      </c>
      <c r="C14" s="34" t="s">
        <v>12</v>
      </c>
      <c r="D14" s="33" t="s">
        <v>425</v>
      </c>
      <c r="E14" s="34"/>
      <c r="F14" s="35"/>
      <c r="G14" s="31"/>
      <c r="H14" s="31"/>
    </row>
    <row r="56" spans="1:8" x14ac:dyDescent="0.25">
      <c r="A56" s="1">
        <f>COUNTA(A2:A44)</f>
        <v>13</v>
      </c>
      <c r="H56" s="1">
        <f>COUNTA(H2:H44)</f>
        <v>0</v>
      </c>
    </row>
  </sheetData>
  <hyperlinks>
    <hyperlink ref="C12" r:id="rId1" display="http://aka.ms/DDPDIS3"/>
    <hyperlink ref="E13" r:id="rId2" display="http://aka.ms/PDPPRE5"/>
    <hyperlink ref="C13" r:id="rId3" display="http://aka.ms/DDPPRE5"/>
    <hyperlink ref="C14" r:id="rId4" display="http://aka.ms/DDPPRE8"/>
    <hyperlink ref="C4" r:id="rId5" display="http://aka.ms/DDPDR3"/>
    <hyperlink ref="C5" r:id="rId6" display="http://aka.ms/DDPDR4"/>
    <hyperlink ref="C6" r:id="rId7" display="http://aka.ms/DDPDR5"/>
    <hyperlink ref="C8" r:id="rId8" display="http://aka.ms/DDPDR7"/>
    <hyperlink ref="C9" r:id="rId9" display="http://aka.ms/DDPDR8"/>
    <hyperlink ref="C10" r:id="rId10" display="http://aka.ms/DDPDR9"/>
  </hyperlinks>
  <pageMargins left="0.25" right="0.25" top="0.75" bottom="0.75" header="0.3" footer="0.3"/>
  <pageSetup orientation="landscape" r:id="rId11"/>
  <drawing r:id="rId12"/>
  <tableParts count="1">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1"/>
  <sheetViews>
    <sheetView showRowColHeaders="0" zoomScaleNormal="100" workbookViewId="0"/>
  </sheetViews>
  <sheetFormatPr defaultColWidth="9.140625" defaultRowHeight="15" x14ac:dyDescent="0.25"/>
  <cols>
    <col min="1" max="1" width="9.85546875" style="8" customWidth="1"/>
    <col min="2" max="2" width="9.5703125" style="8" customWidth="1"/>
    <col min="3" max="3" width="28.42578125" style="8" customWidth="1"/>
    <col min="4" max="4" width="52.140625" style="8" customWidth="1"/>
    <col min="5" max="5" width="21.5703125" style="8" customWidth="1"/>
    <col min="6" max="6" width="26" style="8" customWidth="1"/>
    <col min="7" max="7" width="23.28515625" style="8" customWidth="1"/>
    <col min="8" max="8" width="16.28515625" style="32" customWidth="1"/>
    <col min="9" max="9" width="9.140625" style="22"/>
    <col min="10" max="16384" width="9.140625" style="1"/>
  </cols>
  <sheetData>
    <row r="1" spans="1:9" ht="15.75" thickBot="1" x14ac:dyDescent="0.3">
      <c r="A1" s="78" t="s">
        <v>30</v>
      </c>
      <c r="B1" s="78" t="s">
        <v>0</v>
      </c>
      <c r="C1" s="78" t="s">
        <v>575</v>
      </c>
      <c r="D1" s="79" t="s">
        <v>2</v>
      </c>
      <c r="E1" s="80" t="s">
        <v>576</v>
      </c>
      <c r="F1" s="78" t="s">
        <v>276</v>
      </c>
      <c r="G1" s="79" t="s">
        <v>440</v>
      </c>
      <c r="H1" s="79" t="s">
        <v>323</v>
      </c>
    </row>
    <row r="2" spans="1:9" ht="60.75" x14ac:dyDescent="0.25">
      <c r="A2" s="90" t="s">
        <v>65</v>
      </c>
      <c r="B2" s="28" t="s">
        <v>603</v>
      </c>
      <c r="C2" s="28" t="s">
        <v>66</v>
      </c>
      <c r="D2" s="28" t="s">
        <v>67</v>
      </c>
      <c r="E2" s="28"/>
      <c r="F2" s="28"/>
      <c r="G2" s="28"/>
      <c r="H2" s="29"/>
    </row>
    <row r="3" spans="1:9" ht="132.75" x14ac:dyDescent="0.25">
      <c r="A3" s="91" t="s">
        <v>65</v>
      </c>
      <c r="B3" s="27" t="s">
        <v>603</v>
      </c>
      <c r="C3" s="38" t="s">
        <v>286</v>
      </c>
      <c r="D3" s="27" t="s">
        <v>359</v>
      </c>
      <c r="E3" s="38" t="s">
        <v>433</v>
      </c>
      <c r="F3" s="39"/>
      <c r="G3" s="39"/>
      <c r="H3" s="107"/>
    </row>
    <row r="4" spans="1:9" ht="168.75" x14ac:dyDescent="0.25">
      <c r="A4" s="91" t="s">
        <v>65</v>
      </c>
      <c r="B4" s="27" t="s">
        <v>6</v>
      </c>
      <c r="C4" s="38" t="s">
        <v>68</v>
      </c>
      <c r="D4" s="27" t="s">
        <v>360</v>
      </c>
      <c r="E4" s="38" t="s">
        <v>433</v>
      </c>
      <c r="F4" s="39" t="s">
        <v>287</v>
      </c>
      <c r="G4" s="39" t="s">
        <v>288</v>
      </c>
      <c r="H4" s="107"/>
    </row>
    <row r="5" spans="1:9" ht="169.5" thickBot="1" x14ac:dyDescent="0.3">
      <c r="A5" s="91" t="s">
        <v>65</v>
      </c>
      <c r="B5" s="27" t="s">
        <v>11</v>
      </c>
      <c r="C5" s="38" t="s">
        <v>69</v>
      </c>
      <c r="D5" s="27" t="s">
        <v>360</v>
      </c>
      <c r="E5" s="38" t="s">
        <v>433</v>
      </c>
      <c r="F5" s="39" t="s">
        <v>287</v>
      </c>
      <c r="G5" s="39" t="s">
        <v>288</v>
      </c>
      <c r="H5" s="107"/>
      <c r="I5" s="105"/>
    </row>
    <row r="6" spans="1:9" ht="168.75" x14ac:dyDescent="0.25">
      <c r="A6" s="91" t="s">
        <v>65</v>
      </c>
      <c r="B6" s="27" t="s">
        <v>70</v>
      </c>
      <c r="C6" s="38" t="s">
        <v>328</v>
      </c>
      <c r="D6" s="27" t="s">
        <v>360</v>
      </c>
      <c r="E6" s="38" t="s">
        <v>433</v>
      </c>
      <c r="F6" s="39" t="s">
        <v>287</v>
      </c>
      <c r="G6" s="39" t="s">
        <v>288</v>
      </c>
      <c r="H6" s="107"/>
    </row>
    <row r="7" spans="1:9" ht="84.75" x14ac:dyDescent="0.25">
      <c r="A7" s="91" t="s">
        <v>65</v>
      </c>
      <c r="B7" s="27" t="s">
        <v>6</v>
      </c>
      <c r="C7" s="38" t="s">
        <v>72</v>
      </c>
      <c r="D7" s="27" t="s">
        <v>362</v>
      </c>
      <c r="E7" s="38" t="s">
        <v>73</v>
      </c>
      <c r="F7" s="39"/>
      <c r="G7" s="39"/>
      <c r="H7" s="107"/>
    </row>
    <row r="8" spans="1:9" ht="96.75" x14ac:dyDescent="0.25">
      <c r="A8" s="91" t="s">
        <v>65</v>
      </c>
      <c r="B8" s="27" t="s">
        <v>6</v>
      </c>
      <c r="C8" s="38" t="s">
        <v>452</v>
      </c>
      <c r="D8" s="27" t="s">
        <v>453</v>
      </c>
      <c r="E8" s="38" t="s">
        <v>74</v>
      </c>
      <c r="F8" s="39" t="s">
        <v>291</v>
      </c>
      <c r="G8" s="39" t="s">
        <v>292</v>
      </c>
      <c r="H8" s="107"/>
    </row>
    <row r="9" spans="1:9" ht="144.75" x14ac:dyDescent="0.25">
      <c r="A9" s="91" t="s">
        <v>65</v>
      </c>
      <c r="B9" s="27" t="s">
        <v>11</v>
      </c>
      <c r="C9" s="38" t="s">
        <v>75</v>
      </c>
      <c r="D9" s="27" t="s">
        <v>363</v>
      </c>
      <c r="E9" s="38"/>
      <c r="F9" s="39" t="s">
        <v>449</v>
      </c>
      <c r="G9" s="39" t="s">
        <v>448</v>
      </c>
      <c r="H9" s="39"/>
    </row>
    <row r="10" spans="1:9" ht="120.75" x14ac:dyDescent="0.25">
      <c r="A10" s="91" t="s">
        <v>65</v>
      </c>
      <c r="B10" s="27" t="s">
        <v>11</v>
      </c>
      <c r="C10" s="38" t="s">
        <v>454</v>
      </c>
      <c r="D10" s="27" t="s">
        <v>364</v>
      </c>
      <c r="E10" s="38"/>
      <c r="F10" s="39" t="s">
        <v>449</v>
      </c>
      <c r="G10" s="39" t="s">
        <v>448</v>
      </c>
      <c r="H10" s="107"/>
    </row>
    <row r="11" spans="1:9" ht="204.75" x14ac:dyDescent="0.25">
      <c r="A11" s="91" t="s">
        <v>65</v>
      </c>
      <c r="B11" s="27" t="s">
        <v>603</v>
      </c>
      <c r="C11" s="38" t="s">
        <v>76</v>
      </c>
      <c r="D11" s="27" t="s">
        <v>365</v>
      </c>
      <c r="E11" s="38"/>
      <c r="F11" s="39"/>
      <c r="G11" s="39"/>
      <c r="H11" s="107"/>
    </row>
    <row r="12" spans="1:9" ht="36.75" x14ac:dyDescent="0.25">
      <c r="A12" s="91" t="s">
        <v>65</v>
      </c>
      <c r="B12" s="27" t="s">
        <v>603</v>
      </c>
      <c r="C12" s="38" t="s">
        <v>455</v>
      </c>
      <c r="D12" s="27" t="s">
        <v>456</v>
      </c>
      <c r="E12" s="38"/>
      <c r="F12" s="39"/>
      <c r="G12" s="39"/>
      <c r="H12" s="107"/>
    </row>
    <row r="13" spans="1:9" ht="72.75" x14ac:dyDescent="0.25">
      <c r="A13" s="90" t="s">
        <v>42</v>
      </c>
      <c r="B13" s="28" t="s">
        <v>603</v>
      </c>
      <c r="C13" s="28" t="s">
        <v>43</v>
      </c>
      <c r="D13" s="28" t="s">
        <v>623</v>
      </c>
      <c r="E13" s="28"/>
      <c r="F13" s="28"/>
      <c r="G13" s="28"/>
      <c r="H13" s="109"/>
    </row>
    <row r="14" spans="1:9" ht="84.75" x14ac:dyDescent="0.25">
      <c r="A14" s="91" t="s">
        <v>42</v>
      </c>
      <c r="B14" s="27" t="s">
        <v>603</v>
      </c>
      <c r="C14" s="38" t="s">
        <v>539</v>
      </c>
      <c r="D14" s="27" t="s">
        <v>540</v>
      </c>
      <c r="E14" s="38"/>
      <c r="F14" s="39"/>
      <c r="G14" s="39"/>
      <c r="H14" s="107"/>
    </row>
    <row r="15" spans="1:9" ht="156.75" x14ac:dyDescent="0.25">
      <c r="A15" s="91" t="s">
        <v>42</v>
      </c>
      <c r="B15" s="27" t="s">
        <v>32</v>
      </c>
      <c r="C15" s="38" t="s">
        <v>44</v>
      </c>
      <c r="D15" s="27" t="s">
        <v>345</v>
      </c>
      <c r="E15" s="38"/>
      <c r="F15" s="39"/>
      <c r="G15" s="39"/>
      <c r="H15" s="107"/>
    </row>
    <row r="16" spans="1:9" ht="36.75" x14ac:dyDescent="0.25">
      <c r="A16" s="91" t="s">
        <v>42</v>
      </c>
      <c r="B16" s="27" t="s">
        <v>32</v>
      </c>
      <c r="C16" s="38" t="s">
        <v>45</v>
      </c>
      <c r="D16" s="27" t="s">
        <v>281</v>
      </c>
      <c r="E16" s="38" t="s">
        <v>46</v>
      </c>
      <c r="F16" s="39" t="s">
        <v>282</v>
      </c>
      <c r="G16" s="39" t="s">
        <v>283</v>
      </c>
      <c r="H16" s="107"/>
    </row>
    <row r="17" spans="1:8" ht="60.75" x14ac:dyDescent="0.25">
      <c r="A17" s="91" t="s">
        <v>42</v>
      </c>
      <c r="B17" s="27" t="s">
        <v>32</v>
      </c>
      <c r="C17" s="38" t="s">
        <v>326</v>
      </c>
      <c r="D17" s="27" t="s">
        <v>346</v>
      </c>
      <c r="E17" s="38"/>
      <c r="F17" s="39"/>
      <c r="G17" s="39"/>
      <c r="H17" s="107"/>
    </row>
    <row r="18" spans="1:8" ht="36.75" x14ac:dyDescent="0.25">
      <c r="A18" s="91" t="s">
        <v>42</v>
      </c>
      <c r="B18" s="27" t="s">
        <v>32</v>
      </c>
      <c r="C18" s="38" t="s">
        <v>541</v>
      </c>
      <c r="D18" s="27" t="s">
        <v>542</v>
      </c>
      <c r="E18" s="38"/>
      <c r="F18" s="39"/>
      <c r="G18" s="39"/>
      <c r="H18" s="107"/>
    </row>
    <row r="19" spans="1:8" ht="48.75" x14ac:dyDescent="0.25">
      <c r="A19" s="91" t="s">
        <v>42</v>
      </c>
      <c r="B19" s="27" t="s">
        <v>32</v>
      </c>
      <c r="C19" s="38" t="s">
        <v>48</v>
      </c>
      <c r="D19" s="27" t="s">
        <v>49</v>
      </c>
      <c r="E19" s="38"/>
      <c r="F19" s="39"/>
      <c r="G19" s="39"/>
      <c r="H19" s="107"/>
    </row>
    <row r="20" spans="1:8" ht="24.75" x14ac:dyDescent="0.25">
      <c r="A20" s="91" t="s">
        <v>42</v>
      </c>
      <c r="B20" s="27" t="s">
        <v>32</v>
      </c>
      <c r="C20" s="112" t="s">
        <v>543</v>
      </c>
      <c r="D20" s="27" t="s">
        <v>544</v>
      </c>
      <c r="E20" s="38"/>
      <c r="F20" s="39"/>
      <c r="G20" s="39"/>
      <c r="H20" s="107"/>
    </row>
    <row r="21" spans="1:8" ht="48.75" x14ac:dyDescent="0.25">
      <c r="A21" s="91" t="s">
        <v>42</v>
      </c>
      <c r="B21" s="27" t="s">
        <v>32</v>
      </c>
      <c r="C21" s="112" t="s">
        <v>545</v>
      </c>
      <c r="D21" s="27" t="s">
        <v>546</v>
      </c>
      <c r="E21" s="38"/>
      <c r="F21" s="39"/>
      <c r="G21" s="39"/>
      <c r="H21" s="107"/>
    </row>
    <row r="22" spans="1:8" ht="180.75" x14ac:dyDescent="0.25">
      <c r="A22" s="91" t="s">
        <v>42</v>
      </c>
      <c r="B22" s="27" t="s">
        <v>32</v>
      </c>
      <c r="C22" s="38" t="s">
        <v>547</v>
      </c>
      <c r="D22" s="27" t="s">
        <v>548</v>
      </c>
      <c r="E22" s="38"/>
      <c r="F22" s="39"/>
      <c r="G22" s="39"/>
      <c r="H22" s="107"/>
    </row>
    <row r="23" spans="1:8" ht="108.75" x14ac:dyDescent="0.25">
      <c r="A23" s="91" t="s">
        <v>42</v>
      </c>
      <c r="B23" s="27" t="s">
        <v>32</v>
      </c>
      <c r="C23" s="38" t="s">
        <v>50</v>
      </c>
      <c r="D23" s="27" t="s">
        <v>348</v>
      </c>
      <c r="E23" s="38" t="s">
        <v>51</v>
      </c>
      <c r="F23" s="39" t="s">
        <v>284</v>
      </c>
      <c r="G23" s="39" t="s">
        <v>285</v>
      </c>
      <c r="H23" s="107"/>
    </row>
    <row r="24" spans="1:8" ht="108.75" x14ac:dyDescent="0.25">
      <c r="A24" s="91" t="s">
        <v>42</v>
      </c>
      <c r="B24" s="27" t="s">
        <v>32</v>
      </c>
      <c r="C24" s="38" t="s">
        <v>549</v>
      </c>
      <c r="D24" s="27" t="s">
        <v>348</v>
      </c>
      <c r="E24" s="38"/>
      <c r="F24" s="39"/>
      <c r="G24" s="39"/>
      <c r="H24" s="107"/>
    </row>
    <row r="25" spans="1:8" ht="108.75" x14ac:dyDescent="0.25">
      <c r="A25" s="91" t="s">
        <v>42</v>
      </c>
      <c r="B25" s="27" t="s">
        <v>32</v>
      </c>
      <c r="C25" s="110" t="s">
        <v>550</v>
      </c>
      <c r="D25" s="27" t="s">
        <v>348</v>
      </c>
      <c r="E25" s="38"/>
      <c r="F25" s="39"/>
      <c r="G25" s="39"/>
      <c r="H25" s="107"/>
    </row>
    <row r="26" spans="1:8" ht="252.75" x14ac:dyDescent="0.25">
      <c r="A26" s="91" t="s">
        <v>42</v>
      </c>
      <c r="B26" s="27" t="s">
        <v>32</v>
      </c>
      <c r="C26" s="38" t="s">
        <v>52</v>
      </c>
      <c r="D26" s="27" t="s">
        <v>349</v>
      </c>
      <c r="E26" s="38" t="s">
        <v>51</v>
      </c>
      <c r="F26" s="39"/>
      <c r="G26" s="39"/>
      <c r="H26" s="107"/>
    </row>
    <row r="27" spans="1:8" ht="240.75" x14ac:dyDescent="0.25">
      <c r="A27" s="91" t="s">
        <v>42</v>
      </c>
      <c r="B27" s="27" t="s">
        <v>32</v>
      </c>
      <c r="C27" s="38" t="s">
        <v>53</v>
      </c>
      <c r="D27" s="27" t="s">
        <v>350</v>
      </c>
      <c r="E27" s="38" t="s">
        <v>51</v>
      </c>
      <c r="F27" s="39"/>
      <c r="G27" s="39"/>
      <c r="H27" s="107"/>
    </row>
    <row r="28" spans="1:8" ht="276.75" x14ac:dyDescent="0.25">
      <c r="A28" s="91" t="s">
        <v>42</v>
      </c>
      <c r="B28" s="27" t="s">
        <v>32</v>
      </c>
      <c r="C28" s="38" t="s">
        <v>54</v>
      </c>
      <c r="D28" s="27" t="s">
        <v>351</v>
      </c>
      <c r="E28" s="38" t="s">
        <v>51</v>
      </c>
      <c r="F28" s="39"/>
      <c r="G28" s="39"/>
      <c r="H28" s="108"/>
    </row>
    <row r="29" spans="1:8" ht="300.75" x14ac:dyDescent="0.25">
      <c r="A29" s="91" t="s">
        <v>42</v>
      </c>
      <c r="B29" s="27" t="s">
        <v>32</v>
      </c>
      <c r="C29" s="38" t="s">
        <v>56</v>
      </c>
      <c r="D29" s="27" t="s">
        <v>353</v>
      </c>
      <c r="E29" s="38"/>
      <c r="F29" s="39"/>
      <c r="G29" s="39"/>
      <c r="H29" s="107"/>
    </row>
    <row r="30" spans="1:8" ht="144.75" x14ac:dyDescent="0.25">
      <c r="A30" s="91" t="s">
        <v>42</v>
      </c>
      <c r="B30" s="27" t="s">
        <v>11</v>
      </c>
      <c r="C30" s="38" t="s">
        <v>551</v>
      </c>
      <c r="D30" s="27" t="s">
        <v>552</v>
      </c>
      <c r="E30" s="38"/>
      <c r="F30" s="74" t="s">
        <v>553</v>
      </c>
      <c r="G30" s="39" t="s">
        <v>300</v>
      </c>
      <c r="H30" s="107"/>
    </row>
    <row r="31" spans="1:8" ht="180.75" x14ac:dyDescent="0.25">
      <c r="A31" s="91" t="s">
        <v>42</v>
      </c>
      <c r="B31" s="27" t="s">
        <v>6</v>
      </c>
      <c r="C31" s="38" t="s">
        <v>554</v>
      </c>
      <c r="D31" s="27" t="s">
        <v>555</v>
      </c>
      <c r="E31" s="38"/>
      <c r="F31" s="74"/>
      <c r="G31" s="39"/>
      <c r="H31" s="107"/>
    </row>
    <row r="32" spans="1:8" ht="300.75" x14ac:dyDescent="0.25">
      <c r="A32" s="91" t="s">
        <v>42</v>
      </c>
      <c r="B32" s="27" t="s">
        <v>32</v>
      </c>
      <c r="C32" s="38" t="s">
        <v>57</v>
      </c>
      <c r="D32" s="27" t="s">
        <v>353</v>
      </c>
      <c r="E32" s="38" t="s">
        <v>58</v>
      </c>
      <c r="F32" s="39"/>
      <c r="G32" s="39"/>
      <c r="H32" s="107"/>
    </row>
    <row r="33" spans="1:8" ht="84.75" x14ac:dyDescent="0.25">
      <c r="A33" s="91" t="s">
        <v>31</v>
      </c>
      <c r="B33" s="27" t="s">
        <v>32</v>
      </c>
      <c r="C33" s="38" t="s">
        <v>33</v>
      </c>
      <c r="D33" s="27" t="s">
        <v>277</v>
      </c>
      <c r="E33" s="38" t="s">
        <v>34</v>
      </c>
      <c r="F33" s="39"/>
      <c r="G33" s="39" t="s">
        <v>278</v>
      </c>
      <c r="H33" s="107"/>
    </row>
    <row r="34" spans="1:8" ht="36.75" x14ac:dyDescent="0.25">
      <c r="A34" s="91" t="s">
        <v>31</v>
      </c>
      <c r="B34" s="27" t="s">
        <v>32</v>
      </c>
      <c r="C34" s="38" t="s">
        <v>275</v>
      </c>
      <c r="D34" s="27" t="s">
        <v>589</v>
      </c>
      <c r="E34" s="38"/>
      <c r="F34" s="39"/>
      <c r="G34" s="39" t="s">
        <v>280</v>
      </c>
      <c r="H34" s="107"/>
    </row>
    <row r="35" spans="1:8" ht="24.75" x14ac:dyDescent="0.25">
      <c r="A35" s="91" t="s">
        <v>31</v>
      </c>
      <c r="B35" s="27" t="s">
        <v>557</v>
      </c>
      <c r="C35" s="38" t="s">
        <v>558</v>
      </c>
      <c r="D35" s="27" t="s">
        <v>624</v>
      </c>
      <c r="E35" s="38"/>
      <c r="F35" s="39"/>
      <c r="G35" s="39"/>
      <c r="H35" s="107"/>
    </row>
    <row r="36" spans="1:8" ht="24.75" x14ac:dyDescent="0.25">
      <c r="A36" s="91" t="s">
        <v>31</v>
      </c>
      <c r="B36" s="27" t="s">
        <v>559</v>
      </c>
      <c r="C36" s="38" t="s">
        <v>560</v>
      </c>
      <c r="D36" s="27" t="s">
        <v>561</v>
      </c>
      <c r="E36" s="38"/>
      <c r="F36" s="39"/>
      <c r="G36" s="39"/>
      <c r="H36" s="107"/>
    </row>
    <row r="37" spans="1:8" ht="48.75" x14ac:dyDescent="0.25">
      <c r="A37" s="91" t="s">
        <v>77</v>
      </c>
      <c r="B37" s="27" t="s">
        <v>6</v>
      </c>
      <c r="C37" s="38" t="s">
        <v>84</v>
      </c>
      <c r="D37" s="27" t="s">
        <v>368</v>
      </c>
      <c r="E37" s="38"/>
      <c r="F37" s="39"/>
      <c r="G37" s="39" t="s">
        <v>434</v>
      </c>
      <c r="H37" s="107"/>
    </row>
    <row r="38" spans="1:8" ht="156.75" x14ac:dyDescent="0.25">
      <c r="A38" s="91" t="s">
        <v>77</v>
      </c>
      <c r="B38" s="27" t="s">
        <v>6</v>
      </c>
      <c r="C38" s="38" t="s">
        <v>625</v>
      </c>
      <c r="D38" s="27" t="s">
        <v>372</v>
      </c>
      <c r="E38" s="38"/>
      <c r="F38" s="39" t="s">
        <v>297</v>
      </c>
      <c r="G38" s="39" t="s">
        <v>298</v>
      </c>
      <c r="H38" s="107"/>
    </row>
    <row r="39" spans="1:8" ht="48.75" x14ac:dyDescent="0.25">
      <c r="A39" s="91" t="s">
        <v>77</v>
      </c>
      <c r="B39" s="27" t="s">
        <v>6</v>
      </c>
      <c r="C39" s="38" t="s">
        <v>87</v>
      </c>
      <c r="D39" s="27" t="s">
        <v>373</v>
      </c>
      <c r="E39" s="38"/>
      <c r="F39" s="39"/>
      <c r="G39" s="39"/>
      <c r="H39" s="108"/>
    </row>
    <row r="40" spans="1:8" ht="96.75" x14ac:dyDescent="0.25">
      <c r="A40" s="91" t="s">
        <v>77</v>
      </c>
      <c r="B40" s="27" t="s">
        <v>11</v>
      </c>
      <c r="C40" s="38" t="s">
        <v>89</v>
      </c>
      <c r="D40" s="27" t="s">
        <v>375</v>
      </c>
      <c r="E40" s="38"/>
      <c r="F40" s="39"/>
      <c r="G40" s="39"/>
      <c r="H40" s="107"/>
    </row>
    <row r="41" spans="1:8" ht="48.75" x14ac:dyDescent="0.25">
      <c r="A41" s="91" t="s">
        <v>77</v>
      </c>
      <c r="B41" s="27" t="s">
        <v>11</v>
      </c>
      <c r="C41" s="38" t="s">
        <v>90</v>
      </c>
      <c r="D41" s="27" t="s">
        <v>91</v>
      </c>
      <c r="E41" s="38"/>
      <c r="F41" s="39" t="s">
        <v>435</v>
      </c>
      <c r="G41" s="39"/>
      <c r="H41" s="107"/>
    </row>
    <row r="42" spans="1:8" ht="60.75" x14ac:dyDescent="0.25">
      <c r="A42" s="91" t="s">
        <v>77</v>
      </c>
      <c r="B42" s="27" t="s">
        <v>11</v>
      </c>
      <c r="C42" s="38" t="s">
        <v>96</v>
      </c>
      <c r="D42" s="27" t="s">
        <v>97</v>
      </c>
      <c r="E42" s="38"/>
      <c r="F42" s="39" t="s">
        <v>303</v>
      </c>
      <c r="G42" s="39" t="s">
        <v>437</v>
      </c>
      <c r="H42" s="107"/>
    </row>
    <row r="43" spans="1:8" ht="15.75" thickBot="1" x14ac:dyDescent="0.3">
      <c r="A43" s="81"/>
      <c r="B43" s="82"/>
      <c r="C43" s="83"/>
      <c r="D43" s="84"/>
      <c r="E43" s="13"/>
      <c r="F43" s="85"/>
      <c r="G43" s="85"/>
      <c r="H43" s="106"/>
    </row>
    <row r="44" spans="1:8" ht="15.75" thickBot="1" x14ac:dyDescent="0.3">
      <c r="A44" s="81"/>
      <c r="B44" s="82"/>
      <c r="C44" s="83"/>
      <c r="D44" s="84"/>
      <c r="E44" s="13"/>
      <c r="F44" s="85"/>
      <c r="G44" s="85"/>
      <c r="H44" s="85"/>
    </row>
    <row r="45" spans="1:8" ht="15.75" thickBot="1" x14ac:dyDescent="0.3">
      <c r="A45" s="81"/>
      <c r="B45" s="82"/>
      <c r="C45" s="83"/>
      <c r="D45" s="84"/>
      <c r="E45" s="13"/>
      <c r="F45" s="85"/>
      <c r="G45" s="85"/>
      <c r="H45" s="85"/>
    </row>
    <row r="57" spans="1:8" x14ac:dyDescent="0.25">
      <c r="A57" s="8">
        <f>COUNTA(A2:A55)</f>
        <v>41</v>
      </c>
      <c r="H57" s="32">
        <f>COUNTA(H2:H55)</f>
        <v>0</v>
      </c>
    </row>
    <row r="91" spans="1:8" x14ac:dyDescent="0.25">
      <c r="A91" s="8">
        <f>COUNTA(A2:A79)</f>
        <v>42</v>
      </c>
      <c r="H91" s="32">
        <f>COUNTA(H2:H79)</f>
        <v>1</v>
      </c>
    </row>
  </sheetData>
  <hyperlinks>
    <hyperlink ref="C3" r:id="rId1" display="http://aka.ms/DADMAC2"/>
    <hyperlink ref="E3" r:id="rId2" display="http://aka.ms/PADMAC2"/>
    <hyperlink ref="E4" r:id="rId3" display="http://aka.ms/PADMAC3"/>
    <hyperlink ref="E5" r:id="rId4" display="http://aka.ms/PADMAC4"/>
    <hyperlink ref="E6" r:id="rId5" display="http://aka.ms/PADMAC5"/>
    <hyperlink ref="C4" r:id="rId6" display="http://aka.ms/DADMAC3"/>
    <hyperlink ref="C5" r:id="rId7" display="http://aka.ms/DADMAC4"/>
    <hyperlink ref="C6" r:id="rId8" display="http://aka.ms/DADMAC5"/>
    <hyperlink ref="C7" r:id="rId9" display="http://aka.ms/DADMAC7"/>
    <hyperlink ref="C9" r:id="rId10" display="http://aka.ms/DADMAC9"/>
    <hyperlink ref="C12" r:id="rId11" display="http://aka.ms/DADMAC13"/>
    <hyperlink ref="E7" r:id="rId12" display="http://aka.ms/PADMAC7"/>
    <hyperlink ref="E8" r:id="rId13" display="http://aka.ms/PADMAC8"/>
    <hyperlink ref="C8" r:id="rId14" display="http://aka.ms/DADMAC8"/>
    <hyperlink ref="C10" r:id="rId15" display="http://aka.ms/DADMAC10"/>
    <hyperlink ref="C11" r:id="rId16" display="http://aka.ms/DADMAC11"/>
    <hyperlink ref="C14" r:id="rId17" display="https://aka.ms/dia201"/>
    <hyperlink ref="C15" r:id="rId18" display="http://aka.ms/DAUIA2"/>
    <hyperlink ref="E16" r:id="rId19" display="http://aka.ms/PAUIA3"/>
    <hyperlink ref="C16" r:id="rId20" display="http://aka.ms/DAUIA3"/>
    <hyperlink ref="C17" r:id="rId21" display="http://aka.ms/DAUIA21"/>
    <hyperlink ref="C23" r:id="rId22" display="http://aka.ms/DAUIA6"/>
    <hyperlink ref="E23" r:id="rId23" display="http://aka.ms/PAUIA6"/>
    <hyperlink ref="E26" r:id="rId24" display="http://aka.ms/PAUIA7"/>
    <hyperlink ref="E27" r:id="rId25" display="http://aka.ms/PAUIA8"/>
    <hyperlink ref="E28" r:id="rId26" display="http://aka.ms/PAUIA9"/>
    <hyperlink ref="C22" r:id="rId27" display="https://aka.ms/DIA218"/>
    <hyperlink ref="C26" r:id="rId28" display="http://aka.ms/DAUIA7"/>
    <hyperlink ref="C27" r:id="rId29" display="http://aka.ms/DAUIA8"/>
    <hyperlink ref="C28" r:id="rId30" display="http://aka.ms/DAUIA9"/>
    <hyperlink ref="C29" r:id="rId31" display="http://aka.ms/DAUIA11"/>
    <hyperlink ref="E32" r:id="rId32" display="http://aka.ms/PAUIA12"/>
    <hyperlink ref="C30" r:id="rId33" display="https://aka.ms/IA241"/>
    <hyperlink ref="C31" r:id="rId34" display="https://aka.ms/IA242"/>
    <hyperlink ref="C32" r:id="rId35" display="http://aka.ms/DAUIA12"/>
    <hyperlink ref="C33" r:id="rId36" display="http://aka.ms/DIDIA2"/>
    <hyperlink ref="E33" r:id="rId37" display="http://aka.ms/PIDIA2"/>
    <hyperlink ref="C37" r:id="rId38" display="http://aka.ms/DUSRAC5"/>
    <hyperlink ref="C38" r:id="rId39" display="http://aka.ms/DUSRAC9"/>
    <hyperlink ref="C39" r:id="rId40" display="http://aka.ms/DUSRAC10"/>
    <hyperlink ref="C40" r:id="rId41" display="http://aka.ms/DUSRAC12"/>
    <hyperlink ref="C41" r:id="rId42" display="http://aka.ms/DUSRAC13"/>
    <hyperlink ref="C42" r:id="rId43" display="http://aka.ms/DUSRAC17"/>
    <hyperlink ref="C20" r:id="rId44"/>
    <hyperlink ref="C21" r:id="rId45"/>
  </hyperlinks>
  <pageMargins left="0.7" right="0.7" top="0.75" bottom="0.75" header="0.3" footer="0.3"/>
  <pageSetup orientation="portrait" r:id="rId46"/>
  <drawing r:id="rId47"/>
  <tableParts count="1">
    <tablePart r:id="rId4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0"/>
  <sheetViews>
    <sheetView showRowColHeaders="0" zoomScale="88" zoomScaleNormal="88" workbookViewId="0"/>
  </sheetViews>
  <sheetFormatPr defaultColWidth="9.140625" defaultRowHeight="15" x14ac:dyDescent="0.25"/>
  <cols>
    <col min="1" max="1" width="10.85546875" style="32" customWidth="1"/>
    <col min="2" max="2" width="17.42578125" style="8" customWidth="1"/>
    <col min="3" max="3" width="29.5703125" style="8" customWidth="1"/>
    <col min="4" max="4" width="53.5703125" style="89" customWidth="1"/>
    <col min="5" max="5" width="23.140625" style="32" customWidth="1"/>
    <col min="6" max="6" width="31.42578125" style="8" customWidth="1"/>
    <col min="7" max="7" width="24.28515625" style="8" customWidth="1"/>
    <col min="8" max="8" width="23.5703125" style="32" customWidth="1"/>
    <col min="9" max="16384" width="9.140625" style="1"/>
  </cols>
  <sheetData>
    <row r="1" spans="1:8" ht="15.75" thickBot="1" x14ac:dyDescent="0.3">
      <c r="A1" s="14" t="s">
        <v>30</v>
      </c>
      <c r="B1" s="14" t="s">
        <v>0</v>
      </c>
      <c r="C1" s="14" t="s">
        <v>324</v>
      </c>
      <c r="D1" s="86" t="s">
        <v>2</v>
      </c>
      <c r="E1" s="16" t="s">
        <v>3</v>
      </c>
      <c r="F1" s="36" t="s">
        <v>276</v>
      </c>
      <c r="G1" s="37" t="s">
        <v>440</v>
      </c>
      <c r="H1" s="37" t="s">
        <v>323</v>
      </c>
    </row>
    <row r="2" spans="1:8" ht="75.95" customHeight="1" x14ac:dyDescent="0.25">
      <c r="A2" s="28" t="s">
        <v>149</v>
      </c>
      <c r="B2" s="28" t="s">
        <v>559</v>
      </c>
      <c r="C2" s="29" t="s">
        <v>150</v>
      </c>
      <c r="D2" s="28" t="s">
        <v>151</v>
      </c>
      <c r="E2" s="29"/>
      <c r="F2" s="28"/>
      <c r="G2" s="28"/>
      <c r="H2" s="100"/>
    </row>
    <row r="3" spans="1:8" ht="72.75" x14ac:dyDescent="0.25">
      <c r="A3" s="27" t="s">
        <v>149</v>
      </c>
      <c r="B3" s="27" t="s">
        <v>6</v>
      </c>
      <c r="C3" s="38" t="s">
        <v>152</v>
      </c>
      <c r="D3" s="27" t="s">
        <v>416</v>
      </c>
      <c r="E3" s="30"/>
      <c r="F3" s="39"/>
      <c r="G3" s="39"/>
      <c r="H3" s="59"/>
    </row>
    <row r="4" spans="1:8" ht="120.75" x14ac:dyDescent="0.25">
      <c r="A4" s="27" t="s">
        <v>149</v>
      </c>
      <c r="B4" s="27" t="s">
        <v>6</v>
      </c>
      <c r="C4" s="38" t="s">
        <v>153</v>
      </c>
      <c r="D4" s="88" t="s">
        <v>417</v>
      </c>
      <c r="E4" s="30"/>
      <c r="F4" s="39"/>
      <c r="G4" s="39"/>
      <c r="H4" s="59"/>
    </row>
    <row r="5" spans="1:8" ht="84.75" x14ac:dyDescent="0.25">
      <c r="A5" s="27" t="s">
        <v>149</v>
      </c>
      <c r="B5" s="27" t="s">
        <v>6</v>
      </c>
      <c r="C5" s="38" t="s">
        <v>154</v>
      </c>
      <c r="D5" s="88" t="s">
        <v>590</v>
      </c>
      <c r="E5" s="30"/>
      <c r="F5" s="39"/>
      <c r="G5" s="39"/>
      <c r="H5" s="59"/>
    </row>
    <row r="6" spans="1:8" ht="96.75" x14ac:dyDescent="0.25">
      <c r="A6" s="27" t="s">
        <v>149</v>
      </c>
      <c r="B6" s="27" t="s">
        <v>6</v>
      </c>
      <c r="C6" s="38" t="s">
        <v>155</v>
      </c>
      <c r="D6" s="88" t="s">
        <v>418</v>
      </c>
      <c r="E6" s="30"/>
      <c r="F6" s="39"/>
      <c r="G6" s="39"/>
      <c r="H6" s="59"/>
    </row>
    <row r="7" spans="1:8" ht="84.75" x14ac:dyDescent="0.25">
      <c r="A7" s="27" t="s">
        <v>149</v>
      </c>
      <c r="B7" s="27" t="s">
        <v>6</v>
      </c>
      <c r="C7" s="38" t="s">
        <v>156</v>
      </c>
      <c r="D7" s="88" t="s">
        <v>419</v>
      </c>
      <c r="E7" s="30" t="s">
        <v>157</v>
      </c>
      <c r="F7" s="39"/>
      <c r="G7" s="39"/>
      <c r="H7" s="59"/>
    </row>
    <row r="8" spans="1:8" ht="96.75" x14ac:dyDescent="0.25">
      <c r="A8" s="27" t="s">
        <v>149</v>
      </c>
      <c r="B8" s="27" t="s">
        <v>6</v>
      </c>
      <c r="C8" s="38" t="s">
        <v>341</v>
      </c>
      <c r="D8" s="88" t="s">
        <v>420</v>
      </c>
      <c r="E8" s="30"/>
      <c r="F8" s="39"/>
      <c r="G8" s="39"/>
      <c r="H8" s="59"/>
    </row>
    <row r="9" spans="1:8" ht="84.75" x14ac:dyDescent="0.25">
      <c r="A9" s="27" t="s">
        <v>149</v>
      </c>
      <c r="B9" s="27" t="s">
        <v>6</v>
      </c>
      <c r="C9" s="38" t="s">
        <v>158</v>
      </c>
      <c r="D9" s="88" t="s">
        <v>421</v>
      </c>
      <c r="E9" s="30"/>
      <c r="F9" s="39"/>
      <c r="G9" s="39"/>
      <c r="H9" s="59"/>
    </row>
    <row r="10" spans="1:8" ht="72.75" x14ac:dyDescent="0.25">
      <c r="A10" s="27" t="s">
        <v>149</v>
      </c>
      <c r="B10" s="27" t="s">
        <v>6</v>
      </c>
      <c r="C10" s="38" t="s">
        <v>457</v>
      </c>
      <c r="D10" s="88" t="s">
        <v>458</v>
      </c>
      <c r="E10" s="30"/>
      <c r="F10" s="39" t="s">
        <v>459</v>
      </c>
      <c r="G10" s="39" t="s">
        <v>460</v>
      </c>
      <c r="H10" s="59"/>
    </row>
    <row r="11" spans="1:8" ht="96.75" x14ac:dyDescent="0.25">
      <c r="A11" s="27" t="s">
        <v>149</v>
      </c>
      <c r="B11" s="27" t="s">
        <v>6</v>
      </c>
      <c r="C11" s="38" t="s">
        <v>159</v>
      </c>
      <c r="D11" s="88" t="s">
        <v>160</v>
      </c>
      <c r="E11" s="30" t="s">
        <v>161</v>
      </c>
      <c r="F11" s="39"/>
      <c r="G11" s="39"/>
      <c r="H11" s="59"/>
    </row>
    <row r="12" spans="1:8" ht="108.75" x14ac:dyDescent="0.25">
      <c r="A12" s="27" t="s">
        <v>149</v>
      </c>
      <c r="B12" s="27" t="s">
        <v>6</v>
      </c>
      <c r="C12" s="38" t="s">
        <v>162</v>
      </c>
      <c r="D12" s="88" t="s">
        <v>422</v>
      </c>
      <c r="E12" s="30" t="s">
        <v>163</v>
      </c>
      <c r="F12" s="39"/>
      <c r="G12" s="39"/>
      <c r="H12" s="59"/>
    </row>
    <row r="13" spans="1:8" ht="72.75" x14ac:dyDescent="0.25">
      <c r="A13" s="27" t="s">
        <v>149</v>
      </c>
      <c r="B13" s="27" t="s">
        <v>6</v>
      </c>
      <c r="C13" s="38" t="s">
        <v>164</v>
      </c>
      <c r="D13" s="88" t="s">
        <v>165</v>
      </c>
      <c r="E13" s="30" t="s">
        <v>438</v>
      </c>
      <c r="F13" s="39"/>
      <c r="G13" s="39"/>
      <c r="H13" s="59"/>
    </row>
    <row r="14" spans="1:8" ht="48.75" x14ac:dyDescent="0.25">
      <c r="A14" s="27" t="s">
        <v>149</v>
      </c>
      <c r="B14" s="27" t="s">
        <v>6</v>
      </c>
      <c r="C14" s="38" t="s">
        <v>166</v>
      </c>
      <c r="D14" s="88" t="s">
        <v>167</v>
      </c>
      <c r="E14" s="30" t="s">
        <v>438</v>
      </c>
      <c r="F14" s="39"/>
      <c r="G14" s="39"/>
      <c r="H14" s="59"/>
    </row>
    <row r="15" spans="1:8" ht="84.75" x14ac:dyDescent="0.25">
      <c r="A15" s="27" t="s">
        <v>149</v>
      </c>
      <c r="B15" s="27" t="s">
        <v>6</v>
      </c>
      <c r="C15" s="38" t="s">
        <v>168</v>
      </c>
      <c r="D15" s="88" t="s">
        <v>169</v>
      </c>
      <c r="E15" s="30"/>
      <c r="F15" s="39"/>
      <c r="G15" s="39"/>
      <c r="H15" s="59"/>
    </row>
    <row r="16" spans="1:8" ht="48.75" x14ac:dyDescent="0.25">
      <c r="A16" s="27" t="s">
        <v>149</v>
      </c>
      <c r="B16" s="27" t="s">
        <v>6</v>
      </c>
      <c r="C16" s="38" t="s">
        <v>170</v>
      </c>
      <c r="D16" s="88" t="s">
        <v>423</v>
      </c>
      <c r="E16" s="30"/>
      <c r="F16" s="39"/>
      <c r="G16" s="39"/>
      <c r="H16" s="59"/>
    </row>
    <row r="17" spans="1:8" ht="36.75" x14ac:dyDescent="0.25">
      <c r="A17" s="27" t="s">
        <v>149</v>
      </c>
      <c r="B17" s="27" t="s">
        <v>6</v>
      </c>
      <c r="C17" s="38" t="s">
        <v>171</v>
      </c>
      <c r="D17" s="88" t="s">
        <v>172</v>
      </c>
      <c r="E17" s="30"/>
      <c r="F17" s="39"/>
      <c r="G17" s="39"/>
      <c r="H17" s="59"/>
    </row>
    <row r="18" spans="1:8" ht="48.75" x14ac:dyDescent="0.25">
      <c r="A18" s="27" t="s">
        <v>149</v>
      </c>
      <c r="B18" s="27" t="s">
        <v>6</v>
      </c>
      <c r="C18" s="38" t="s">
        <v>173</v>
      </c>
      <c r="D18" s="88" t="s">
        <v>591</v>
      </c>
      <c r="E18" s="30"/>
      <c r="F18" s="39"/>
      <c r="G18" s="39"/>
      <c r="H18" s="59"/>
    </row>
    <row r="19" spans="1:8" ht="48.75" x14ac:dyDescent="0.25">
      <c r="A19" s="27" t="s">
        <v>149</v>
      </c>
      <c r="B19" s="27" t="s">
        <v>6</v>
      </c>
      <c r="C19" s="38" t="s">
        <v>176</v>
      </c>
      <c r="D19" s="88" t="s">
        <v>592</v>
      </c>
      <c r="E19" s="30"/>
      <c r="F19" s="39"/>
      <c r="G19" s="39"/>
      <c r="H19" s="59"/>
    </row>
    <row r="20" spans="1:8" ht="37.5" thickBot="1" x14ac:dyDescent="0.3">
      <c r="A20" s="27" t="s">
        <v>149</v>
      </c>
      <c r="B20" s="27" t="s">
        <v>6</v>
      </c>
      <c r="C20" s="38" t="s">
        <v>593</v>
      </c>
      <c r="D20" s="88" t="s">
        <v>424</v>
      </c>
      <c r="E20" s="30"/>
      <c r="F20" s="39"/>
      <c r="G20" s="39"/>
      <c r="H20" s="102"/>
    </row>
    <row r="21" spans="1:8" ht="48.75" x14ac:dyDescent="0.25">
      <c r="A21" s="28" t="s">
        <v>257</v>
      </c>
      <c r="B21" s="28" t="s">
        <v>258</v>
      </c>
      <c r="C21" s="129" t="s">
        <v>498</v>
      </c>
      <c r="D21" s="87" t="s">
        <v>594</v>
      </c>
      <c r="E21" s="29"/>
      <c r="F21" s="28"/>
      <c r="G21" s="28"/>
      <c r="H21" s="101"/>
    </row>
    <row r="22" spans="1:8" ht="133.5" thickBot="1" x14ac:dyDescent="0.3">
      <c r="A22" s="27" t="s">
        <v>257</v>
      </c>
      <c r="B22" s="27" t="s">
        <v>258</v>
      </c>
      <c r="C22" s="38" t="s">
        <v>499</v>
      </c>
      <c r="D22" s="88" t="s">
        <v>500</v>
      </c>
      <c r="E22" s="30"/>
      <c r="F22" s="39"/>
      <c r="G22" s="39"/>
      <c r="H22" s="104"/>
    </row>
    <row r="23" spans="1:8" ht="133.5" thickBot="1" x14ac:dyDescent="0.3">
      <c r="A23" s="27" t="s">
        <v>257</v>
      </c>
      <c r="B23" s="27" t="s">
        <v>258</v>
      </c>
      <c r="C23" s="38" t="s">
        <v>580</v>
      </c>
      <c r="D23" s="88" t="s">
        <v>581</v>
      </c>
      <c r="E23" s="30"/>
      <c r="F23" s="39"/>
      <c r="G23" s="39"/>
      <c r="H23" s="104"/>
    </row>
    <row r="24" spans="1:8" ht="60.75" x14ac:dyDescent="0.25">
      <c r="A24" s="28" t="s">
        <v>128</v>
      </c>
      <c r="B24" s="28" t="s">
        <v>559</v>
      </c>
      <c r="C24" s="28" t="s">
        <v>129</v>
      </c>
      <c r="D24" s="87" t="s">
        <v>130</v>
      </c>
      <c r="E24" s="29"/>
      <c r="F24" s="28"/>
      <c r="G24" s="28"/>
      <c r="H24" s="101"/>
    </row>
    <row r="25" spans="1:8" ht="73.5" thickBot="1" x14ac:dyDescent="0.3">
      <c r="A25" s="27" t="s">
        <v>128</v>
      </c>
      <c r="B25" s="27" t="s">
        <v>6</v>
      </c>
      <c r="C25" s="38" t="s">
        <v>131</v>
      </c>
      <c r="D25" s="88" t="s">
        <v>405</v>
      </c>
      <c r="E25" s="30" t="s">
        <v>132</v>
      </c>
      <c r="F25" s="39"/>
      <c r="G25" s="39"/>
      <c r="H25" s="104"/>
    </row>
    <row r="26" spans="1:8" ht="157.5" thickBot="1" x14ac:dyDescent="0.3">
      <c r="A26" s="27" t="s">
        <v>128</v>
      </c>
      <c r="B26" s="27" t="s">
        <v>6</v>
      </c>
      <c r="C26" s="38" t="s">
        <v>133</v>
      </c>
      <c r="D26" s="88" t="s">
        <v>406</v>
      </c>
      <c r="E26" s="30" t="s">
        <v>132</v>
      </c>
      <c r="F26" s="39"/>
      <c r="G26" s="39"/>
      <c r="H26" s="104"/>
    </row>
    <row r="27" spans="1:8" ht="133.5" thickBot="1" x14ac:dyDescent="0.3">
      <c r="A27" s="27" t="s">
        <v>128</v>
      </c>
      <c r="B27" s="27" t="s">
        <v>6</v>
      </c>
      <c r="C27" s="38" t="s">
        <v>134</v>
      </c>
      <c r="D27" s="88" t="s">
        <v>407</v>
      </c>
      <c r="E27" s="30" t="s">
        <v>132</v>
      </c>
      <c r="F27" s="39"/>
      <c r="G27" s="39"/>
      <c r="H27" s="104"/>
    </row>
    <row r="28" spans="1:8" ht="85.5" thickBot="1" x14ac:dyDescent="0.3">
      <c r="A28" s="27" t="s">
        <v>128</v>
      </c>
      <c r="B28" s="27" t="s">
        <v>6</v>
      </c>
      <c r="C28" s="38" t="s">
        <v>135</v>
      </c>
      <c r="D28" s="88" t="s">
        <v>408</v>
      </c>
      <c r="E28" s="30" t="s">
        <v>132</v>
      </c>
      <c r="F28" s="39"/>
      <c r="G28" s="39"/>
      <c r="H28" s="104"/>
    </row>
    <row r="29" spans="1:8" ht="61.5" thickBot="1" x14ac:dyDescent="0.3">
      <c r="A29" s="27" t="s">
        <v>128</v>
      </c>
      <c r="B29" s="27" t="s">
        <v>6</v>
      </c>
      <c r="C29" s="38" t="s">
        <v>136</v>
      </c>
      <c r="D29" s="88" t="s">
        <v>137</v>
      </c>
      <c r="E29" s="30" t="s">
        <v>132</v>
      </c>
      <c r="F29" s="39"/>
      <c r="G29" s="39"/>
      <c r="H29" s="104"/>
    </row>
    <row r="30" spans="1:8" ht="121.5" thickBot="1" x14ac:dyDescent="0.3">
      <c r="A30" s="27" t="s">
        <v>128</v>
      </c>
      <c r="B30" s="27" t="s">
        <v>6</v>
      </c>
      <c r="C30" s="38" t="s">
        <v>138</v>
      </c>
      <c r="D30" s="88" t="s">
        <v>627</v>
      </c>
      <c r="E30" s="30" t="s">
        <v>132</v>
      </c>
      <c r="F30" s="39"/>
      <c r="G30" s="39"/>
      <c r="H30" s="104"/>
    </row>
    <row r="31" spans="1:8" ht="73.5" thickBot="1" x14ac:dyDescent="0.3">
      <c r="A31" s="27" t="s">
        <v>128</v>
      </c>
      <c r="B31" s="27" t="s">
        <v>6</v>
      </c>
      <c r="C31" s="38" t="s">
        <v>139</v>
      </c>
      <c r="D31" s="88" t="s">
        <v>140</v>
      </c>
      <c r="E31" s="30" t="s">
        <v>132</v>
      </c>
      <c r="F31" s="39"/>
      <c r="G31" s="39"/>
      <c r="H31" s="104"/>
    </row>
    <row r="32" spans="1:8" ht="73.5" thickBot="1" x14ac:dyDescent="0.3">
      <c r="A32" s="27" t="s">
        <v>128</v>
      </c>
      <c r="B32" s="27" t="s">
        <v>6</v>
      </c>
      <c r="C32" s="38" t="s">
        <v>141</v>
      </c>
      <c r="D32" s="88" t="s">
        <v>409</v>
      </c>
      <c r="E32" s="30" t="s">
        <v>142</v>
      </c>
      <c r="F32" s="39"/>
      <c r="G32" s="39"/>
      <c r="H32" s="104"/>
    </row>
    <row r="33" spans="1:8" ht="109.5" thickBot="1" x14ac:dyDescent="0.3">
      <c r="A33" s="27" t="s">
        <v>128</v>
      </c>
      <c r="B33" s="27" t="s">
        <v>6</v>
      </c>
      <c r="C33" s="38" t="s">
        <v>143</v>
      </c>
      <c r="D33" s="88" t="s">
        <v>410</v>
      </c>
      <c r="E33" s="30" t="s">
        <v>144</v>
      </c>
      <c r="F33" s="39"/>
      <c r="G33" s="39"/>
      <c r="H33" s="104"/>
    </row>
    <row r="34" spans="1:8" ht="109.5" thickBot="1" x14ac:dyDescent="0.3">
      <c r="A34" s="27" t="s">
        <v>128</v>
      </c>
      <c r="B34" s="27" t="s">
        <v>6</v>
      </c>
      <c r="C34" s="38" t="s">
        <v>339</v>
      </c>
      <c r="D34" s="88" t="s">
        <v>411</v>
      </c>
      <c r="E34" s="30"/>
      <c r="F34" s="39"/>
      <c r="G34" s="39"/>
      <c r="H34" s="104"/>
    </row>
    <row r="35" spans="1:8" ht="73.5" thickBot="1" x14ac:dyDescent="0.3">
      <c r="A35" s="27" t="s">
        <v>128</v>
      </c>
      <c r="B35" s="27" t="s">
        <v>6</v>
      </c>
      <c r="C35" s="38" t="s">
        <v>340</v>
      </c>
      <c r="D35" s="88" t="s">
        <v>412</v>
      </c>
      <c r="E35" s="30"/>
      <c r="F35" s="39"/>
      <c r="G35" s="39"/>
      <c r="H35" s="104"/>
    </row>
    <row r="36" spans="1:8" ht="49.5" thickBot="1" x14ac:dyDescent="0.3">
      <c r="A36" s="27" t="s">
        <v>128</v>
      </c>
      <c r="B36" s="27" t="s">
        <v>11</v>
      </c>
      <c r="C36" s="38" t="s">
        <v>145</v>
      </c>
      <c r="D36" s="88" t="s">
        <v>413</v>
      </c>
      <c r="E36" s="30"/>
      <c r="F36" s="39"/>
      <c r="G36" s="39"/>
      <c r="H36" s="104"/>
    </row>
    <row r="37" spans="1:8" ht="157.5" thickBot="1" x14ac:dyDescent="0.3">
      <c r="A37" s="27" t="s">
        <v>128</v>
      </c>
      <c r="B37" s="27" t="s">
        <v>126</v>
      </c>
      <c r="C37" s="38" t="s">
        <v>146</v>
      </c>
      <c r="D37" s="88" t="s">
        <v>414</v>
      </c>
      <c r="E37" s="30"/>
      <c r="F37" s="39"/>
      <c r="G37" s="39"/>
      <c r="H37" s="104"/>
    </row>
    <row r="38" spans="1:8" ht="73.5" thickBot="1" x14ac:dyDescent="0.3">
      <c r="A38" s="27" t="s">
        <v>128</v>
      </c>
      <c r="B38" s="27" t="s">
        <v>126</v>
      </c>
      <c r="C38" s="38" t="s">
        <v>139</v>
      </c>
      <c r="D38" s="88" t="s">
        <v>147</v>
      </c>
      <c r="E38" s="30"/>
      <c r="F38" s="39"/>
      <c r="G38" s="39"/>
      <c r="H38" s="104"/>
    </row>
    <row r="39" spans="1:8" ht="181.5" thickBot="1" x14ac:dyDescent="0.3">
      <c r="A39" s="27" t="s">
        <v>128</v>
      </c>
      <c r="B39" s="27" t="s">
        <v>559</v>
      </c>
      <c r="C39" s="38" t="s">
        <v>148</v>
      </c>
      <c r="D39" s="88" t="s">
        <v>415</v>
      </c>
      <c r="E39" s="30"/>
      <c r="F39" s="39"/>
      <c r="G39" s="39"/>
      <c r="H39" s="104"/>
    </row>
    <row r="40" spans="1:8" ht="61.5" thickBot="1" x14ac:dyDescent="0.3">
      <c r="A40" s="27" t="s">
        <v>128</v>
      </c>
      <c r="B40" s="27" t="s">
        <v>559</v>
      </c>
      <c r="C40" s="38" t="s">
        <v>530</v>
      </c>
      <c r="D40" s="88" t="s">
        <v>531</v>
      </c>
      <c r="E40" s="30"/>
      <c r="F40" s="39"/>
      <c r="G40" s="39"/>
      <c r="H40" s="104"/>
    </row>
    <row r="41" spans="1:8" ht="85.5" thickBot="1" x14ac:dyDescent="0.3">
      <c r="A41" s="27" t="s">
        <v>128</v>
      </c>
      <c r="B41" s="27" t="s">
        <v>11</v>
      </c>
      <c r="C41" s="38" t="s">
        <v>532</v>
      </c>
      <c r="D41" s="88" t="s">
        <v>533</v>
      </c>
      <c r="E41" s="30"/>
      <c r="F41" s="39"/>
      <c r="G41" s="39"/>
      <c r="H41" s="104"/>
    </row>
    <row r="42" spans="1:8" ht="60.75" x14ac:dyDescent="0.25">
      <c r="A42" s="27" t="s">
        <v>177</v>
      </c>
      <c r="B42" s="27" t="s">
        <v>11</v>
      </c>
      <c r="C42" s="38" t="s">
        <v>188</v>
      </c>
      <c r="D42" s="88" t="s">
        <v>189</v>
      </c>
      <c r="E42" s="30" t="s">
        <v>10</v>
      </c>
      <c r="F42" s="39"/>
      <c r="G42" s="39"/>
      <c r="H42" s="103"/>
    </row>
    <row r="43" spans="1:8" ht="24.75" x14ac:dyDescent="0.25">
      <c r="A43" s="28" t="s">
        <v>113</v>
      </c>
      <c r="B43" s="28" t="s">
        <v>559</v>
      </c>
      <c r="C43" s="28" t="s">
        <v>114</v>
      </c>
      <c r="D43" s="87" t="s">
        <v>115</v>
      </c>
      <c r="E43" s="29"/>
      <c r="F43" s="28"/>
      <c r="G43" s="28"/>
      <c r="H43" s="101"/>
    </row>
    <row r="44" spans="1:8" ht="132.75" x14ac:dyDescent="0.25">
      <c r="A44" s="27" t="s">
        <v>113</v>
      </c>
      <c r="B44" s="27" t="s">
        <v>604</v>
      </c>
      <c r="C44" s="38" t="s">
        <v>604</v>
      </c>
      <c r="D44" s="88" t="s">
        <v>605</v>
      </c>
      <c r="E44" s="30" t="s">
        <v>606</v>
      </c>
      <c r="F44" s="39"/>
      <c r="G44" s="39" t="s">
        <v>313</v>
      </c>
      <c r="H44" s="60"/>
    </row>
    <row r="45" spans="1:8" ht="108.75" x14ac:dyDescent="0.25">
      <c r="A45" s="27" t="s">
        <v>113</v>
      </c>
      <c r="B45" s="27" t="s">
        <v>604</v>
      </c>
      <c r="C45" s="38" t="s">
        <v>607</v>
      </c>
      <c r="D45" s="88" t="s">
        <v>608</v>
      </c>
      <c r="E45" s="30"/>
      <c r="F45" s="39"/>
      <c r="G45" s="39"/>
      <c r="H45" s="60"/>
    </row>
    <row r="46" spans="1:8" ht="132.75" x14ac:dyDescent="0.25">
      <c r="A46" s="27" t="s">
        <v>113</v>
      </c>
      <c r="B46" s="27" t="s">
        <v>604</v>
      </c>
      <c r="C46" s="38" t="s">
        <v>116</v>
      </c>
      <c r="D46" s="88" t="s">
        <v>609</v>
      </c>
      <c r="E46" s="30"/>
      <c r="F46" s="39"/>
      <c r="G46" s="39"/>
      <c r="H46" s="60"/>
    </row>
    <row r="47" spans="1:8" ht="72.75" x14ac:dyDescent="0.25">
      <c r="A47" s="27" t="s">
        <v>113</v>
      </c>
      <c r="B47" s="27" t="s">
        <v>604</v>
      </c>
      <c r="C47" s="38" t="s">
        <v>117</v>
      </c>
      <c r="D47" s="88" t="s">
        <v>398</v>
      </c>
      <c r="E47" s="30"/>
      <c r="F47" s="39"/>
      <c r="G47" s="39"/>
      <c r="H47" s="60"/>
    </row>
    <row r="48" spans="1:8" ht="228.75" x14ac:dyDescent="0.25">
      <c r="A48" s="27" t="s">
        <v>113</v>
      </c>
      <c r="B48" s="27" t="s">
        <v>604</v>
      </c>
      <c r="C48" s="38" t="s">
        <v>118</v>
      </c>
      <c r="D48" s="88" t="s">
        <v>610</v>
      </c>
      <c r="E48" s="30"/>
      <c r="F48" s="39"/>
      <c r="G48" s="39"/>
      <c r="H48" s="60"/>
    </row>
    <row r="49" spans="1:8" ht="84.75" x14ac:dyDescent="0.25">
      <c r="A49" s="27" t="s">
        <v>113</v>
      </c>
      <c r="B49" s="27" t="s">
        <v>604</v>
      </c>
      <c r="C49" s="38" t="s">
        <v>611</v>
      </c>
      <c r="D49" s="88" t="s">
        <v>612</v>
      </c>
      <c r="E49" s="30"/>
      <c r="F49" s="39"/>
      <c r="G49" s="39"/>
      <c r="H49" s="60"/>
    </row>
    <row r="50" spans="1:8" ht="120.75" x14ac:dyDescent="0.25">
      <c r="A50" s="27" t="s">
        <v>113</v>
      </c>
      <c r="B50" s="27" t="s">
        <v>604</v>
      </c>
      <c r="C50" s="38" t="s">
        <v>613</v>
      </c>
      <c r="D50" s="88" t="s">
        <v>614</v>
      </c>
      <c r="E50" s="30"/>
      <c r="F50" s="39"/>
      <c r="G50" s="39"/>
      <c r="H50" s="60"/>
    </row>
    <row r="51" spans="1:8" ht="132.75" x14ac:dyDescent="0.25">
      <c r="A51" s="27" t="s">
        <v>113</v>
      </c>
      <c r="B51" s="27" t="s">
        <v>604</v>
      </c>
      <c r="C51" s="38" t="s">
        <v>615</v>
      </c>
      <c r="D51" s="88" t="s">
        <v>399</v>
      </c>
      <c r="E51" s="30"/>
      <c r="F51" s="39"/>
      <c r="G51" s="39"/>
      <c r="H51" s="60"/>
    </row>
    <row r="52" spans="1:8" ht="24.75" x14ac:dyDescent="0.25">
      <c r="A52" s="27" t="s">
        <v>113</v>
      </c>
      <c r="B52" s="27" t="s">
        <v>559</v>
      </c>
      <c r="C52" s="38" t="s">
        <v>119</v>
      </c>
      <c r="D52" s="88" t="s">
        <v>538</v>
      </c>
      <c r="E52" s="30"/>
      <c r="F52" s="39"/>
      <c r="G52" s="39"/>
      <c r="H52" s="60"/>
    </row>
    <row r="53" spans="1:8" ht="36.75" x14ac:dyDescent="0.25">
      <c r="A53" s="27" t="s">
        <v>113</v>
      </c>
      <c r="B53" s="27" t="s">
        <v>6</v>
      </c>
      <c r="C53" s="130" t="s">
        <v>6</v>
      </c>
      <c r="D53" s="88" t="s">
        <v>120</v>
      </c>
      <c r="E53" s="30"/>
      <c r="F53" s="39"/>
      <c r="G53" s="39"/>
      <c r="H53" s="60"/>
    </row>
    <row r="54" spans="1:8" ht="240.75" x14ac:dyDescent="0.25">
      <c r="A54" s="27" t="s">
        <v>113</v>
      </c>
      <c r="B54" s="27" t="s">
        <v>6</v>
      </c>
      <c r="C54" s="38" t="s">
        <v>121</v>
      </c>
      <c r="D54" s="88" t="s">
        <v>400</v>
      </c>
      <c r="E54" s="30" t="s">
        <v>122</v>
      </c>
      <c r="F54" s="39"/>
      <c r="G54" s="39"/>
      <c r="H54" s="60"/>
    </row>
    <row r="55" spans="1:8" ht="156.75" x14ac:dyDescent="0.25">
      <c r="A55" s="27" t="s">
        <v>113</v>
      </c>
      <c r="B55" s="27" t="s">
        <v>6</v>
      </c>
      <c r="C55" s="38" t="s">
        <v>123</v>
      </c>
      <c r="D55" s="88" t="s">
        <v>401</v>
      </c>
      <c r="E55" s="30" t="s">
        <v>122</v>
      </c>
      <c r="F55" s="39"/>
      <c r="G55" s="39"/>
      <c r="H55" s="60"/>
    </row>
    <row r="56" spans="1:8" ht="144.75" x14ac:dyDescent="0.25">
      <c r="A56" s="27" t="s">
        <v>113</v>
      </c>
      <c r="B56" s="27" t="s">
        <v>6</v>
      </c>
      <c r="C56" s="38" t="s">
        <v>338</v>
      </c>
      <c r="D56" s="88" t="s">
        <v>402</v>
      </c>
      <c r="E56" s="30"/>
      <c r="F56" s="39"/>
      <c r="G56" s="39"/>
      <c r="H56" s="60"/>
    </row>
    <row r="57" spans="1:8" ht="108.75" x14ac:dyDescent="0.25">
      <c r="A57" s="27" t="s">
        <v>113</v>
      </c>
      <c r="B57" s="27" t="s">
        <v>6</v>
      </c>
      <c r="C57" s="38" t="s">
        <v>124</v>
      </c>
      <c r="D57" s="88" t="s">
        <v>403</v>
      </c>
      <c r="E57" s="30" t="s">
        <v>125</v>
      </c>
      <c r="F57" s="39"/>
      <c r="G57" s="39"/>
      <c r="H57" s="60"/>
    </row>
    <row r="58" spans="1:8" ht="84.75" x14ac:dyDescent="0.25">
      <c r="A58" s="27" t="s">
        <v>113</v>
      </c>
      <c r="B58" s="27" t="s">
        <v>126</v>
      </c>
      <c r="C58" s="38" t="s">
        <v>127</v>
      </c>
      <c r="D58" s="88" t="s">
        <v>404</v>
      </c>
      <c r="E58" s="30"/>
      <c r="F58" s="39"/>
      <c r="G58" s="39"/>
      <c r="H58" s="60"/>
    </row>
    <row r="59" spans="1:8" ht="96.75" x14ac:dyDescent="0.25">
      <c r="A59" s="27" t="s">
        <v>233</v>
      </c>
      <c r="B59" s="27" t="s">
        <v>559</v>
      </c>
      <c r="C59" s="38" t="s">
        <v>242</v>
      </c>
      <c r="D59" s="88" t="s">
        <v>243</v>
      </c>
      <c r="E59" s="30"/>
      <c r="F59" s="39"/>
      <c r="G59" s="39"/>
      <c r="H59" s="60"/>
    </row>
    <row r="60" spans="1:8" ht="108.75" x14ac:dyDescent="0.25">
      <c r="A60" s="27" t="s">
        <v>233</v>
      </c>
      <c r="B60" s="27" t="s">
        <v>559</v>
      </c>
      <c r="C60" s="38" t="s">
        <v>244</v>
      </c>
      <c r="D60" s="88" t="s">
        <v>429</v>
      </c>
      <c r="E60" s="30"/>
      <c r="F60" s="39" t="s">
        <v>317</v>
      </c>
      <c r="G60" s="39" t="s">
        <v>318</v>
      </c>
      <c r="H60" s="60"/>
    </row>
    <row r="61" spans="1:8" ht="60.75" x14ac:dyDescent="0.25">
      <c r="A61" s="27" t="s">
        <v>233</v>
      </c>
      <c r="B61" s="27" t="s">
        <v>6</v>
      </c>
      <c r="C61" s="38" t="s">
        <v>569</v>
      </c>
      <c r="D61" s="88" t="s">
        <v>570</v>
      </c>
      <c r="E61" s="30"/>
      <c r="F61" s="39"/>
      <c r="G61" s="39"/>
      <c r="H61" s="60"/>
    </row>
    <row r="62" spans="1:8" ht="60.75" x14ac:dyDescent="0.25">
      <c r="A62" s="27" t="s">
        <v>233</v>
      </c>
      <c r="B62" s="27" t="s">
        <v>11</v>
      </c>
      <c r="C62" s="38" t="s">
        <v>245</v>
      </c>
      <c r="D62" s="88" t="s">
        <v>430</v>
      </c>
      <c r="E62" s="30"/>
      <c r="F62" s="39"/>
      <c r="G62" s="39"/>
      <c r="H62" s="60"/>
    </row>
    <row r="63" spans="1:8" ht="96.75" x14ac:dyDescent="0.25">
      <c r="A63" s="27" t="s">
        <v>233</v>
      </c>
      <c r="B63" s="27" t="s">
        <v>11</v>
      </c>
      <c r="C63" s="38" t="s">
        <v>24</v>
      </c>
      <c r="D63" s="88" t="s">
        <v>431</v>
      </c>
      <c r="E63" s="30"/>
      <c r="F63" s="39"/>
      <c r="G63" s="39"/>
      <c r="H63" s="60"/>
    </row>
    <row r="64" spans="1:8" ht="48.75" x14ac:dyDescent="0.25">
      <c r="A64" s="120" t="s">
        <v>248</v>
      </c>
      <c r="B64" s="120" t="s">
        <v>559</v>
      </c>
      <c r="C64" s="135" t="s">
        <v>249</v>
      </c>
      <c r="D64" s="131" t="s">
        <v>250</v>
      </c>
      <c r="E64" s="132"/>
      <c r="F64" s="133"/>
      <c r="G64" s="133"/>
      <c r="H64" s="134"/>
    </row>
    <row r="65" spans="1:8" ht="48.75" x14ac:dyDescent="0.25">
      <c r="A65" s="27" t="s">
        <v>248</v>
      </c>
      <c r="B65" s="27" t="s">
        <v>559</v>
      </c>
      <c r="C65" s="38" t="s">
        <v>251</v>
      </c>
      <c r="D65" s="88" t="s">
        <v>252</v>
      </c>
      <c r="E65" s="30"/>
      <c r="F65" s="39"/>
      <c r="G65" s="39"/>
      <c r="H65" s="60"/>
    </row>
    <row r="66" spans="1:8" ht="108.75" x14ac:dyDescent="0.25">
      <c r="A66" s="27" t="s">
        <v>248</v>
      </c>
      <c r="B66" s="27" t="s">
        <v>559</v>
      </c>
      <c r="C66" s="38" t="s">
        <v>253</v>
      </c>
      <c r="D66" s="88" t="s">
        <v>254</v>
      </c>
      <c r="E66" s="30"/>
      <c r="F66" s="39"/>
      <c r="G66" s="39"/>
      <c r="H66" s="60"/>
    </row>
    <row r="67" spans="1:8" s="22" customFormat="1" ht="168.75" x14ac:dyDescent="0.25">
      <c r="A67" s="27" t="s">
        <v>248</v>
      </c>
      <c r="B67" s="27" t="s">
        <v>37</v>
      </c>
      <c r="C67" s="38" t="s">
        <v>571</v>
      </c>
      <c r="D67" s="88" t="s">
        <v>595</v>
      </c>
      <c r="E67" s="30"/>
      <c r="F67" s="39"/>
      <c r="G67" s="39"/>
      <c r="H67" s="60"/>
    </row>
    <row r="68" spans="1:8" ht="36.75" x14ac:dyDescent="0.25">
      <c r="A68" s="27" t="s">
        <v>248</v>
      </c>
      <c r="B68" s="27" t="s">
        <v>37</v>
      </c>
      <c r="C68" s="38" t="s">
        <v>255</v>
      </c>
      <c r="D68" s="88" t="s">
        <v>256</v>
      </c>
      <c r="E68" s="30"/>
      <c r="F68" s="39"/>
      <c r="G68" s="39"/>
      <c r="H68" s="60"/>
    </row>
    <row r="69" spans="1:8" s="22" customFormat="1" ht="60.75" x14ac:dyDescent="0.25">
      <c r="A69" s="28" t="s">
        <v>77</v>
      </c>
      <c r="B69" s="28" t="s">
        <v>559</v>
      </c>
      <c r="C69" s="28" t="s">
        <v>78</v>
      </c>
      <c r="D69" s="87" t="s">
        <v>79</v>
      </c>
      <c r="E69" s="29"/>
      <c r="F69" s="28"/>
      <c r="G69" s="28"/>
      <c r="H69" s="101"/>
    </row>
    <row r="70" spans="1:8" ht="36.75" x14ac:dyDescent="0.25">
      <c r="A70" s="27" t="s">
        <v>77</v>
      </c>
      <c r="B70" s="27" t="s">
        <v>6</v>
      </c>
      <c r="C70" s="38" t="s">
        <v>80</v>
      </c>
      <c r="D70" s="88" t="s">
        <v>81</v>
      </c>
      <c r="E70" s="30"/>
      <c r="F70" s="39"/>
      <c r="G70" s="39"/>
      <c r="H70" s="60"/>
    </row>
    <row r="71" spans="1:8" ht="72.75" x14ac:dyDescent="0.25">
      <c r="A71" s="27" t="s">
        <v>77</v>
      </c>
      <c r="B71" s="27" t="s">
        <v>6</v>
      </c>
      <c r="C71" s="38" t="s">
        <v>574</v>
      </c>
      <c r="D71" s="88" t="s">
        <v>366</v>
      </c>
      <c r="E71" s="30"/>
      <c r="F71" s="39"/>
      <c r="G71" s="39" t="s">
        <v>293</v>
      </c>
      <c r="H71" s="60"/>
    </row>
    <row r="72" spans="1:8" ht="72.75" x14ac:dyDescent="0.25">
      <c r="A72" s="27" t="s">
        <v>77</v>
      </c>
      <c r="B72" s="27" t="s">
        <v>6</v>
      </c>
      <c r="C72" s="38" t="s">
        <v>82</v>
      </c>
      <c r="D72" s="88" t="s">
        <v>367</v>
      </c>
      <c r="E72" s="30" t="s">
        <v>83</v>
      </c>
      <c r="F72" s="39" t="s">
        <v>294</v>
      </c>
      <c r="G72" s="39" t="s">
        <v>295</v>
      </c>
      <c r="H72" s="60"/>
    </row>
    <row r="73" spans="1:8" ht="120.75" x14ac:dyDescent="0.25">
      <c r="A73" s="27" t="s">
        <v>77</v>
      </c>
      <c r="B73" s="27" t="s">
        <v>6</v>
      </c>
      <c r="C73" s="38" t="s">
        <v>85</v>
      </c>
      <c r="D73" s="88" t="s">
        <v>369</v>
      </c>
      <c r="E73" s="30" t="s">
        <v>86</v>
      </c>
      <c r="F73" s="39"/>
      <c r="G73" s="39" t="s">
        <v>296</v>
      </c>
      <c r="H73" s="60"/>
    </row>
    <row r="74" spans="1:8" ht="144.75" x14ac:dyDescent="0.25">
      <c r="A74" s="27" t="s">
        <v>77</v>
      </c>
      <c r="B74" s="27" t="s">
        <v>6</v>
      </c>
      <c r="C74" s="38" t="s">
        <v>329</v>
      </c>
      <c r="D74" s="88" t="s">
        <v>370</v>
      </c>
      <c r="E74" s="30"/>
      <c r="F74" s="39"/>
      <c r="G74" s="39"/>
      <c r="H74" s="60"/>
    </row>
    <row r="75" spans="1:8" ht="60.75" x14ac:dyDescent="0.25">
      <c r="A75" s="27" t="s">
        <v>77</v>
      </c>
      <c r="B75" s="27" t="s">
        <v>6</v>
      </c>
      <c r="C75" s="38" t="s">
        <v>330</v>
      </c>
      <c r="D75" s="88" t="s">
        <v>371</v>
      </c>
      <c r="E75" s="30"/>
      <c r="F75" s="39"/>
      <c r="G75" s="39"/>
      <c r="H75" s="60"/>
    </row>
    <row r="76" spans="1:8" ht="72.75" x14ac:dyDescent="0.25">
      <c r="A76" s="27" t="s">
        <v>77</v>
      </c>
      <c r="B76" s="27" t="s">
        <v>11</v>
      </c>
      <c r="C76" s="38" t="s">
        <v>88</v>
      </c>
      <c r="D76" s="88" t="s">
        <v>374</v>
      </c>
      <c r="E76" s="30"/>
      <c r="F76" s="39"/>
      <c r="G76" s="39"/>
      <c r="H76" s="60"/>
    </row>
    <row r="77" spans="1:8" ht="36.75" x14ac:dyDescent="0.25">
      <c r="A77" s="27" t="s">
        <v>77</v>
      </c>
      <c r="B77" s="27" t="s">
        <v>11</v>
      </c>
      <c r="C77" s="38" t="s">
        <v>92</v>
      </c>
      <c r="D77" s="88" t="s">
        <v>376</v>
      </c>
      <c r="E77" s="30"/>
      <c r="F77" s="39" t="s">
        <v>299</v>
      </c>
      <c r="G77" s="39" t="s">
        <v>300</v>
      </c>
      <c r="H77" s="60"/>
    </row>
    <row r="78" spans="1:8" ht="60.75" x14ac:dyDescent="0.25">
      <c r="A78" s="27" t="s">
        <v>77</v>
      </c>
      <c r="B78" s="27" t="s">
        <v>11</v>
      </c>
      <c r="C78" s="38" t="s">
        <v>93</v>
      </c>
      <c r="D78" s="88" t="s">
        <v>94</v>
      </c>
      <c r="E78" s="30" t="s">
        <v>86</v>
      </c>
      <c r="F78" s="39" t="s">
        <v>301</v>
      </c>
      <c r="G78" s="39" t="s">
        <v>302</v>
      </c>
      <c r="H78" s="60"/>
    </row>
    <row r="79" spans="1:8" ht="60.75" x14ac:dyDescent="0.25">
      <c r="A79" s="27" t="s">
        <v>77</v>
      </c>
      <c r="B79" s="27" t="s">
        <v>11</v>
      </c>
      <c r="C79" s="38" t="s">
        <v>331</v>
      </c>
      <c r="D79" s="88" t="s">
        <v>377</v>
      </c>
      <c r="E79" s="30"/>
      <c r="F79" s="39" t="s">
        <v>436</v>
      </c>
      <c r="G79" s="39" t="s">
        <v>300</v>
      </c>
      <c r="H79" s="60"/>
    </row>
    <row r="80" spans="1:8" ht="72.75" x14ac:dyDescent="0.25">
      <c r="A80" s="27" t="s">
        <v>77</v>
      </c>
      <c r="B80" s="27" t="s">
        <v>11</v>
      </c>
      <c r="C80" s="38" t="s">
        <v>95</v>
      </c>
      <c r="D80" s="88" t="s">
        <v>378</v>
      </c>
      <c r="E80" s="30" t="s">
        <v>86</v>
      </c>
      <c r="F80" s="39"/>
      <c r="G80" s="39"/>
      <c r="H80" s="60"/>
    </row>
    <row r="81" spans="1:8" ht="156.75" x14ac:dyDescent="0.25">
      <c r="A81" s="27" t="s">
        <v>77</v>
      </c>
      <c r="B81" s="27" t="s">
        <v>11</v>
      </c>
      <c r="C81" s="38" t="s">
        <v>98</v>
      </c>
      <c r="D81" s="88" t="s">
        <v>626</v>
      </c>
      <c r="E81" s="30"/>
      <c r="F81" s="39" t="s">
        <v>304</v>
      </c>
      <c r="G81" s="39" t="s">
        <v>300</v>
      </c>
      <c r="H81" s="60"/>
    </row>
    <row r="82" spans="1:8" ht="72.75" x14ac:dyDescent="0.25">
      <c r="A82" s="27" t="s">
        <v>77</v>
      </c>
      <c r="B82" s="27" t="s">
        <v>11</v>
      </c>
      <c r="C82" s="38" t="s">
        <v>332</v>
      </c>
      <c r="D82" s="88" t="s">
        <v>379</v>
      </c>
      <c r="E82" s="30"/>
      <c r="F82" s="39" t="s">
        <v>305</v>
      </c>
      <c r="G82" s="39" t="s">
        <v>306</v>
      </c>
      <c r="H82" s="60"/>
    </row>
    <row r="83" spans="1:8" ht="48.75" x14ac:dyDescent="0.25">
      <c r="A83" s="27" t="s">
        <v>77</v>
      </c>
      <c r="B83" s="27" t="s">
        <v>70</v>
      </c>
      <c r="C83" s="38" t="s">
        <v>99</v>
      </c>
      <c r="D83" s="88" t="s">
        <v>380</v>
      </c>
      <c r="E83" s="30" t="s">
        <v>86</v>
      </c>
      <c r="F83" s="39"/>
      <c r="G83" s="39"/>
      <c r="H83" s="60"/>
    </row>
    <row r="85" spans="1:8" s="22" customFormat="1" x14ac:dyDescent="0.25">
      <c r="A85" s="32"/>
      <c r="B85" s="8"/>
      <c r="C85" s="8"/>
      <c r="D85" s="89"/>
      <c r="E85" s="32"/>
      <c r="F85" s="8"/>
      <c r="G85" s="8"/>
      <c r="H85" s="32"/>
    </row>
    <row r="86" spans="1:8" s="22" customFormat="1" x14ac:dyDescent="0.25">
      <c r="A86" s="32"/>
      <c r="B86" s="8"/>
      <c r="C86" s="8"/>
      <c r="D86" s="89"/>
      <c r="E86" s="32"/>
      <c r="F86" s="8"/>
      <c r="G86" s="8"/>
      <c r="H86" s="32"/>
    </row>
    <row r="87" spans="1:8" s="22" customFormat="1" x14ac:dyDescent="0.25">
      <c r="A87" s="32"/>
      <c r="B87" s="8"/>
      <c r="C87" s="8"/>
      <c r="D87" s="89"/>
      <c r="E87" s="32"/>
      <c r="F87" s="8"/>
      <c r="G87" s="8"/>
      <c r="H87" s="32"/>
    </row>
    <row r="88" spans="1:8" s="22" customFormat="1" x14ac:dyDescent="0.25">
      <c r="A88" s="32"/>
      <c r="B88" s="8"/>
      <c r="C88" s="8"/>
      <c r="D88" s="89"/>
      <c r="E88" s="32"/>
      <c r="F88" s="8"/>
      <c r="G88" s="8"/>
      <c r="H88" s="32"/>
    </row>
    <row r="96" spans="1:8" x14ac:dyDescent="0.25">
      <c r="A96" s="32">
        <f>COUNTA(A2:A83)</f>
        <v>82</v>
      </c>
      <c r="H96" s="32">
        <f>COUNTA(H2:H94)</f>
        <v>0</v>
      </c>
    </row>
    <row r="130" spans="1:8" x14ac:dyDescent="0.25">
      <c r="A130" s="32">
        <f>COUNTA(A2:A118)</f>
        <v>83</v>
      </c>
      <c r="H130" s="32">
        <f>COUNTA(H2:H118)</f>
        <v>1</v>
      </c>
    </row>
  </sheetData>
  <hyperlinks>
    <hyperlink ref="C3" r:id="rId1" display="http://aka.ms/DDPATP2"/>
    <hyperlink ref="C4" r:id="rId2" display="http://aka.ms/DDPATP3"/>
    <hyperlink ref="C8" r:id="rId3" display="http://aka.ms/DDPATP7"/>
    <hyperlink ref="E7" r:id="rId4" display="http://aka.ms/PDPATP6"/>
    <hyperlink ref="E11" r:id="rId5" display="http://aka.ms/PDPATP9"/>
    <hyperlink ref="E12" r:id="rId6" display="http://aka.ms/PDPATP10"/>
    <hyperlink ref="E13" r:id="rId7" display="http://aka.ms/PDPATP11"/>
    <hyperlink ref="E14" r:id="rId8" display="http://aka.ms/PDPATP12"/>
    <hyperlink ref="C5" r:id="rId9" display="http://aka.ms/DDPATP4"/>
    <hyperlink ref="C6" r:id="rId10" display="http://aka.ms/DDPATP5"/>
    <hyperlink ref="C7" r:id="rId11" display="http://aka.ms/DDPATP6"/>
    <hyperlink ref="C9" r:id="rId12" display="http://aka.ms/DDPATP8"/>
    <hyperlink ref="C10" r:id="rId13" display="http://aka.ms/DDPATP20"/>
    <hyperlink ref="C11" r:id="rId14" display="http://aka.ms/DDPATP9"/>
    <hyperlink ref="C12" r:id="rId15" display="http://aka.ms/DDPATP10"/>
    <hyperlink ref="C13" r:id="rId16" display="http://aka.ms/DDPATP11"/>
    <hyperlink ref="C14" r:id="rId17" display="http://aka.ms/DDPATP12"/>
    <hyperlink ref="C15" r:id="rId18" display="http://aka.ms/DDPATP13"/>
    <hyperlink ref="C16" r:id="rId19" display="http://aka.ms/DDPATP14"/>
    <hyperlink ref="C17" r:id="rId20" display="http://aka.ms/DDPATP15"/>
    <hyperlink ref="C18" r:id="rId21" display="http://aka.ms/DDPATP16"/>
    <hyperlink ref="C19" r:id="rId22" display="http://aka.ms/DDPATP18"/>
    <hyperlink ref="C20" r:id="rId23" display="http://aka.ms/DDPATP19"/>
    <hyperlink ref="C21" r:id="rId24" display="https://aka.ms/dcm1402"/>
    <hyperlink ref="C22" r:id="rId25" display="https://aka.ms/DCMCLI6"/>
    <hyperlink ref="C23" r:id="rId26" display="https://aka.ms/DCM1425"/>
    <hyperlink ref="C25" r:id="rId27" display="http://aka.ms/DDPDL2"/>
    <hyperlink ref="C36" r:id="rId28" display="http://aka.ms/DDPDL13"/>
    <hyperlink ref="C37" r:id="rId29" display="http://aka.ms/DDPDL14"/>
    <hyperlink ref="C39" r:id="rId30" display="http://aka.ms/DDPDL16"/>
    <hyperlink ref="E25" r:id="rId31" display="http://aka.ms/PDPDL2"/>
    <hyperlink ref="E26" r:id="rId32" display="http://aka.ms/PDPDL3"/>
    <hyperlink ref="E27" r:id="rId33" display="http://aka.ms/PDPDL4"/>
    <hyperlink ref="E28" r:id="rId34" display="http://aka.ms/PDPDL5"/>
    <hyperlink ref="E29" r:id="rId35" display="http://aka.ms/PDPDL6"/>
    <hyperlink ref="E30" r:id="rId36" display="http://aka.ms/PDPDL7"/>
    <hyperlink ref="E31" r:id="rId37" display="http://aka.ms/PDPDL8"/>
    <hyperlink ref="E32" r:id="rId38" display="http://aka.ms/PDPDL9"/>
    <hyperlink ref="E33" r:id="rId39" display="http://aka.ms/PDPDL10"/>
    <hyperlink ref="C26" r:id="rId40" display="http://aka.ms/DDPDL3"/>
    <hyperlink ref="C27" r:id="rId41" display="http://aka.ms/DDPDL4"/>
    <hyperlink ref="C28" r:id="rId42" display="http://aka.ms/DDPDL5"/>
    <hyperlink ref="C29" r:id="rId43" display="http://aka.ms/DDPDL6"/>
    <hyperlink ref="C30" r:id="rId44" display="http://aka.ms/DDPDL7"/>
    <hyperlink ref="C31" r:id="rId45" display="http://aka.ms/DDPDL8"/>
    <hyperlink ref="C32" r:id="rId46" display="http://aka.ms/DDPDL9"/>
    <hyperlink ref="C33" r:id="rId47" display="http://aka.ms/DDPDL10"/>
    <hyperlink ref="C34" r:id="rId48" display="http://aka.ms/DDPDL11"/>
    <hyperlink ref="C35" r:id="rId49" display="http://aka.ms/DDPDL12"/>
    <hyperlink ref="C38" r:id="rId50" display="http://aka.ms/DDPDL15"/>
    <hyperlink ref="C40" r:id="rId51" display="http://aka.ms/DDPDL17"/>
    <hyperlink ref="C41" r:id="rId52" display="https://aka.ms/DDL752"/>
    <hyperlink ref="E42" r:id="rId53" display="http://aka.ms/PDPPRE10"/>
    <hyperlink ref="C42" r:id="rId54" display="http://aka.ms/DDPPRE10"/>
    <hyperlink ref="C44" r:id="rId55" display="http://aka.ms/DDPEnc2"/>
    <hyperlink ref="C52" r:id="rId56" display="http://aka.ms/DDPEnc10"/>
    <hyperlink ref="C58" r:id="rId57" display="http://aka.ms/DDPEnc16"/>
    <hyperlink ref="E44" r:id="rId58" display="http://aka.ms/PDPEnc2"/>
    <hyperlink ref="E54" r:id="rId59" display="http://aka.ms/PDPEnc12"/>
    <hyperlink ref="E55" r:id="rId60" display="http://aka.ms/PDPEnc13"/>
    <hyperlink ref="E57" r:id="rId61" display="http://aka.ms/PDPEnc15"/>
    <hyperlink ref="C45" r:id="rId62" display="http://aka.ms/DDPEnc3"/>
    <hyperlink ref="C46" r:id="rId63" display="http://aka.ms/DDPEnc4"/>
    <hyperlink ref="C47" r:id="rId64" display="http://aka.ms/DDPEnc5"/>
    <hyperlink ref="C48" r:id="rId65" display="http://aka.ms/DDPEnc6"/>
    <hyperlink ref="C49" r:id="rId66" display="http://aka.ms/DDPEnc7"/>
    <hyperlink ref="C50" r:id="rId67" display="http://aka.ms/DDPEnc8"/>
    <hyperlink ref="C51" r:id="rId68" display="http://aka.ms/DDPEnc9"/>
    <hyperlink ref="C54" r:id="rId69" display="http://aka.ms/DDPEnc12"/>
    <hyperlink ref="C55" r:id="rId70" display="http://aka.ms/DDPEnc13"/>
    <hyperlink ref="C56" r:id="rId71" display="http://aka.ms/DDPEnc14"/>
    <hyperlink ref="C57" r:id="rId72" display="http://aka.ms/DDPEnc15"/>
    <hyperlink ref="C60" r:id="rId73" display="http://aka.ms/DDPIR6"/>
    <hyperlink ref="C61" r:id="rId74" display="http://aka.ms/DDPIR7"/>
    <hyperlink ref="C62" r:id="rId75" display="http://aka.ms/DDPIR8"/>
    <hyperlink ref="C63" r:id="rId76" display="http://aka.ms/DDPIR9"/>
    <hyperlink ref="C65" r:id="rId77" display="http://aka.ms/DO365NS2"/>
    <hyperlink ref="C66" r:id="rId78" display="http://aka.ms/DO365NS3"/>
    <hyperlink ref="C68" r:id="rId79" display="http://aka.ms/DO365NS5"/>
    <hyperlink ref="E72" r:id="rId80" display="http://aka.ms/PUSRAC4"/>
    <hyperlink ref="C71" r:id="rId81" display="http://aka.ms/DUSRAC3"/>
    <hyperlink ref="C72" r:id="rId82" display="http://aka.ms/DUSRAC4"/>
    <hyperlink ref="E73" r:id="rId83" display="http://aka.ms/PUSRAC6"/>
    <hyperlink ref="C73" r:id="rId84" display="http://aka.ms/DUSRAC6"/>
    <hyperlink ref="C74" r:id="rId85" display="http://aka.ms/DUSRAC7"/>
    <hyperlink ref="C75" r:id="rId86" display="http://aka.ms/DUSRAC8"/>
    <hyperlink ref="C76" r:id="rId87" display="http://aka.ms/DUSRAC11"/>
    <hyperlink ref="E78" r:id="rId88" display="http://aka.ms/PUSRAC15"/>
    <hyperlink ref="E80" r:id="rId89" display="http://aka.ms/PUSRAC16"/>
    <hyperlink ref="C77" r:id="rId90" display="http://aka.ms/DUSRAC14"/>
    <hyperlink ref="C78" r:id="rId91" display="http://aka.ms/DUSRAC15"/>
    <hyperlink ref="C79" r:id="rId92" display="http://aka.ms/DUSRAC22"/>
    <hyperlink ref="C80" r:id="rId93" display="http://aka.ms/DUSRAC16"/>
    <hyperlink ref="C83" r:id="rId94" display="http://aka.ms/DUSRAC20"/>
    <hyperlink ref="E83" r:id="rId95" display="http://aka.ms/PUSRAC20"/>
    <hyperlink ref="C81" r:id="rId96" display="http://aka.ms/DUSRAC18"/>
    <hyperlink ref="C82" r:id="rId97" display="http://aka.ms/DUSRAC19"/>
  </hyperlinks>
  <pageMargins left="0.7" right="0.7" top="0.75" bottom="0.75" header="0.3" footer="0.3"/>
  <pageSetup orientation="portrait" r:id="rId98"/>
  <drawing r:id="rId99"/>
  <tableParts count="1">
    <tablePart r:id="rId10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4"/>
  <sheetViews>
    <sheetView showRowColHeaders="0" tabSelected="1" zoomScale="87" zoomScaleNormal="87" workbookViewId="0">
      <selection activeCell="E4" sqref="E4"/>
    </sheetView>
  </sheetViews>
  <sheetFormatPr defaultColWidth="9.140625" defaultRowHeight="15" x14ac:dyDescent="0.25"/>
  <cols>
    <col min="1" max="1" width="10.85546875" style="2" customWidth="1"/>
    <col min="2" max="2" width="19.42578125" style="2" customWidth="1"/>
    <col min="3" max="3" width="29.5703125" style="7" customWidth="1"/>
    <col min="4" max="4" width="50.5703125" style="8" customWidth="1"/>
    <col min="5" max="5" width="25.7109375" style="2" customWidth="1"/>
    <col min="6" max="6" width="31.42578125" style="2" customWidth="1"/>
    <col min="7" max="8" width="24.28515625" style="2" customWidth="1"/>
    <col min="9" max="16384" width="9.140625" style="1"/>
  </cols>
  <sheetData>
    <row r="1" spans="1:8" s="22" customFormat="1" ht="15.75" thickBot="1" x14ac:dyDescent="0.3">
      <c r="A1" s="40" t="s">
        <v>30</v>
      </c>
      <c r="B1" s="41" t="s">
        <v>0</v>
      </c>
      <c r="C1" s="41" t="s">
        <v>575</v>
      </c>
      <c r="D1" s="41" t="s">
        <v>2</v>
      </c>
      <c r="E1" s="41" t="s">
        <v>576</v>
      </c>
      <c r="F1" s="41" t="s">
        <v>276</v>
      </c>
      <c r="G1" s="41" t="s">
        <v>440</v>
      </c>
      <c r="H1" s="41" t="s">
        <v>323</v>
      </c>
    </row>
    <row r="2" spans="1:8" s="22" customFormat="1" ht="73.5" thickTop="1" x14ac:dyDescent="0.25">
      <c r="A2" s="42" t="s">
        <v>100</v>
      </c>
      <c r="B2" s="43" t="s">
        <v>559</v>
      </c>
      <c r="C2" s="43" t="s">
        <v>101</v>
      </c>
      <c r="D2" s="28" t="s">
        <v>596</v>
      </c>
      <c r="E2" s="43"/>
      <c r="F2" s="43"/>
      <c r="G2" s="43"/>
      <c r="H2" s="53"/>
    </row>
    <row r="3" spans="1:8" ht="108.75" x14ac:dyDescent="0.25">
      <c r="A3" s="44" t="s">
        <v>100</v>
      </c>
      <c r="B3" s="45" t="s">
        <v>32</v>
      </c>
      <c r="C3" s="62" t="s">
        <v>102</v>
      </c>
      <c r="D3" s="27" t="s">
        <v>382</v>
      </c>
      <c r="E3" s="62"/>
      <c r="F3" s="50"/>
      <c r="G3" s="50"/>
      <c r="H3" s="54"/>
    </row>
    <row r="4" spans="1:8" ht="60.75" x14ac:dyDescent="0.25">
      <c r="A4" s="46" t="s">
        <v>100</v>
      </c>
      <c r="B4" s="47" t="s">
        <v>32</v>
      </c>
      <c r="C4" s="61" t="s">
        <v>103</v>
      </c>
      <c r="D4" s="27" t="s">
        <v>307</v>
      </c>
      <c r="E4" s="61"/>
      <c r="F4" s="51"/>
      <c r="G4" s="51"/>
      <c r="H4" s="55"/>
    </row>
    <row r="5" spans="1:8" ht="60.75" x14ac:dyDescent="0.25">
      <c r="A5" s="44" t="s">
        <v>100</v>
      </c>
      <c r="B5" s="45" t="s">
        <v>32</v>
      </c>
      <c r="C5" s="62" t="s">
        <v>461</v>
      </c>
      <c r="D5" s="27" t="s">
        <v>462</v>
      </c>
      <c r="E5" s="62"/>
      <c r="F5" s="50"/>
      <c r="G5" s="50"/>
      <c r="H5" s="54"/>
    </row>
    <row r="6" spans="1:8" ht="24.75" x14ac:dyDescent="0.25">
      <c r="A6" s="46" t="s">
        <v>100</v>
      </c>
      <c r="B6" s="47" t="s">
        <v>32</v>
      </c>
      <c r="C6" s="61" t="s">
        <v>463</v>
      </c>
      <c r="D6" s="27" t="s">
        <v>464</v>
      </c>
      <c r="E6" s="61"/>
      <c r="F6" s="51"/>
      <c r="G6" s="51"/>
      <c r="H6" s="55"/>
    </row>
    <row r="7" spans="1:8" ht="60.75" x14ac:dyDescent="0.25">
      <c r="A7" s="44" t="s">
        <v>100</v>
      </c>
      <c r="B7" s="45" t="s">
        <v>32</v>
      </c>
      <c r="C7" s="62" t="s">
        <v>465</v>
      </c>
      <c r="D7" s="27" t="s">
        <v>466</v>
      </c>
      <c r="E7" s="62"/>
      <c r="F7" s="50"/>
      <c r="G7" s="50"/>
      <c r="H7" s="54"/>
    </row>
    <row r="8" spans="1:8" ht="24.75" x14ac:dyDescent="0.25">
      <c r="A8" s="46" t="s">
        <v>100</v>
      </c>
      <c r="B8" s="47" t="s">
        <v>32</v>
      </c>
      <c r="C8" s="61" t="s">
        <v>467</v>
      </c>
      <c r="D8" s="27" t="s">
        <v>468</v>
      </c>
      <c r="E8" s="61"/>
      <c r="F8" s="51"/>
      <c r="G8" s="51"/>
      <c r="H8" s="55"/>
    </row>
    <row r="9" spans="1:8" ht="120.75" x14ac:dyDescent="0.25">
      <c r="A9" s="44" t="s">
        <v>100</v>
      </c>
      <c r="B9" s="45" t="s">
        <v>6</v>
      </c>
      <c r="C9" s="62" t="s">
        <v>6</v>
      </c>
      <c r="D9" s="27" t="s">
        <v>383</v>
      </c>
      <c r="E9" s="62"/>
      <c r="F9" s="50"/>
      <c r="G9" s="50"/>
      <c r="H9" s="54"/>
    </row>
    <row r="10" spans="1:8" ht="108.75" x14ac:dyDescent="0.25">
      <c r="A10" s="46" t="s">
        <v>100</v>
      </c>
      <c r="B10" s="47" t="s">
        <v>6</v>
      </c>
      <c r="C10" s="61" t="s">
        <v>104</v>
      </c>
      <c r="D10" s="27" t="s">
        <v>384</v>
      </c>
      <c r="E10" s="61"/>
      <c r="F10" s="51"/>
      <c r="G10" s="51"/>
      <c r="H10" s="55"/>
    </row>
    <row r="11" spans="1:8" ht="108.75" x14ac:dyDescent="0.25">
      <c r="A11" s="44" t="s">
        <v>100</v>
      </c>
      <c r="B11" s="45" t="s">
        <v>6</v>
      </c>
      <c r="C11" s="62" t="e">
        <f t="array" ref="C11">[1]!'!CSC Main!R44C3'</f>
        <v>#REF!</v>
      </c>
      <c r="D11" s="27" t="s">
        <v>470</v>
      </c>
      <c r="E11" s="62"/>
      <c r="F11" s="50"/>
      <c r="G11" s="50"/>
      <c r="H11" s="54"/>
    </row>
    <row r="12" spans="1:8" ht="192.75" x14ac:dyDescent="0.25">
      <c r="A12" s="46" t="s">
        <v>100</v>
      </c>
      <c r="B12" s="47" t="s">
        <v>6</v>
      </c>
      <c r="C12" s="61" t="s">
        <v>105</v>
      </c>
      <c r="D12" s="27" t="s">
        <v>385</v>
      </c>
      <c r="E12" s="61"/>
      <c r="F12" s="51" t="s">
        <v>450</v>
      </c>
      <c r="G12" s="51" t="s">
        <v>451</v>
      </c>
      <c r="H12" s="55"/>
    </row>
    <row r="13" spans="1:8" ht="168.75" x14ac:dyDescent="0.25">
      <c r="A13" s="44" t="s">
        <v>100</v>
      </c>
      <c r="B13" s="45" t="s">
        <v>6</v>
      </c>
      <c r="C13" s="62" t="s">
        <v>106</v>
      </c>
      <c r="D13" s="27" t="s">
        <v>386</v>
      </c>
      <c r="E13" s="62"/>
      <c r="F13" s="50"/>
      <c r="G13" s="50"/>
      <c r="H13" s="54"/>
    </row>
    <row r="14" spans="1:8" ht="108.75" x14ac:dyDescent="0.25">
      <c r="A14" s="46" t="s">
        <v>100</v>
      </c>
      <c r="B14" s="47" t="s">
        <v>6</v>
      </c>
      <c r="C14" s="61" t="s">
        <v>107</v>
      </c>
      <c r="D14" s="27" t="s">
        <v>387</v>
      </c>
      <c r="E14" s="61"/>
      <c r="F14" s="51"/>
      <c r="G14" s="51"/>
      <c r="H14" s="55"/>
    </row>
    <row r="15" spans="1:8" ht="156.75" x14ac:dyDescent="0.25">
      <c r="A15" s="44" t="s">
        <v>100</v>
      </c>
      <c r="B15" s="45" t="s">
        <v>6</v>
      </c>
      <c r="C15" s="62" t="s">
        <v>471</v>
      </c>
      <c r="D15" s="27" t="s">
        <v>388</v>
      </c>
      <c r="E15" s="62"/>
      <c r="F15" s="50"/>
      <c r="G15" s="50" t="s">
        <v>308</v>
      </c>
      <c r="H15" s="54"/>
    </row>
    <row r="16" spans="1:8" ht="132.75" x14ac:dyDescent="0.25">
      <c r="A16" s="46" t="s">
        <v>100</v>
      </c>
      <c r="B16" s="47" t="s">
        <v>6</v>
      </c>
      <c r="C16" s="61" t="s">
        <v>472</v>
      </c>
      <c r="D16" s="27" t="s">
        <v>389</v>
      </c>
      <c r="E16" s="61"/>
      <c r="F16" s="51"/>
      <c r="G16" s="51" t="s">
        <v>309</v>
      </c>
      <c r="H16" s="55"/>
    </row>
    <row r="17" spans="1:8" ht="96.75" x14ac:dyDescent="0.25">
      <c r="A17" s="44" t="s">
        <v>100</v>
      </c>
      <c r="B17" s="45" t="s">
        <v>559</v>
      </c>
      <c r="C17" s="62" t="s">
        <v>473</v>
      </c>
      <c r="D17" s="27" t="s">
        <v>474</v>
      </c>
      <c r="E17" s="62"/>
      <c r="F17" s="50"/>
      <c r="G17" s="50"/>
      <c r="H17" s="54"/>
    </row>
    <row r="18" spans="1:8" ht="60.75" x14ac:dyDescent="0.25">
      <c r="A18" s="46" t="s">
        <v>100</v>
      </c>
      <c r="B18" s="47" t="s">
        <v>559</v>
      </c>
      <c r="C18" s="61" t="s">
        <v>475</v>
      </c>
      <c r="D18" s="27" t="s">
        <v>476</v>
      </c>
      <c r="E18" s="61"/>
      <c r="F18" s="51"/>
      <c r="G18" s="51"/>
      <c r="H18" s="55"/>
    </row>
    <row r="19" spans="1:8" ht="132.75" x14ac:dyDescent="0.25">
      <c r="A19" s="44" t="s">
        <v>100</v>
      </c>
      <c r="B19" s="45" t="s">
        <v>559</v>
      </c>
      <c r="C19" s="62" t="s">
        <v>477</v>
      </c>
      <c r="D19" s="27" t="s">
        <v>478</v>
      </c>
      <c r="E19" s="62"/>
      <c r="F19" s="50"/>
      <c r="G19" s="50"/>
      <c r="H19" s="54"/>
    </row>
    <row r="20" spans="1:8" ht="60.75" x14ac:dyDescent="0.25">
      <c r="A20" s="46" t="s">
        <v>100</v>
      </c>
      <c r="B20" s="47" t="s">
        <v>559</v>
      </c>
      <c r="C20" s="61" t="s">
        <v>479</v>
      </c>
      <c r="D20" s="27" t="s">
        <v>480</v>
      </c>
      <c r="E20" s="61"/>
      <c r="F20" s="51"/>
      <c r="G20" s="51"/>
      <c r="H20" s="55"/>
    </row>
    <row r="21" spans="1:8" ht="120.75" x14ac:dyDescent="0.25">
      <c r="A21" s="44" t="s">
        <v>100</v>
      </c>
      <c r="B21" s="45" t="s">
        <v>559</v>
      </c>
      <c r="C21" s="62" t="s">
        <v>481</v>
      </c>
      <c r="D21" s="27" t="s">
        <v>482</v>
      </c>
      <c r="E21" s="62"/>
      <c r="F21" s="50"/>
      <c r="G21" s="50"/>
      <c r="H21" s="54"/>
    </row>
    <row r="22" spans="1:8" ht="108.75" x14ac:dyDescent="0.25">
      <c r="A22" s="46" t="s">
        <v>100</v>
      </c>
      <c r="B22" s="47" t="s">
        <v>559</v>
      </c>
      <c r="C22" s="61" t="s">
        <v>483</v>
      </c>
      <c r="D22" s="27" t="s">
        <v>586</v>
      </c>
      <c r="E22" s="61"/>
      <c r="F22" s="51"/>
      <c r="G22" s="51"/>
      <c r="H22" s="55"/>
    </row>
    <row r="23" spans="1:8" ht="72.75" x14ac:dyDescent="0.25">
      <c r="A23" s="44" t="s">
        <v>100</v>
      </c>
      <c r="B23" s="45" t="s">
        <v>11</v>
      </c>
      <c r="C23" s="62" t="s">
        <v>622</v>
      </c>
      <c r="D23" s="27" t="s">
        <v>484</v>
      </c>
      <c r="E23" s="62"/>
      <c r="F23" s="50"/>
      <c r="G23" s="50"/>
      <c r="H23" s="54"/>
    </row>
    <row r="24" spans="1:8" ht="84.75" x14ac:dyDescent="0.25">
      <c r="A24" s="46" t="s">
        <v>100</v>
      </c>
      <c r="B24" s="47" t="s">
        <v>11</v>
      </c>
      <c r="C24" s="30" t="s">
        <v>485</v>
      </c>
      <c r="D24" s="27" t="s">
        <v>597</v>
      </c>
      <c r="E24" s="61"/>
      <c r="F24" s="51" t="s">
        <v>310</v>
      </c>
      <c r="G24" s="51" t="s">
        <v>311</v>
      </c>
      <c r="H24" s="55"/>
    </row>
    <row r="25" spans="1:8" ht="120.75" x14ac:dyDescent="0.25">
      <c r="A25" s="44" t="s">
        <v>100</v>
      </c>
      <c r="B25" s="45" t="s">
        <v>11</v>
      </c>
      <c r="C25" s="30" t="s">
        <v>486</v>
      </c>
      <c r="D25" s="27" t="s">
        <v>598</v>
      </c>
      <c r="E25" s="62"/>
      <c r="F25" s="50" t="s">
        <v>310</v>
      </c>
      <c r="G25" s="50" t="s">
        <v>311</v>
      </c>
      <c r="H25" s="54"/>
    </row>
    <row r="26" spans="1:8" ht="72.75" x14ac:dyDescent="0.25">
      <c r="A26" s="46" t="s">
        <v>100</v>
      </c>
      <c r="B26" s="47" t="s">
        <v>11</v>
      </c>
      <c r="C26" s="30" t="s">
        <v>487</v>
      </c>
      <c r="D26" s="27" t="s">
        <v>488</v>
      </c>
      <c r="E26" s="61"/>
      <c r="F26" s="51" t="s">
        <v>310</v>
      </c>
      <c r="G26" s="51" t="s">
        <v>311</v>
      </c>
      <c r="H26" s="55"/>
    </row>
    <row r="27" spans="1:8" ht="156.75" x14ac:dyDescent="0.25">
      <c r="A27" s="44" t="s">
        <v>100</v>
      </c>
      <c r="B27" s="45" t="s">
        <v>11</v>
      </c>
      <c r="C27" s="30" t="s">
        <v>489</v>
      </c>
      <c r="D27" s="27" t="s">
        <v>490</v>
      </c>
      <c r="E27" s="62"/>
      <c r="F27" s="50" t="s">
        <v>310</v>
      </c>
      <c r="G27" s="50" t="s">
        <v>311</v>
      </c>
      <c r="H27" s="54"/>
    </row>
    <row r="28" spans="1:8" ht="24.75" x14ac:dyDescent="0.25">
      <c r="A28" s="46" t="s">
        <v>100</v>
      </c>
      <c r="B28" s="47" t="s">
        <v>11</v>
      </c>
      <c r="C28" s="61" t="s">
        <v>337</v>
      </c>
      <c r="D28" s="27" t="s">
        <v>393</v>
      </c>
      <c r="E28" s="61"/>
      <c r="F28" s="51"/>
      <c r="G28" s="51"/>
      <c r="H28" s="55"/>
    </row>
    <row r="29" spans="1:8" ht="408.75" x14ac:dyDescent="0.25">
      <c r="A29" s="44" t="s">
        <v>100</v>
      </c>
      <c r="B29" s="45" t="s">
        <v>604</v>
      </c>
      <c r="C29" s="62" t="s">
        <v>616</v>
      </c>
      <c r="D29" s="27" t="s">
        <v>617</v>
      </c>
      <c r="E29" s="62"/>
      <c r="F29" s="50" t="s">
        <v>312</v>
      </c>
      <c r="G29" s="50" t="s">
        <v>313</v>
      </c>
      <c r="H29" s="54"/>
    </row>
    <row r="30" spans="1:8" ht="168.75" x14ac:dyDescent="0.25">
      <c r="A30" s="46" t="s">
        <v>100</v>
      </c>
      <c r="B30" s="47" t="s">
        <v>604</v>
      </c>
      <c r="C30" s="61" t="s">
        <v>108</v>
      </c>
      <c r="D30" s="27" t="s">
        <v>618</v>
      </c>
      <c r="E30" s="61"/>
      <c r="F30" s="51"/>
      <c r="G30" s="51"/>
      <c r="H30" s="55"/>
    </row>
    <row r="31" spans="1:8" ht="180.75" x14ac:dyDescent="0.25">
      <c r="A31" s="44" t="s">
        <v>100</v>
      </c>
      <c r="B31" s="45" t="s">
        <v>604</v>
      </c>
      <c r="C31" s="62" t="s">
        <v>109</v>
      </c>
      <c r="D31" s="27" t="s">
        <v>619</v>
      </c>
      <c r="E31" s="62"/>
      <c r="F31" s="50"/>
      <c r="G31" s="50"/>
      <c r="H31" s="54"/>
    </row>
    <row r="32" spans="1:8" ht="156.75" x14ac:dyDescent="0.25">
      <c r="A32" s="46" t="s">
        <v>100</v>
      </c>
      <c r="B32" s="47" t="s">
        <v>559</v>
      </c>
      <c r="C32" s="61" t="s">
        <v>447</v>
      </c>
      <c r="D32" s="27" t="s">
        <v>491</v>
      </c>
      <c r="E32" s="61"/>
      <c r="F32" s="51"/>
      <c r="G32" s="51"/>
      <c r="H32" s="55"/>
    </row>
    <row r="33" spans="1:8" ht="144.75" x14ac:dyDescent="0.25">
      <c r="A33" s="44" t="s">
        <v>100</v>
      </c>
      <c r="B33" s="45" t="s">
        <v>559</v>
      </c>
      <c r="C33" s="62" t="s">
        <v>492</v>
      </c>
      <c r="D33" s="27" t="s">
        <v>394</v>
      </c>
      <c r="E33" s="62"/>
      <c r="F33" s="50"/>
      <c r="G33" s="50"/>
      <c r="H33" s="54"/>
    </row>
    <row r="34" spans="1:8" ht="48.75" x14ac:dyDescent="0.25">
      <c r="A34" s="46" t="s">
        <v>100</v>
      </c>
      <c r="B34" s="47" t="s">
        <v>559</v>
      </c>
      <c r="C34" s="61" t="s">
        <v>444</v>
      </c>
      <c r="D34" s="27" t="s">
        <v>493</v>
      </c>
      <c r="E34" s="61"/>
      <c r="F34" s="51"/>
      <c r="G34" s="51"/>
      <c r="H34" s="55"/>
    </row>
    <row r="35" spans="1:8" ht="48.75" x14ac:dyDescent="0.25">
      <c r="A35" s="44" t="s">
        <v>100</v>
      </c>
      <c r="B35" s="45" t="s">
        <v>559</v>
      </c>
      <c r="C35" s="62" t="s">
        <v>445</v>
      </c>
      <c r="D35" s="27" t="s">
        <v>446</v>
      </c>
      <c r="E35" s="62"/>
      <c r="F35" s="50"/>
      <c r="G35" s="50"/>
      <c r="H35" s="54"/>
    </row>
    <row r="36" spans="1:8" ht="72.75" x14ac:dyDescent="0.25">
      <c r="A36" s="46" t="s">
        <v>100</v>
      </c>
      <c r="B36" s="47" t="s">
        <v>37</v>
      </c>
      <c r="C36" s="61" t="s">
        <v>110</v>
      </c>
      <c r="D36" s="27" t="s">
        <v>395</v>
      </c>
      <c r="E36" s="61"/>
      <c r="F36" s="51"/>
      <c r="G36" s="51"/>
      <c r="H36" s="55"/>
    </row>
    <row r="37" spans="1:8" ht="192.75" x14ac:dyDescent="0.25">
      <c r="A37" s="44" t="s">
        <v>100</v>
      </c>
      <c r="B37" s="45" t="s">
        <v>37</v>
      </c>
      <c r="C37" s="62" t="s">
        <v>111</v>
      </c>
      <c r="D37" s="27" t="s">
        <v>396</v>
      </c>
      <c r="E37" s="62"/>
      <c r="F37" s="50"/>
      <c r="G37" s="50"/>
      <c r="H37" s="54"/>
    </row>
    <row r="38" spans="1:8" ht="120.75" x14ac:dyDescent="0.25">
      <c r="A38" s="46" t="s">
        <v>100</v>
      </c>
      <c r="B38" s="47" t="s">
        <v>37</v>
      </c>
      <c r="C38" s="61" t="s">
        <v>112</v>
      </c>
      <c r="D38" s="27" t="s">
        <v>397</v>
      </c>
      <c r="E38" s="61"/>
      <c r="F38" s="51"/>
      <c r="G38" s="51"/>
      <c r="H38" s="55"/>
    </row>
    <row r="39" spans="1:8" ht="120.75" x14ac:dyDescent="0.25">
      <c r="A39" s="44" t="s">
        <v>100</v>
      </c>
      <c r="B39" s="45" t="s">
        <v>6</v>
      </c>
      <c r="C39" s="62" t="s">
        <v>334</v>
      </c>
      <c r="D39" s="27" t="s">
        <v>390</v>
      </c>
      <c r="E39" s="62"/>
      <c r="F39" s="50"/>
      <c r="G39" s="50"/>
      <c r="H39" s="54"/>
    </row>
    <row r="40" spans="1:8" ht="144.75" x14ac:dyDescent="0.25">
      <c r="A40" s="46" t="s">
        <v>100</v>
      </c>
      <c r="B40" s="47" t="s">
        <v>6</v>
      </c>
      <c r="C40" s="61" t="s">
        <v>335</v>
      </c>
      <c r="D40" s="27" t="s">
        <v>391</v>
      </c>
      <c r="E40" s="61"/>
      <c r="F40" s="51"/>
      <c r="G40" s="51"/>
      <c r="H40" s="55"/>
    </row>
    <row r="41" spans="1:8" ht="144.75" x14ac:dyDescent="0.25">
      <c r="A41" s="44" t="s">
        <v>100</v>
      </c>
      <c r="B41" s="45" t="s">
        <v>6</v>
      </c>
      <c r="C41" s="62" t="s">
        <v>336</v>
      </c>
      <c r="D41" s="27" t="s">
        <v>392</v>
      </c>
      <c r="E41" s="62"/>
      <c r="F41" s="50"/>
      <c r="G41" s="50"/>
      <c r="H41" s="54"/>
    </row>
    <row r="42" spans="1:8" ht="96.75" x14ac:dyDescent="0.25">
      <c r="A42" s="46" t="s">
        <v>100</v>
      </c>
      <c r="B42" s="47" t="s">
        <v>559</v>
      </c>
      <c r="C42" s="61" t="s">
        <v>494</v>
      </c>
      <c r="D42" s="27" t="s">
        <v>495</v>
      </c>
      <c r="E42" s="61"/>
      <c r="F42" s="51"/>
      <c r="G42" s="51"/>
      <c r="H42" s="55"/>
    </row>
    <row r="43" spans="1:8" ht="96.75" x14ac:dyDescent="0.25">
      <c r="A43" s="42" t="s">
        <v>197</v>
      </c>
      <c r="B43" s="43" t="s">
        <v>559</v>
      </c>
      <c r="C43" s="43" t="s">
        <v>13</v>
      </c>
      <c r="D43" s="43" t="s">
        <v>14</v>
      </c>
      <c r="E43" s="43"/>
      <c r="F43" s="43"/>
      <c r="G43" s="43"/>
      <c r="H43" s="53"/>
    </row>
    <row r="44" spans="1:8" ht="36.75" x14ac:dyDescent="0.25">
      <c r="A44" s="46" t="s">
        <v>197</v>
      </c>
      <c r="B44" s="47" t="s">
        <v>559</v>
      </c>
      <c r="C44" s="117" t="s">
        <v>198</v>
      </c>
      <c r="D44" s="27" t="s">
        <v>199</v>
      </c>
      <c r="E44" s="61"/>
      <c r="F44" s="51"/>
      <c r="G44" s="51"/>
      <c r="H44" s="55"/>
    </row>
    <row r="45" spans="1:8" ht="48.75" x14ac:dyDescent="0.25">
      <c r="A45" s="44" t="s">
        <v>197</v>
      </c>
      <c r="B45" s="45" t="s">
        <v>559</v>
      </c>
      <c r="C45" s="62" t="s">
        <v>15</v>
      </c>
      <c r="D45" s="27" t="s">
        <v>16</v>
      </c>
      <c r="E45" s="62"/>
      <c r="F45" s="50"/>
      <c r="G45" s="50"/>
      <c r="H45" s="54"/>
    </row>
    <row r="46" spans="1:8" ht="84.75" x14ac:dyDescent="0.25">
      <c r="A46" s="46" t="s">
        <v>197</v>
      </c>
      <c r="B46" s="47" t="s">
        <v>559</v>
      </c>
      <c r="C46" s="61" t="s">
        <v>200</v>
      </c>
      <c r="D46" s="27" t="s">
        <v>201</v>
      </c>
      <c r="E46" s="61"/>
      <c r="F46" s="51"/>
      <c r="G46" s="51"/>
      <c r="H46" s="55"/>
    </row>
    <row r="47" spans="1:8" ht="60.75" x14ac:dyDescent="0.25">
      <c r="A47" s="44" t="s">
        <v>197</v>
      </c>
      <c r="B47" s="45" t="s">
        <v>559</v>
      </c>
      <c r="C47" s="62" t="s">
        <v>202</v>
      </c>
      <c r="D47" s="27" t="s">
        <v>203</v>
      </c>
      <c r="E47" s="62"/>
      <c r="F47" s="50"/>
      <c r="G47" s="50"/>
      <c r="H47" s="54"/>
    </row>
    <row r="48" spans="1:8" ht="36.75" x14ac:dyDescent="0.25">
      <c r="A48" s="46" t="s">
        <v>197</v>
      </c>
      <c r="B48" s="47" t="s">
        <v>559</v>
      </c>
      <c r="C48" s="61" t="s">
        <v>204</v>
      </c>
      <c r="D48" s="27" t="s">
        <v>205</v>
      </c>
      <c r="E48" s="61"/>
      <c r="F48" s="51"/>
      <c r="G48" s="51"/>
      <c r="H48" s="55"/>
    </row>
    <row r="49" spans="1:8" ht="36.75" x14ac:dyDescent="0.25">
      <c r="A49" s="44" t="s">
        <v>197</v>
      </c>
      <c r="B49" s="45" t="s">
        <v>559</v>
      </c>
      <c r="C49" s="62" t="s">
        <v>206</v>
      </c>
      <c r="D49" s="27" t="s">
        <v>207</v>
      </c>
      <c r="E49" s="62"/>
      <c r="F49" s="50"/>
      <c r="G49" s="50"/>
      <c r="H49" s="54"/>
    </row>
    <row r="50" spans="1:8" ht="60.75" x14ac:dyDescent="0.25">
      <c r="A50" s="46" t="s">
        <v>197</v>
      </c>
      <c r="B50" s="47" t="s">
        <v>559</v>
      </c>
      <c r="C50" s="61" t="s">
        <v>527</v>
      </c>
      <c r="D50" s="27" t="s">
        <v>528</v>
      </c>
      <c r="E50" s="61"/>
      <c r="F50" s="51"/>
      <c r="G50" s="51"/>
      <c r="H50" s="55"/>
    </row>
    <row r="51" spans="1:8" ht="60.75" x14ac:dyDescent="0.25">
      <c r="A51" s="44" t="s">
        <v>197</v>
      </c>
      <c r="B51" s="45" t="s">
        <v>559</v>
      </c>
      <c r="C51" s="62" t="s">
        <v>529</v>
      </c>
      <c r="D51" s="27" t="s">
        <v>584</v>
      </c>
      <c r="E51" s="62"/>
      <c r="F51" s="50"/>
      <c r="G51" s="50"/>
      <c r="H51" s="54"/>
    </row>
    <row r="52" spans="1:8" ht="24.75" x14ac:dyDescent="0.25">
      <c r="A52" s="46" t="s">
        <v>197</v>
      </c>
      <c r="B52" s="47" t="s">
        <v>559</v>
      </c>
      <c r="C52" s="115" t="s">
        <v>209</v>
      </c>
      <c r="D52" s="27" t="s">
        <v>210</v>
      </c>
      <c r="E52" s="61"/>
      <c r="F52" s="51"/>
      <c r="G52" s="51"/>
      <c r="H52" s="55"/>
    </row>
    <row r="53" spans="1:8" ht="48.75" x14ac:dyDescent="0.25">
      <c r="A53" s="44" t="s">
        <v>197</v>
      </c>
      <c r="B53" s="45" t="s">
        <v>559</v>
      </c>
      <c r="C53" s="118" t="s">
        <v>211</v>
      </c>
      <c r="D53" s="27" t="s">
        <v>212</v>
      </c>
      <c r="E53" s="62"/>
      <c r="F53" s="50"/>
      <c r="G53" s="50"/>
      <c r="H53" s="54"/>
    </row>
    <row r="54" spans="1:8" ht="60.75" x14ac:dyDescent="0.25">
      <c r="A54" s="46" t="s">
        <v>197</v>
      </c>
      <c r="B54" s="47" t="s">
        <v>559</v>
      </c>
      <c r="C54" s="115" t="s">
        <v>213</v>
      </c>
      <c r="D54" s="27" t="s">
        <v>214</v>
      </c>
      <c r="E54" s="61"/>
      <c r="F54" s="51"/>
      <c r="G54" s="51"/>
      <c r="H54" s="55"/>
    </row>
    <row r="55" spans="1:8" ht="48.75" x14ac:dyDescent="0.25">
      <c r="A55" s="44" t="s">
        <v>197</v>
      </c>
      <c r="B55" s="45" t="s">
        <v>559</v>
      </c>
      <c r="C55" s="118" t="s">
        <v>215</v>
      </c>
      <c r="D55" s="27" t="s">
        <v>216</v>
      </c>
      <c r="E55" s="62"/>
      <c r="F55" s="50"/>
      <c r="G55" s="50"/>
      <c r="H55" s="54"/>
    </row>
    <row r="56" spans="1:8" ht="36.75" x14ac:dyDescent="0.25">
      <c r="A56" s="46" t="s">
        <v>197</v>
      </c>
      <c r="B56" s="47" t="s">
        <v>559</v>
      </c>
      <c r="C56" s="115" t="s">
        <v>217</v>
      </c>
      <c r="D56" s="27" t="s">
        <v>218</v>
      </c>
      <c r="E56" s="61"/>
      <c r="F56" s="51"/>
      <c r="G56" s="51"/>
      <c r="H56" s="55"/>
    </row>
    <row r="57" spans="1:8" ht="84.75" x14ac:dyDescent="0.25">
      <c r="A57" s="44" t="s">
        <v>197</v>
      </c>
      <c r="B57" s="45" t="s">
        <v>559</v>
      </c>
      <c r="C57" s="62" t="s">
        <v>219</v>
      </c>
      <c r="D57" s="27" t="s">
        <v>220</v>
      </c>
      <c r="E57" s="62"/>
      <c r="F57" s="50"/>
      <c r="G57" s="50"/>
      <c r="H57" s="54"/>
    </row>
    <row r="58" spans="1:8" ht="60.75" x14ac:dyDescent="0.25">
      <c r="A58" s="42" t="s">
        <v>221</v>
      </c>
      <c r="B58" s="43" t="s">
        <v>559</v>
      </c>
      <c r="C58" s="43" t="s">
        <v>222</v>
      </c>
      <c r="D58" s="43" t="s">
        <v>223</v>
      </c>
      <c r="E58" s="43"/>
      <c r="F58" s="43"/>
      <c r="G58" s="43"/>
      <c r="H58" s="53"/>
    </row>
    <row r="59" spans="1:8" ht="60.75" x14ac:dyDescent="0.25">
      <c r="A59" s="44" t="s">
        <v>221</v>
      </c>
      <c r="B59" s="45" t="s">
        <v>11</v>
      </c>
      <c r="C59" s="62" t="s">
        <v>11</v>
      </c>
      <c r="D59" s="27" t="s">
        <v>225</v>
      </c>
      <c r="E59" s="62" t="s">
        <v>224</v>
      </c>
      <c r="F59" s="50"/>
      <c r="G59" s="50"/>
      <c r="H59" s="54"/>
    </row>
    <row r="60" spans="1:8" ht="60.75" x14ac:dyDescent="0.25">
      <c r="A60" s="46" t="s">
        <v>221</v>
      </c>
      <c r="B60" s="47" t="s">
        <v>11</v>
      </c>
      <c r="C60" s="61" t="s">
        <v>226</v>
      </c>
      <c r="D60" s="27" t="s">
        <v>227</v>
      </c>
      <c r="E60" s="61" t="s">
        <v>224</v>
      </c>
      <c r="F60" s="51"/>
      <c r="G60" s="51"/>
      <c r="H60" s="55"/>
    </row>
    <row r="61" spans="1:8" ht="48.75" x14ac:dyDescent="0.25">
      <c r="A61" s="44" t="s">
        <v>221</v>
      </c>
      <c r="B61" s="45" t="s">
        <v>11</v>
      </c>
      <c r="C61" s="62" t="s">
        <v>228</v>
      </c>
      <c r="D61" s="27" t="s">
        <v>229</v>
      </c>
      <c r="E61" s="62"/>
      <c r="F61" s="50"/>
      <c r="G61" s="50"/>
      <c r="H61" s="54"/>
    </row>
    <row r="62" spans="1:8" ht="48.75" x14ac:dyDescent="0.25">
      <c r="A62" s="46" t="s">
        <v>221</v>
      </c>
      <c r="B62" s="47" t="s">
        <v>6</v>
      </c>
      <c r="C62" s="61" t="s">
        <v>6</v>
      </c>
      <c r="D62" s="27" t="s">
        <v>230</v>
      </c>
      <c r="E62" s="61" t="s">
        <v>224</v>
      </c>
      <c r="F62" s="51"/>
      <c r="G62" s="51"/>
      <c r="H62" s="55"/>
    </row>
    <row r="63" spans="1:8" ht="96.75" x14ac:dyDescent="0.25">
      <c r="A63" s="44" t="s">
        <v>221</v>
      </c>
      <c r="B63" s="45" t="s">
        <v>6</v>
      </c>
      <c r="C63" s="62" t="s">
        <v>231</v>
      </c>
      <c r="D63" s="27" t="s">
        <v>232</v>
      </c>
      <c r="E63" s="62" t="s">
        <v>224</v>
      </c>
      <c r="F63" s="50"/>
      <c r="G63" s="50" t="s">
        <v>315</v>
      </c>
      <c r="H63" s="54"/>
    </row>
    <row r="64" spans="1:8" ht="60.75" x14ac:dyDescent="0.25">
      <c r="A64" s="92" t="s">
        <v>177</v>
      </c>
      <c r="B64" s="93" t="s">
        <v>559</v>
      </c>
      <c r="C64" s="119" t="s">
        <v>4</v>
      </c>
      <c r="D64" s="120" t="s">
        <v>5</v>
      </c>
      <c r="E64" s="94"/>
      <c r="F64" s="95"/>
      <c r="G64" s="95"/>
      <c r="H64" s="121"/>
    </row>
    <row r="65" spans="1:8" ht="48.75" x14ac:dyDescent="0.25">
      <c r="A65" s="44" t="s">
        <v>177</v>
      </c>
      <c r="B65" s="45" t="s">
        <v>559</v>
      </c>
      <c r="C65" s="62" t="s">
        <v>441</v>
      </c>
      <c r="D65" s="27" t="s">
        <v>442</v>
      </c>
      <c r="E65" s="62" t="s">
        <v>182</v>
      </c>
      <c r="F65" s="50"/>
      <c r="G65" s="50"/>
      <c r="H65" s="54"/>
    </row>
    <row r="66" spans="1:8" ht="132.75" x14ac:dyDescent="0.25">
      <c r="A66" s="46" t="s">
        <v>177</v>
      </c>
      <c r="B66" s="47" t="s">
        <v>6</v>
      </c>
      <c r="C66" s="61" t="s">
        <v>534</v>
      </c>
      <c r="D66" s="27" t="s">
        <v>7</v>
      </c>
      <c r="E66" s="61"/>
      <c r="F66" s="51"/>
      <c r="G66" s="51"/>
      <c r="H66" s="55"/>
    </row>
    <row r="67" spans="1:8" ht="96.75" x14ac:dyDescent="0.25">
      <c r="A67" s="44" t="s">
        <v>177</v>
      </c>
      <c r="B67" s="45" t="s">
        <v>6</v>
      </c>
      <c r="C67" s="62" t="s">
        <v>535</v>
      </c>
      <c r="D67" s="27" t="s">
        <v>536</v>
      </c>
      <c r="E67" s="62"/>
      <c r="F67" s="50"/>
      <c r="G67" s="50"/>
      <c r="H67" s="54"/>
    </row>
    <row r="68" spans="1:8" ht="108.75" x14ac:dyDescent="0.25">
      <c r="A68" s="46" t="s">
        <v>177</v>
      </c>
      <c r="B68" s="47" t="s">
        <v>6</v>
      </c>
      <c r="C68" s="61" t="s">
        <v>178</v>
      </c>
      <c r="D68" s="27" t="s">
        <v>599</v>
      </c>
      <c r="E68" s="61" t="s">
        <v>179</v>
      </c>
      <c r="F68" s="51"/>
      <c r="G68" s="51" t="s">
        <v>314</v>
      </c>
      <c r="H68" s="55"/>
    </row>
    <row r="69" spans="1:8" ht="36.75" x14ac:dyDescent="0.25">
      <c r="A69" s="44" t="s">
        <v>177</v>
      </c>
      <c r="B69" s="45" t="s">
        <v>6</v>
      </c>
      <c r="C69" s="62" t="s">
        <v>180</v>
      </c>
      <c r="D69" s="27" t="s">
        <v>181</v>
      </c>
      <c r="E69" s="62" t="s">
        <v>182</v>
      </c>
      <c r="F69" s="50"/>
      <c r="G69" s="50"/>
      <c r="H69" s="54"/>
    </row>
    <row r="70" spans="1:8" ht="60.75" x14ac:dyDescent="0.25">
      <c r="A70" s="46" t="s">
        <v>177</v>
      </c>
      <c r="B70" s="47" t="s">
        <v>6</v>
      </c>
      <c r="C70" s="61" t="s">
        <v>8</v>
      </c>
      <c r="D70" s="27" t="s">
        <v>9</v>
      </c>
      <c r="E70" s="61" t="s">
        <v>10</v>
      </c>
      <c r="F70" s="51"/>
      <c r="G70" s="51"/>
      <c r="H70" s="55"/>
    </row>
    <row r="71" spans="1:8" ht="24.75" x14ac:dyDescent="0.25">
      <c r="A71" s="44" t="s">
        <v>177</v>
      </c>
      <c r="B71" s="45" t="s">
        <v>6</v>
      </c>
      <c r="C71" s="62" t="s">
        <v>183</v>
      </c>
      <c r="D71" s="27" t="s">
        <v>184</v>
      </c>
      <c r="E71" s="62"/>
      <c r="F71" s="50"/>
      <c r="G71" s="50"/>
      <c r="H71" s="54"/>
    </row>
    <row r="72" spans="1:8" ht="96.75" x14ac:dyDescent="0.25">
      <c r="A72" s="46" t="s">
        <v>177</v>
      </c>
      <c r="B72" s="47" t="s">
        <v>11</v>
      </c>
      <c r="C72" s="61" t="s">
        <v>11</v>
      </c>
      <c r="D72" s="27" t="s">
        <v>185</v>
      </c>
      <c r="E72" s="61"/>
      <c r="F72" s="51"/>
      <c r="G72" s="51"/>
      <c r="H72" s="55"/>
    </row>
    <row r="73" spans="1:8" ht="36.75" x14ac:dyDescent="0.25">
      <c r="A73" s="44" t="s">
        <v>177</v>
      </c>
      <c r="B73" s="45" t="s">
        <v>11</v>
      </c>
      <c r="C73" s="62" t="s">
        <v>12</v>
      </c>
      <c r="D73" s="27" t="s">
        <v>425</v>
      </c>
      <c r="E73" s="62"/>
      <c r="F73" s="50"/>
      <c r="G73" s="50"/>
      <c r="H73" s="54"/>
    </row>
    <row r="74" spans="1:8" ht="72.75" x14ac:dyDescent="0.25">
      <c r="A74" s="46" t="s">
        <v>177</v>
      </c>
      <c r="B74" s="47" t="s">
        <v>11</v>
      </c>
      <c r="C74" s="61" t="s">
        <v>186</v>
      </c>
      <c r="D74" s="27" t="s">
        <v>187</v>
      </c>
      <c r="E74" s="61"/>
      <c r="F74" s="51"/>
      <c r="G74" s="51"/>
      <c r="H74" s="55"/>
    </row>
    <row r="75" spans="1:8" ht="72.75" x14ac:dyDescent="0.25">
      <c r="A75" s="44" t="s">
        <v>177</v>
      </c>
      <c r="B75" s="45" t="s">
        <v>11</v>
      </c>
      <c r="C75" s="62" t="s">
        <v>188</v>
      </c>
      <c r="D75" s="27" t="s">
        <v>189</v>
      </c>
      <c r="E75" s="62" t="s">
        <v>10</v>
      </c>
      <c r="F75" s="50"/>
      <c r="G75" s="50"/>
      <c r="H75" s="54"/>
    </row>
    <row r="76" spans="1:8" ht="36.75" x14ac:dyDescent="0.25">
      <c r="A76" s="46" t="s">
        <v>177</v>
      </c>
      <c r="B76" s="47" t="s">
        <v>559</v>
      </c>
      <c r="C76" s="61" t="s">
        <v>190</v>
      </c>
      <c r="D76" s="27" t="s">
        <v>191</v>
      </c>
      <c r="E76" s="61"/>
      <c r="F76" s="51"/>
      <c r="G76" s="51"/>
      <c r="H76" s="55"/>
    </row>
    <row r="77" spans="1:8" ht="36.75" x14ac:dyDescent="0.25">
      <c r="A77" s="44" t="s">
        <v>177</v>
      </c>
      <c r="B77" s="45" t="s">
        <v>70</v>
      </c>
      <c r="C77" s="45" t="s">
        <v>192</v>
      </c>
      <c r="D77" s="27" t="s">
        <v>193</v>
      </c>
      <c r="E77" s="62"/>
      <c r="F77" s="50"/>
      <c r="G77" s="50"/>
      <c r="H77" s="54"/>
    </row>
    <row r="78" spans="1:8" ht="48.75" x14ac:dyDescent="0.25">
      <c r="A78" s="46" t="s">
        <v>177</v>
      </c>
      <c r="B78" s="47" t="s">
        <v>70</v>
      </c>
      <c r="C78" s="61" t="s">
        <v>194</v>
      </c>
      <c r="D78" s="27" t="s">
        <v>195</v>
      </c>
      <c r="E78" s="61" t="s">
        <v>182</v>
      </c>
      <c r="F78" s="51"/>
      <c r="G78" s="51"/>
      <c r="H78" s="55"/>
    </row>
    <row r="79" spans="1:8" ht="60.75" x14ac:dyDescent="0.25">
      <c r="A79" s="44" t="s">
        <v>177</v>
      </c>
      <c r="B79" s="45" t="s">
        <v>70</v>
      </c>
      <c r="C79" s="62" t="s">
        <v>196</v>
      </c>
      <c r="D79" s="27" t="s">
        <v>426</v>
      </c>
      <c r="E79" s="62"/>
      <c r="F79" s="50"/>
      <c r="G79" s="50"/>
      <c r="H79" s="54"/>
    </row>
    <row r="80" spans="1:8" ht="60.75" x14ac:dyDescent="0.25">
      <c r="A80" s="92" t="s">
        <v>31</v>
      </c>
      <c r="B80" s="93" t="s">
        <v>559</v>
      </c>
      <c r="C80" s="94"/>
      <c r="D80" s="120" t="s">
        <v>588</v>
      </c>
      <c r="E80" s="94"/>
      <c r="F80" s="95"/>
      <c r="G80" s="95"/>
      <c r="H80" s="121"/>
    </row>
    <row r="81" spans="1:8" ht="36.75" x14ac:dyDescent="0.25">
      <c r="A81" s="44" t="s">
        <v>31</v>
      </c>
      <c r="B81" s="45" t="s">
        <v>32</v>
      </c>
      <c r="C81" s="45" t="s">
        <v>35</v>
      </c>
      <c r="D81" s="27" t="s">
        <v>279</v>
      </c>
      <c r="E81" s="62" t="s">
        <v>36</v>
      </c>
      <c r="F81" s="50"/>
      <c r="G81" s="50" t="s">
        <v>280</v>
      </c>
      <c r="H81" s="54"/>
    </row>
    <row r="82" spans="1:8" ht="60.75" x14ac:dyDescent="0.25">
      <c r="A82" s="48" t="s">
        <v>77</v>
      </c>
      <c r="B82" s="49" t="s">
        <v>11</v>
      </c>
      <c r="C82" s="63" t="s">
        <v>331</v>
      </c>
      <c r="D82" s="27" t="s">
        <v>377</v>
      </c>
      <c r="E82" s="63"/>
      <c r="F82" s="52" t="s">
        <v>436</v>
      </c>
      <c r="G82" s="52" t="s">
        <v>300</v>
      </c>
      <c r="H82" s="55"/>
    </row>
    <row r="134" spans="1:8" x14ac:dyDescent="0.25">
      <c r="A134" s="2">
        <f>COUNTA(A3:A120)</f>
        <v>80</v>
      </c>
      <c r="H134" s="2">
        <f>COUNTA(H3:H120)</f>
        <v>0</v>
      </c>
    </row>
  </sheetData>
  <hyperlinks>
    <hyperlink ref="C2" r:id="rId1" display="http://aka.ms/DAULog1"/>
    <hyperlink ref="C3" r:id="rId2" display="http://aka.ms/DAULog2"/>
    <hyperlink ref="C4" r:id="rId3" display="http://aka.ms/DAULog3"/>
    <hyperlink ref="C9" r:id="rId4" display="http://aka.ms/DAULog4"/>
    <hyperlink ref="C23" r:id="rId5" display="http://aka.ms/DAULog14"/>
    <hyperlink ref="C28" r:id="rId6" display="http://aka.ms/DAULog21"/>
    <hyperlink ref="C29" r:id="rId7" display="http://aka.ms/DAULog23"/>
    <hyperlink ref="C32" r:id="rId8" display="http://aka.ms/DAULog33"/>
    <hyperlink ref="C33" r:id="rId9" display="http://aka.ms/DAULog26"/>
    <hyperlink ref="C5" r:id="rId10" display="http://aka.ms/daulog34"/>
    <hyperlink ref="C6" r:id="rId11" display="http://aka.ms/daulog35"/>
    <hyperlink ref="C7" r:id="rId12" display="http://aka.ms/daulog36"/>
    <hyperlink ref="C8" r:id="rId13" display="http://aka.ms/daulog37"/>
    <hyperlink ref="C10" r:id="rId14" display="http://aka.ms/DAULog5"/>
    <hyperlink ref="C12" r:id="rId15" display="http://aka.ms/DAULog6"/>
    <hyperlink ref="C13" r:id="rId16" display="http://aka.ms/DAULog7"/>
    <hyperlink ref="C14" r:id="rId17" display="http://aka.ms/DAULog8"/>
    <hyperlink ref="C15" r:id="rId18" display="http://aka.ms/DAULog9"/>
    <hyperlink ref="C16" r:id="rId19" display="http://aka.ms/DAULog10"/>
    <hyperlink ref="C17" r:id="rId20" display="https://aka.ms/daulog39"/>
    <hyperlink ref="C18" r:id="rId21" display="https://aka.ms/daulog40"/>
    <hyperlink ref="C19" r:id="rId22" display="https://aka.ms/daulog41"/>
    <hyperlink ref="C20" r:id="rId23" display="https://aka.ms/daulog42"/>
    <hyperlink ref="C21" r:id="rId24" display="https://aka.ms/daulog43"/>
    <hyperlink ref="C22" r:id="rId25" display="https://aka.ms/dau546"/>
    <hyperlink ref="C30" r:id="rId26" display="http://aka.ms/DAULog24"/>
    <hyperlink ref="C31" r:id="rId27" display="http://aka.ms/DAULog25"/>
    <hyperlink ref="C34" r:id="rId28" display="http://aka.ms/DAULog31"/>
    <hyperlink ref="C35" r:id="rId29" display="http://aka.ms/DAulog32"/>
    <hyperlink ref="C39" r:id="rId30" display="http://aka.ms/DAULog11"/>
    <hyperlink ref="C42" r:id="rId31" display="http://aka.ms/DAU600"/>
    <hyperlink ref="C36" r:id="rId32" display="http://aka.ms/DAULog28"/>
    <hyperlink ref="C37" r:id="rId33" display="http://aka.ms/DAULog29"/>
    <hyperlink ref="C38" r:id="rId34" display="http://aka.ms/DAULog30"/>
    <hyperlink ref="C40" r:id="rId35" display="http://aka.ms/DAULog12"/>
    <hyperlink ref="C41" r:id="rId36" display="http://aka.ms/DAULog13"/>
    <hyperlink ref="C51" r:id="rId37" display="http://aka.ms/DDPDIS8"/>
    <hyperlink ref="C57" r:id="rId38" display="http://aka.ms/DDPDIS14"/>
    <hyperlink ref="C59" r:id="rId39" display="http://aka.ms/DDMDEL2"/>
    <hyperlink ref="C62" r:id="rId40" display="http://aka.ms/DDMDEL5"/>
    <hyperlink ref="E59" r:id="rId41" display="http://aka.ms/PDMDEL2"/>
    <hyperlink ref="E60" r:id="rId42" display="http://aka.ms/PDMDEL3"/>
    <hyperlink ref="E62" r:id="rId43" display="http://aka.ms/PDMDEL5"/>
    <hyperlink ref="E63" r:id="rId44" display="http://aka.ms/PDMDEL6"/>
    <hyperlink ref="C45" r:id="rId45" display="http://aka.ms/DDPDIS3"/>
    <hyperlink ref="C46" r:id="rId46" display="http://aka.ms/DDPDIS4"/>
    <hyperlink ref="C47" r:id="rId47" display="http://aka.ms/DDPDIS5"/>
    <hyperlink ref="C49" r:id="rId48" display="http://aka.ms/DDPDIS7"/>
    <hyperlink ref="C50" r:id="rId49" display="https://aka.ms/DDI1016"/>
    <hyperlink ref="C60" r:id="rId50" display="http://aka.ms/DDMDEL3"/>
    <hyperlink ref="C61" r:id="rId51" display="http://aka.ms/DDMDEL4"/>
    <hyperlink ref="C63" r:id="rId52" display="http://aka.ms/DDMDEL6"/>
    <hyperlink ref="C65" r:id="rId53" display="http://aka.ms/DDPPRE15"/>
    <hyperlink ref="C66" r:id="rId54" display="http://aka.ms/DDPPRE2"/>
    <hyperlink ref="C72" r:id="rId55" display="http://aka.ms/DDPPRE7"/>
    <hyperlink ref="E65" r:id="rId56" display="http://aka.ms/PDPPRE15"/>
    <hyperlink ref="E69" r:id="rId57" display="http://aka.ms/PDPPRE4"/>
    <hyperlink ref="E70" r:id="rId58" display="http://aka.ms/PDPPRE5"/>
    <hyperlink ref="E75" r:id="rId59" display="http://aka.ms/PDPPRE10"/>
    <hyperlink ref="E78" r:id="rId60" display="http://aka.ms/PDPPRE13"/>
    <hyperlink ref="C67" r:id="rId61" display="https://aka.ms/ddp920"/>
    <hyperlink ref="C68" r:id="rId62" display="http://aka.ms/DDPPRE3"/>
    <hyperlink ref="C69" r:id="rId63" display="http://aka.ms/DDPPRE4"/>
    <hyperlink ref="C70" r:id="rId64" display="http://aka.ms/DDPPRE5"/>
    <hyperlink ref="C71" r:id="rId65" display="http://aka.ms/DDPPRE6"/>
    <hyperlink ref="C73" r:id="rId66" display="http://aka.ms/DDPPRE8"/>
    <hyperlink ref="C74" r:id="rId67" display="http://aka.ms/DDPPRE9"/>
    <hyperlink ref="C75" r:id="rId68" display="http://aka.ms/DDPPRE10"/>
    <hyperlink ref="C76" r:id="rId69" display="http://aka.ms/DDPPRE11"/>
    <hyperlink ref="C78" r:id="rId70" display="http://aka.ms/DDPPRE13"/>
    <hyperlink ref="C79" r:id="rId71" display="http://aka.ms/DDPPRE14"/>
    <hyperlink ref="E81" r:id="rId72" display="http://aka.ms/PIDIA3"/>
    <hyperlink ref="C82" r:id="rId73" display="http://aka.ms/DUSRAC22"/>
    <hyperlink ref="C24" r:id="rId74" display="https://aka.ms/daulog44"/>
    <hyperlink ref="C25" r:id="rId75" display="https://aka.ms/daulog45"/>
    <hyperlink ref="C26" r:id="rId76" display="https://aka.ms/daulog46"/>
    <hyperlink ref="C27" r:id="rId77" display="https://aka.ms/daulog47"/>
    <hyperlink ref="C11" r:id="rId78" display="Exchange Mailbox Activities (Audit Log Search)"/>
    <hyperlink ref="C52:C56" r:id="rId79" display="Near-Duplicate Detection"/>
  </hyperlinks>
  <pageMargins left="0.7" right="0.7" top="0.75" bottom="0.75" header="0.3" footer="0.3"/>
  <pageSetup orientation="portrait" r:id="rId80"/>
  <drawing r:id="rId81"/>
  <tableParts count="1">
    <tablePart r:id="rId8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4"/>
  <sheetViews>
    <sheetView showRowColHeaders="0" zoomScale="89" zoomScaleNormal="89" workbookViewId="0">
      <pane ySplit="1" topLeftCell="A2" activePane="bottomLeft" state="frozen"/>
      <selection pane="bottomLeft"/>
    </sheetView>
  </sheetViews>
  <sheetFormatPr defaultColWidth="9.140625" defaultRowHeight="15" x14ac:dyDescent="0.25"/>
  <cols>
    <col min="1" max="1" width="10.85546875" style="1" customWidth="1"/>
    <col min="2" max="2" width="19.42578125" style="1" customWidth="1"/>
    <col min="3" max="3" width="29.5703125" style="6" customWidth="1"/>
    <col min="4" max="4" width="52.28515625" style="1" customWidth="1"/>
    <col min="5" max="5" width="21.5703125" style="1" customWidth="1"/>
    <col min="6" max="6" width="32.140625" style="1" customWidth="1"/>
    <col min="7" max="7" width="27.28515625" style="1" customWidth="1"/>
    <col min="8" max="8" width="18.5703125" style="1" customWidth="1"/>
    <col min="9" max="16384" width="9.140625" style="1"/>
  </cols>
  <sheetData>
    <row r="1" spans="1:8" ht="15.75" thickBot="1" x14ac:dyDescent="0.3">
      <c r="A1" s="14" t="s">
        <v>30</v>
      </c>
      <c r="B1" s="14" t="s">
        <v>0</v>
      </c>
      <c r="C1" s="14" t="s">
        <v>324</v>
      </c>
      <c r="D1" s="15" t="s">
        <v>2</v>
      </c>
      <c r="E1" s="16" t="s">
        <v>3</v>
      </c>
      <c r="F1" s="17" t="s">
        <v>276</v>
      </c>
      <c r="G1" s="18" t="s">
        <v>440</v>
      </c>
      <c r="H1" s="18" t="s">
        <v>323</v>
      </c>
    </row>
    <row r="2" spans="1:8" ht="60.75" x14ac:dyDescent="0.25">
      <c r="A2" s="28" t="s">
        <v>65</v>
      </c>
      <c r="B2" s="28" t="s">
        <v>559</v>
      </c>
      <c r="C2" s="28" t="s">
        <v>66</v>
      </c>
      <c r="D2" s="28" t="s">
        <v>67</v>
      </c>
      <c r="E2" s="28"/>
      <c r="F2" s="28"/>
      <c r="G2" s="28"/>
      <c r="H2" s="28"/>
    </row>
    <row r="3" spans="1:8" ht="96.75" x14ac:dyDescent="0.25">
      <c r="A3" s="27" t="s">
        <v>65</v>
      </c>
      <c r="B3" s="27" t="s">
        <v>6</v>
      </c>
      <c r="C3" s="38" t="s">
        <v>452</v>
      </c>
      <c r="D3" s="27" t="s">
        <v>453</v>
      </c>
      <c r="E3" s="38" t="s">
        <v>74</v>
      </c>
      <c r="F3" s="39" t="s">
        <v>291</v>
      </c>
      <c r="G3" s="39" t="s">
        <v>292</v>
      </c>
      <c r="H3" s="39"/>
    </row>
    <row r="4" spans="1:8" ht="144.75" x14ac:dyDescent="0.25">
      <c r="A4" s="27" t="s">
        <v>65</v>
      </c>
      <c r="B4" s="27" t="s">
        <v>11</v>
      </c>
      <c r="C4" s="38" t="s">
        <v>75</v>
      </c>
      <c r="D4" s="27" t="s">
        <v>363</v>
      </c>
      <c r="E4" s="38"/>
      <c r="F4" s="39" t="s">
        <v>449</v>
      </c>
      <c r="G4" s="39" t="s">
        <v>448</v>
      </c>
      <c r="H4" s="39"/>
    </row>
    <row r="5" spans="1:8" ht="120.75" x14ac:dyDescent="0.25">
      <c r="A5" s="27" t="s">
        <v>65</v>
      </c>
      <c r="B5" s="27" t="s">
        <v>11</v>
      </c>
      <c r="C5" s="38" t="s">
        <v>454</v>
      </c>
      <c r="D5" s="27" t="s">
        <v>364</v>
      </c>
      <c r="E5" s="38"/>
      <c r="F5" s="39" t="s">
        <v>449</v>
      </c>
      <c r="G5" s="39" t="s">
        <v>448</v>
      </c>
      <c r="H5" s="39"/>
    </row>
    <row r="6" spans="1:8" ht="72.75" x14ac:dyDescent="0.25">
      <c r="A6" s="28" t="s">
        <v>149</v>
      </c>
      <c r="B6" s="28" t="s">
        <v>559</v>
      </c>
      <c r="C6" s="28" t="s">
        <v>150</v>
      </c>
      <c r="D6" s="28" t="s">
        <v>151</v>
      </c>
      <c r="E6" s="28"/>
      <c r="F6" s="28"/>
      <c r="G6" s="28"/>
      <c r="H6" s="28"/>
    </row>
    <row r="7" spans="1:8" ht="120.75" x14ac:dyDescent="0.25">
      <c r="A7" s="27" t="s">
        <v>149</v>
      </c>
      <c r="B7" s="27" t="s">
        <v>6</v>
      </c>
      <c r="C7" s="38" t="s">
        <v>153</v>
      </c>
      <c r="D7" s="27" t="s">
        <v>417</v>
      </c>
      <c r="E7" s="38"/>
      <c r="F7" s="39"/>
      <c r="G7" s="39"/>
      <c r="H7" s="39"/>
    </row>
    <row r="8" spans="1:8" ht="84.75" x14ac:dyDescent="0.25">
      <c r="A8" s="27" t="s">
        <v>149</v>
      </c>
      <c r="B8" s="27" t="s">
        <v>6</v>
      </c>
      <c r="C8" s="38" t="s">
        <v>156</v>
      </c>
      <c r="D8" s="27" t="s">
        <v>419</v>
      </c>
      <c r="E8" s="38" t="s">
        <v>157</v>
      </c>
      <c r="F8" s="39"/>
      <c r="G8" s="39"/>
      <c r="H8" s="39"/>
    </row>
    <row r="9" spans="1:8" ht="36.75" x14ac:dyDescent="0.25">
      <c r="A9" s="27" t="s">
        <v>149</v>
      </c>
      <c r="B9" s="27" t="s">
        <v>6</v>
      </c>
      <c r="C9" s="38" t="s">
        <v>174</v>
      </c>
      <c r="D9" s="27" t="s">
        <v>175</v>
      </c>
      <c r="E9" s="38" t="s">
        <v>439</v>
      </c>
      <c r="F9" s="39"/>
      <c r="G9" s="39"/>
      <c r="H9" s="39"/>
    </row>
    <row r="10" spans="1:8" ht="48.75" x14ac:dyDescent="0.25">
      <c r="A10" s="27" t="s">
        <v>149</v>
      </c>
      <c r="B10" s="27" t="s">
        <v>6</v>
      </c>
      <c r="C10" s="38" t="s">
        <v>176</v>
      </c>
      <c r="D10" s="27" t="s">
        <v>592</v>
      </c>
      <c r="E10" s="38"/>
      <c r="F10" s="39"/>
      <c r="G10" s="39"/>
      <c r="H10" s="39"/>
    </row>
    <row r="11" spans="1:8" ht="72.75" x14ac:dyDescent="0.25">
      <c r="A11" s="28" t="s">
        <v>100</v>
      </c>
      <c r="B11" s="28" t="s">
        <v>559</v>
      </c>
      <c r="C11" s="28" t="s">
        <v>101</v>
      </c>
      <c r="D11" s="28" t="s">
        <v>596</v>
      </c>
      <c r="E11" s="28"/>
      <c r="F11" s="28"/>
      <c r="G11" s="28"/>
      <c r="H11" s="28"/>
    </row>
    <row r="12" spans="1:8" ht="96.75" x14ac:dyDescent="0.25">
      <c r="A12" s="27" t="s">
        <v>100</v>
      </c>
      <c r="B12" s="27" t="s">
        <v>32</v>
      </c>
      <c r="C12" s="38" t="s">
        <v>102</v>
      </c>
      <c r="D12" s="27" t="s">
        <v>382</v>
      </c>
      <c r="E12" s="38"/>
      <c r="F12" s="39"/>
      <c r="G12" s="39"/>
      <c r="H12" s="39"/>
    </row>
    <row r="13" spans="1:8" ht="60.75" x14ac:dyDescent="0.25">
      <c r="A13" s="27" t="s">
        <v>100</v>
      </c>
      <c r="B13" s="27" t="s">
        <v>32</v>
      </c>
      <c r="C13" s="38" t="s">
        <v>103</v>
      </c>
      <c r="D13" s="27" t="s">
        <v>307</v>
      </c>
      <c r="E13" s="38"/>
      <c r="F13" s="39"/>
      <c r="G13" s="39"/>
      <c r="H13" s="39"/>
    </row>
    <row r="14" spans="1:8" ht="60.75" x14ac:dyDescent="0.25">
      <c r="A14" s="27" t="s">
        <v>100</v>
      </c>
      <c r="B14" s="27" t="s">
        <v>32</v>
      </c>
      <c r="C14" s="38" t="s">
        <v>461</v>
      </c>
      <c r="D14" s="27" t="s">
        <v>462</v>
      </c>
      <c r="E14" s="38"/>
      <c r="F14" s="39"/>
      <c r="G14" s="39"/>
      <c r="H14" s="39"/>
    </row>
    <row r="15" spans="1:8" ht="24.75" x14ac:dyDescent="0.25">
      <c r="A15" s="27" t="s">
        <v>100</v>
      </c>
      <c r="B15" s="27" t="s">
        <v>32</v>
      </c>
      <c r="C15" s="38" t="s">
        <v>463</v>
      </c>
      <c r="D15" s="27" t="s">
        <v>464</v>
      </c>
      <c r="E15" s="38"/>
      <c r="F15" s="39"/>
      <c r="G15" s="39"/>
      <c r="H15" s="39"/>
    </row>
    <row r="16" spans="1:8" ht="60.75" x14ac:dyDescent="0.25">
      <c r="A16" s="27" t="s">
        <v>100</v>
      </c>
      <c r="B16" s="27" t="s">
        <v>32</v>
      </c>
      <c r="C16" s="38" t="s">
        <v>465</v>
      </c>
      <c r="D16" s="27" t="s">
        <v>466</v>
      </c>
      <c r="E16" s="38"/>
      <c r="F16" s="39"/>
      <c r="G16" s="39"/>
      <c r="H16" s="39"/>
    </row>
    <row r="17" spans="1:8" x14ac:dyDescent="0.25">
      <c r="A17" s="27" t="s">
        <v>100</v>
      </c>
      <c r="B17" s="27" t="s">
        <v>32</v>
      </c>
      <c r="C17" s="38" t="s">
        <v>467</v>
      </c>
      <c r="D17" s="27" t="s">
        <v>468</v>
      </c>
      <c r="E17" s="38"/>
      <c r="F17" s="39"/>
      <c r="G17" s="39"/>
      <c r="H17" s="39"/>
    </row>
    <row r="18" spans="1:8" ht="108.75" x14ac:dyDescent="0.25">
      <c r="A18" s="27" t="s">
        <v>100</v>
      </c>
      <c r="B18" s="27" t="s">
        <v>6</v>
      </c>
      <c r="C18" s="38" t="s">
        <v>6</v>
      </c>
      <c r="D18" s="27" t="s">
        <v>383</v>
      </c>
      <c r="E18" s="38"/>
      <c r="F18" s="39"/>
      <c r="G18" s="39"/>
      <c r="H18" s="39"/>
    </row>
    <row r="19" spans="1:8" ht="108.75" x14ac:dyDescent="0.25">
      <c r="A19" s="27" t="s">
        <v>100</v>
      </c>
      <c r="B19" s="27" t="s">
        <v>6</v>
      </c>
      <c r="C19" s="38" t="s">
        <v>104</v>
      </c>
      <c r="D19" s="27" t="s">
        <v>384</v>
      </c>
      <c r="E19" s="38"/>
      <c r="F19" s="39"/>
      <c r="G19" s="39"/>
      <c r="H19" s="39"/>
    </row>
    <row r="20" spans="1:8" ht="108.75" x14ac:dyDescent="0.25">
      <c r="A20" s="27" t="s">
        <v>100</v>
      </c>
      <c r="B20" s="27" t="s">
        <v>6</v>
      </c>
      <c r="C20" s="116" t="s">
        <v>469</v>
      </c>
      <c r="D20" s="27" t="s">
        <v>470</v>
      </c>
      <c r="E20" s="38"/>
      <c r="F20" s="39"/>
      <c r="G20" s="39"/>
      <c r="H20" s="39"/>
    </row>
    <row r="21" spans="1:8" ht="180.75" x14ac:dyDescent="0.25">
      <c r="A21" s="27" t="s">
        <v>100</v>
      </c>
      <c r="B21" s="27" t="s">
        <v>6</v>
      </c>
      <c r="C21" s="38" t="s">
        <v>105</v>
      </c>
      <c r="D21" s="27" t="s">
        <v>385</v>
      </c>
      <c r="E21" s="38"/>
      <c r="F21" s="39" t="s">
        <v>450</v>
      </c>
      <c r="G21" s="39" t="s">
        <v>451</v>
      </c>
      <c r="H21" s="39"/>
    </row>
    <row r="22" spans="1:8" ht="144.75" x14ac:dyDescent="0.25">
      <c r="A22" s="27" t="s">
        <v>100</v>
      </c>
      <c r="B22" s="27" t="s">
        <v>6</v>
      </c>
      <c r="C22" s="38" t="s">
        <v>471</v>
      </c>
      <c r="D22" s="27" t="s">
        <v>388</v>
      </c>
      <c r="E22" s="38"/>
      <c r="F22" s="39"/>
      <c r="G22" s="39" t="s">
        <v>308</v>
      </c>
      <c r="H22" s="39"/>
    </row>
    <row r="23" spans="1:8" ht="96.75" x14ac:dyDescent="0.25">
      <c r="A23" s="27" t="s">
        <v>100</v>
      </c>
      <c r="B23" s="27" t="s">
        <v>559</v>
      </c>
      <c r="C23" s="38" t="s">
        <v>473</v>
      </c>
      <c r="D23" s="27" t="s">
        <v>474</v>
      </c>
      <c r="E23" s="38"/>
      <c r="F23" s="39"/>
      <c r="G23" s="39"/>
      <c r="H23" s="39"/>
    </row>
    <row r="24" spans="1:8" ht="60.75" x14ac:dyDescent="0.25">
      <c r="A24" s="27" t="s">
        <v>100</v>
      </c>
      <c r="B24" s="27" t="s">
        <v>559</v>
      </c>
      <c r="C24" s="38" t="s">
        <v>475</v>
      </c>
      <c r="D24" s="27" t="s">
        <v>476</v>
      </c>
      <c r="E24" s="38"/>
      <c r="F24" s="39"/>
      <c r="G24" s="39"/>
      <c r="H24" s="39"/>
    </row>
    <row r="25" spans="1:8" ht="132.75" x14ac:dyDescent="0.25">
      <c r="A25" s="27" t="s">
        <v>100</v>
      </c>
      <c r="B25" s="27" t="s">
        <v>559</v>
      </c>
      <c r="C25" s="38" t="s">
        <v>477</v>
      </c>
      <c r="D25" s="27" t="s">
        <v>478</v>
      </c>
      <c r="E25" s="38"/>
      <c r="F25" s="39"/>
      <c r="G25" s="39"/>
      <c r="H25" s="39"/>
    </row>
    <row r="26" spans="1:8" ht="60.75" x14ac:dyDescent="0.25">
      <c r="A26" s="27" t="s">
        <v>100</v>
      </c>
      <c r="B26" s="27" t="s">
        <v>559</v>
      </c>
      <c r="C26" s="38" t="s">
        <v>479</v>
      </c>
      <c r="D26" s="27" t="s">
        <v>480</v>
      </c>
      <c r="E26" s="38"/>
      <c r="F26" s="39"/>
      <c r="G26" s="39"/>
      <c r="H26" s="39"/>
    </row>
    <row r="27" spans="1:8" ht="120.75" x14ac:dyDescent="0.25">
      <c r="A27" s="27" t="s">
        <v>100</v>
      </c>
      <c r="B27" s="27" t="s">
        <v>559</v>
      </c>
      <c r="C27" s="38" t="s">
        <v>481</v>
      </c>
      <c r="D27" s="27" t="s">
        <v>482</v>
      </c>
      <c r="E27" s="38"/>
      <c r="F27" s="39"/>
      <c r="G27" s="39"/>
      <c r="H27" s="39"/>
    </row>
    <row r="28" spans="1:8" ht="108.75" x14ac:dyDescent="0.25">
      <c r="A28" s="27" t="s">
        <v>100</v>
      </c>
      <c r="B28" s="27" t="s">
        <v>559</v>
      </c>
      <c r="C28" s="38" t="s">
        <v>483</v>
      </c>
      <c r="D28" s="27" t="s">
        <v>583</v>
      </c>
      <c r="E28" s="38"/>
      <c r="F28" s="39"/>
      <c r="G28" s="39"/>
      <c r="H28" s="39"/>
    </row>
    <row r="29" spans="1:8" ht="60.75" x14ac:dyDescent="0.25">
      <c r="A29" s="27" t="s">
        <v>100</v>
      </c>
      <c r="B29" s="27" t="s">
        <v>11</v>
      </c>
      <c r="C29" s="38" t="s">
        <v>622</v>
      </c>
      <c r="D29" s="27" t="s">
        <v>484</v>
      </c>
      <c r="E29" s="38"/>
      <c r="F29" s="39"/>
      <c r="G29" s="39"/>
      <c r="H29" s="39"/>
    </row>
    <row r="30" spans="1:8" ht="84.75" x14ac:dyDescent="0.25">
      <c r="A30" s="27" t="s">
        <v>100</v>
      </c>
      <c r="B30" s="27" t="s">
        <v>11</v>
      </c>
      <c r="C30" s="114" t="s">
        <v>485</v>
      </c>
      <c r="D30" s="27" t="s">
        <v>597</v>
      </c>
      <c r="E30" s="38"/>
      <c r="F30" s="39" t="s">
        <v>310</v>
      </c>
      <c r="G30" s="39" t="s">
        <v>311</v>
      </c>
      <c r="H30" s="39"/>
    </row>
    <row r="31" spans="1:8" ht="120.75" x14ac:dyDescent="0.25">
      <c r="A31" s="27" t="s">
        <v>100</v>
      </c>
      <c r="B31" s="27" t="s">
        <v>11</v>
      </c>
      <c r="C31" s="114" t="s">
        <v>486</v>
      </c>
      <c r="D31" s="27" t="s">
        <v>598</v>
      </c>
      <c r="E31" s="38"/>
      <c r="F31" s="39" t="s">
        <v>310</v>
      </c>
      <c r="G31" s="39" t="s">
        <v>311</v>
      </c>
      <c r="H31" s="39"/>
    </row>
    <row r="32" spans="1:8" ht="72.75" x14ac:dyDescent="0.25">
      <c r="A32" s="27" t="s">
        <v>100</v>
      </c>
      <c r="B32" s="27" t="s">
        <v>11</v>
      </c>
      <c r="C32" s="114" t="s">
        <v>487</v>
      </c>
      <c r="D32" s="27" t="s">
        <v>488</v>
      </c>
      <c r="E32" s="38"/>
      <c r="F32" s="39" t="s">
        <v>310</v>
      </c>
      <c r="G32" s="39" t="s">
        <v>311</v>
      </c>
      <c r="H32" s="39"/>
    </row>
    <row r="33" spans="1:8" ht="156.75" x14ac:dyDescent="0.25">
      <c r="A33" s="27" t="s">
        <v>100</v>
      </c>
      <c r="B33" s="27" t="s">
        <v>11</v>
      </c>
      <c r="C33" s="114" t="s">
        <v>489</v>
      </c>
      <c r="D33" s="27" t="s">
        <v>490</v>
      </c>
      <c r="E33" s="38"/>
      <c r="F33" s="39" t="s">
        <v>310</v>
      </c>
      <c r="G33" s="39" t="s">
        <v>311</v>
      </c>
      <c r="H33" s="39"/>
    </row>
    <row r="34" spans="1:8" ht="24.75" x14ac:dyDescent="0.25">
      <c r="A34" s="27" t="s">
        <v>100</v>
      </c>
      <c r="B34" s="27" t="s">
        <v>11</v>
      </c>
      <c r="C34" s="38" t="s">
        <v>337</v>
      </c>
      <c r="D34" s="27" t="s">
        <v>393</v>
      </c>
      <c r="E34" s="38"/>
      <c r="F34" s="39"/>
      <c r="G34" s="39"/>
      <c r="H34" s="39"/>
    </row>
    <row r="35" spans="1:8" ht="396.75" x14ac:dyDescent="0.25">
      <c r="A35" s="27" t="s">
        <v>100</v>
      </c>
      <c r="B35" s="27" t="s">
        <v>604</v>
      </c>
      <c r="C35" s="38" t="s">
        <v>616</v>
      </c>
      <c r="D35" s="27" t="s">
        <v>617</v>
      </c>
      <c r="E35" s="38"/>
      <c r="F35" s="39" t="s">
        <v>312</v>
      </c>
      <c r="G35" s="39" t="s">
        <v>313</v>
      </c>
      <c r="H35" s="39"/>
    </row>
    <row r="36" spans="1:8" ht="156.75" x14ac:dyDescent="0.25">
      <c r="A36" s="27" t="s">
        <v>100</v>
      </c>
      <c r="B36" s="27" t="s">
        <v>604</v>
      </c>
      <c r="C36" s="38" t="s">
        <v>108</v>
      </c>
      <c r="D36" s="27" t="s">
        <v>618</v>
      </c>
      <c r="E36" s="38"/>
      <c r="F36" s="39"/>
      <c r="G36" s="39"/>
      <c r="H36" s="39"/>
    </row>
    <row r="37" spans="1:8" ht="180.75" x14ac:dyDescent="0.25">
      <c r="A37" s="27" t="s">
        <v>100</v>
      </c>
      <c r="B37" s="27" t="s">
        <v>604</v>
      </c>
      <c r="C37" s="38" t="s">
        <v>109</v>
      </c>
      <c r="D37" s="27" t="s">
        <v>619</v>
      </c>
      <c r="E37" s="38"/>
      <c r="F37" s="39"/>
      <c r="G37" s="39"/>
      <c r="H37" s="39"/>
    </row>
    <row r="38" spans="1:8" ht="144.75" x14ac:dyDescent="0.25">
      <c r="A38" s="27" t="s">
        <v>100</v>
      </c>
      <c r="B38" s="27" t="s">
        <v>559</v>
      </c>
      <c r="C38" s="38" t="s">
        <v>447</v>
      </c>
      <c r="D38" s="27" t="s">
        <v>491</v>
      </c>
      <c r="E38" s="38"/>
      <c r="F38" s="39"/>
      <c r="G38" s="39"/>
      <c r="H38" s="39"/>
    </row>
    <row r="39" spans="1:8" ht="132.75" x14ac:dyDescent="0.25">
      <c r="A39" s="27" t="s">
        <v>100</v>
      </c>
      <c r="B39" s="27" t="s">
        <v>559</v>
      </c>
      <c r="C39" s="38" t="s">
        <v>492</v>
      </c>
      <c r="D39" s="27" t="s">
        <v>394</v>
      </c>
      <c r="E39" s="38"/>
      <c r="F39" s="39"/>
      <c r="G39" s="39"/>
      <c r="H39" s="39"/>
    </row>
    <row r="40" spans="1:8" s="22" customFormat="1" ht="72.75" x14ac:dyDescent="0.25">
      <c r="A40" s="27" t="s">
        <v>100</v>
      </c>
      <c r="B40" s="27" t="s">
        <v>37</v>
      </c>
      <c r="C40" s="38" t="s">
        <v>59</v>
      </c>
      <c r="D40" s="27" t="s">
        <v>395</v>
      </c>
      <c r="E40" s="38"/>
      <c r="F40" s="39"/>
      <c r="G40" s="39"/>
      <c r="H40" s="39"/>
    </row>
    <row r="41" spans="1:8" ht="72.75" x14ac:dyDescent="0.25">
      <c r="A41" s="27" t="s">
        <v>100</v>
      </c>
      <c r="B41" s="27" t="s">
        <v>37</v>
      </c>
      <c r="C41" s="38" t="s">
        <v>110</v>
      </c>
      <c r="D41" s="27" t="s">
        <v>395</v>
      </c>
      <c r="E41" s="38"/>
      <c r="F41" s="39"/>
      <c r="G41" s="39"/>
      <c r="H41" s="39"/>
    </row>
    <row r="42" spans="1:8" ht="192.75" x14ac:dyDescent="0.25">
      <c r="A42" s="27" t="s">
        <v>100</v>
      </c>
      <c r="B42" s="27" t="s">
        <v>37</v>
      </c>
      <c r="C42" s="38" t="s">
        <v>111</v>
      </c>
      <c r="D42" s="27" t="s">
        <v>396</v>
      </c>
      <c r="E42" s="38"/>
      <c r="F42" s="39"/>
      <c r="G42" s="39"/>
      <c r="H42" s="39"/>
    </row>
    <row r="43" spans="1:8" ht="120.75" x14ac:dyDescent="0.25">
      <c r="A43" s="27" t="s">
        <v>100</v>
      </c>
      <c r="B43" s="27" t="s">
        <v>37</v>
      </c>
      <c r="C43" s="38" t="s">
        <v>112</v>
      </c>
      <c r="D43" s="27" t="s">
        <v>397</v>
      </c>
      <c r="E43" s="38"/>
      <c r="F43" s="39"/>
      <c r="G43" s="39"/>
      <c r="H43" s="39"/>
    </row>
    <row r="44" spans="1:8" ht="120.75" x14ac:dyDescent="0.25">
      <c r="A44" s="27" t="s">
        <v>100</v>
      </c>
      <c r="B44" s="27" t="s">
        <v>6</v>
      </c>
      <c r="C44" s="38" t="s">
        <v>334</v>
      </c>
      <c r="D44" s="27" t="s">
        <v>390</v>
      </c>
      <c r="E44" s="38"/>
      <c r="F44" s="39"/>
      <c r="G44" s="39"/>
      <c r="H44" s="39"/>
    </row>
    <row r="45" spans="1:8" ht="144.75" x14ac:dyDescent="0.25">
      <c r="A45" s="27" t="s">
        <v>100</v>
      </c>
      <c r="B45" s="27" t="s">
        <v>6</v>
      </c>
      <c r="C45" s="38" t="s">
        <v>335</v>
      </c>
      <c r="D45" s="27" t="s">
        <v>391</v>
      </c>
      <c r="E45" s="38"/>
      <c r="F45" s="39"/>
      <c r="G45" s="39"/>
      <c r="H45" s="39"/>
    </row>
    <row r="46" spans="1:8" ht="132.75" x14ac:dyDescent="0.25">
      <c r="A46" s="27" t="s">
        <v>100</v>
      </c>
      <c r="B46" s="27" t="s">
        <v>6</v>
      </c>
      <c r="C46" s="38" t="s">
        <v>336</v>
      </c>
      <c r="D46" s="27" t="s">
        <v>392</v>
      </c>
      <c r="E46" s="38"/>
      <c r="F46" s="39"/>
      <c r="G46" s="39"/>
      <c r="H46" s="39"/>
    </row>
    <row r="47" spans="1:8" ht="84.75" x14ac:dyDescent="0.25">
      <c r="A47" s="27" t="s">
        <v>100</v>
      </c>
      <c r="B47" s="27" t="s">
        <v>559</v>
      </c>
      <c r="C47" s="38" t="s">
        <v>494</v>
      </c>
      <c r="D47" s="27" t="s">
        <v>495</v>
      </c>
      <c r="E47" s="38"/>
      <c r="F47" s="39"/>
      <c r="G47" s="39"/>
      <c r="H47" s="39"/>
    </row>
    <row r="48" spans="1:8" ht="60.75" x14ac:dyDescent="0.25">
      <c r="A48" s="28" t="s">
        <v>257</v>
      </c>
      <c r="B48" s="28" t="s">
        <v>258</v>
      </c>
      <c r="C48" s="28" t="s">
        <v>259</v>
      </c>
      <c r="D48" s="28" t="s">
        <v>600</v>
      </c>
      <c r="E48" s="28"/>
      <c r="F48" s="28"/>
      <c r="G48" s="28"/>
      <c r="H48" s="28"/>
    </row>
    <row r="49" spans="1:8" ht="108.75" x14ac:dyDescent="0.25">
      <c r="A49" s="27" t="s">
        <v>257</v>
      </c>
      <c r="B49" s="27" t="s">
        <v>258</v>
      </c>
      <c r="C49" s="38" t="s">
        <v>496</v>
      </c>
      <c r="D49" s="27" t="s">
        <v>497</v>
      </c>
      <c r="E49" s="38"/>
      <c r="F49" s="39"/>
      <c r="G49" s="39"/>
      <c r="H49" s="39"/>
    </row>
    <row r="50" spans="1:8" ht="36.75" x14ac:dyDescent="0.25">
      <c r="A50" s="27" t="s">
        <v>257</v>
      </c>
      <c r="B50" s="27" t="s">
        <v>258</v>
      </c>
      <c r="C50" s="38" t="s">
        <v>270</v>
      </c>
      <c r="D50" s="27" t="s">
        <v>271</v>
      </c>
      <c r="E50" s="38" t="s">
        <v>272</v>
      </c>
      <c r="F50" s="39"/>
      <c r="G50" s="39"/>
      <c r="H50" s="39"/>
    </row>
    <row r="51" spans="1:8" ht="72.75" x14ac:dyDescent="0.25">
      <c r="A51" s="28" t="s">
        <v>42</v>
      </c>
      <c r="B51" s="28" t="s">
        <v>559</v>
      </c>
      <c r="C51" s="28" t="s">
        <v>43</v>
      </c>
      <c r="D51" s="28" t="s">
        <v>587</v>
      </c>
      <c r="E51" s="28"/>
      <c r="F51" s="28"/>
      <c r="G51" s="28"/>
      <c r="H51" s="28"/>
    </row>
    <row r="52" spans="1:8" ht="84.75" x14ac:dyDescent="0.25">
      <c r="A52" s="27" t="s">
        <v>42</v>
      </c>
      <c r="B52" s="27" t="s">
        <v>559</v>
      </c>
      <c r="C52" s="38" t="s">
        <v>539</v>
      </c>
      <c r="D52" s="27" t="s">
        <v>540</v>
      </c>
      <c r="E52" s="38"/>
      <c r="F52" s="39"/>
      <c r="G52" s="39"/>
      <c r="H52" s="39"/>
    </row>
    <row r="53" spans="1:8" ht="36.75" x14ac:dyDescent="0.25">
      <c r="A53" s="27" t="s">
        <v>42</v>
      </c>
      <c r="B53" s="27" t="s">
        <v>32</v>
      </c>
      <c r="C53" s="38" t="s">
        <v>47</v>
      </c>
      <c r="D53" s="27" t="s">
        <v>347</v>
      </c>
      <c r="E53" s="38"/>
      <c r="F53" s="39"/>
      <c r="G53" s="39"/>
      <c r="H53" s="39"/>
    </row>
    <row r="54" spans="1:8" ht="36.75" x14ac:dyDescent="0.25">
      <c r="A54" s="27" t="s">
        <v>31</v>
      </c>
      <c r="B54" s="27" t="s">
        <v>32</v>
      </c>
      <c r="C54" s="110" t="s">
        <v>35</v>
      </c>
      <c r="D54" s="27" t="s">
        <v>279</v>
      </c>
      <c r="E54" s="38" t="s">
        <v>36</v>
      </c>
      <c r="F54" s="39"/>
      <c r="G54" s="39" t="s">
        <v>280</v>
      </c>
      <c r="H54" s="39"/>
    </row>
    <row r="55" spans="1:8" ht="108.75" x14ac:dyDescent="0.25">
      <c r="A55" s="28" t="s">
        <v>233</v>
      </c>
      <c r="B55" s="28" t="s">
        <v>559</v>
      </c>
      <c r="C55" s="28" t="s">
        <v>234</v>
      </c>
      <c r="D55" s="28" t="s">
        <v>563</v>
      </c>
      <c r="E55" s="28"/>
      <c r="F55" s="28"/>
      <c r="G55" s="28"/>
      <c r="H55" s="28"/>
    </row>
    <row r="56" spans="1:8" ht="36.75" x14ac:dyDescent="0.25">
      <c r="A56" s="27" t="s">
        <v>233</v>
      </c>
      <c r="B56" s="27" t="s">
        <v>559</v>
      </c>
      <c r="C56" s="38" t="s">
        <v>235</v>
      </c>
      <c r="D56" s="27" t="s">
        <v>236</v>
      </c>
      <c r="E56" s="38" t="s">
        <v>237</v>
      </c>
      <c r="F56" s="39"/>
      <c r="G56" s="39"/>
      <c r="H56" s="39"/>
    </row>
    <row r="57" spans="1:8" ht="36.75" x14ac:dyDescent="0.25">
      <c r="A57" s="27" t="s">
        <v>233</v>
      </c>
      <c r="B57" s="27" t="s">
        <v>32</v>
      </c>
      <c r="C57" s="38" t="s">
        <v>238</v>
      </c>
      <c r="D57" s="27" t="s">
        <v>239</v>
      </c>
      <c r="E57" s="38" t="s">
        <v>240</v>
      </c>
      <c r="F57" s="39" t="s">
        <v>316</v>
      </c>
      <c r="G57" s="39"/>
      <c r="H57" s="39"/>
    </row>
    <row r="58" spans="1:8" ht="36.75" x14ac:dyDescent="0.25">
      <c r="A58" s="27" t="s">
        <v>233</v>
      </c>
      <c r="B58" s="27" t="s">
        <v>32</v>
      </c>
      <c r="C58" s="38" t="s">
        <v>564</v>
      </c>
      <c r="D58" s="27" t="s">
        <v>565</v>
      </c>
      <c r="E58" s="38"/>
      <c r="F58" s="39"/>
      <c r="G58" s="39"/>
      <c r="H58" s="39"/>
    </row>
    <row r="59" spans="1:8" ht="48.75" x14ac:dyDescent="0.25">
      <c r="A59" s="27" t="s">
        <v>233</v>
      </c>
      <c r="B59" s="27" t="s">
        <v>6</v>
      </c>
      <c r="C59" s="38" t="s">
        <v>241</v>
      </c>
      <c r="D59" s="27" t="s">
        <v>428</v>
      </c>
      <c r="E59" s="38"/>
      <c r="F59" s="39"/>
      <c r="G59" s="39"/>
      <c r="H59" s="39"/>
    </row>
    <row r="60" spans="1:8" ht="24.75" x14ac:dyDescent="0.25">
      <c r="A60" s="27" t="s">
        <v>233</v>
      </c>
      <c r="B60" s="27" t="s">
        <v>11</v>
      </c>
      <c r="C60" s="38" t="s">
        <v>566</v>
      </c>
      <c r="D60" s="27" t="s">
        <v>567</v>
      </c>
      <c r="E60" s="38"/>
      <c r="F60" s="39" t="s">
        <v>568</v>
      </c>
      <c r="G60" s="39"/>
      <c r="H60" s="39"/>
    </row>
    <row r="61" spans="1:8" ht="60.75" x14ac:dyDescent="0.25">
      <c r="A61" s="27" t="s">
        <v>233</v>
      </c>
      <c r="B61" s="27" t="s">
        <v>559</v>
      </c>
      <c r="C61" s="110" t="s">
        <v>246</v>
      </c>
      <c r="D61" s="27" t="s">
        <v>601</v>
      </c>
      <c r="E61" s="38"/>
      <c r="F61" s="39"/>
      <c r="G61" s="39"/>
      <c r="H61" s="39"/>
    </row>
    <row r="62" spans="1:8" ht="96.75" x14ac:dyDescent="0.25">
      <c r="A62" s="27" t="s">
        <v>233</v>
      </c>
      <c r="B62" s="27" t="s">
        <v>559</v>
      </c>
      <c r="C62" s="110" t="s">
        <v>247</v>
      </c>
      <c r="D62" s="27" t="s">
        <v>602</v>
      </c>
      <c r="E62" s="38"/>
      <c r="F62" s="39"/>
      <c r="G62" s="39"/>
      <c r="H62" s="39"/>
    </row>
    <row r="63" spans="1:8" ht="60" x14ac:dyDescent="0.25">
      <c r="A63" s="56" t="s">
        <v>77</v>
      </c>
      <c r="B63" s="56" t="s">
        <v>559</v>
      </c>
      <c r="C63" s="56" t="s">
        <v>78</v>
      </c>
      <c r="D63" s="56" t="s">
        <v>79</v>
      </c>
      <c r="E63" s="56"/>
      <c r="F63" s="56"/>
      <c r="G63" s="56"/>
      <c r="H63" s="56"/>
    </row>
    <row r="64" spans="1:8" ht="84.75" x14ac:dyDescent="0.25">
      <c r="A64" s="113" t="s">
        <v>77</v>
      </c>
      <c r="B64" s="113" t="s">
        <v>6</v>
      </c>
      <c r="C64" s="122" t="s">
        <v>574</v>
      </c>
      <c r="D64" s="123" t="s">
        <v>366</v>
      </c>
      <c r="E64" s="57"/>
      <c r="F64" s="58"/>
      <c r="G64" s="59" t="s">
        <v>293</v>
      </c>
      <c r="H64" s="60"/>
    </row>
    <row r="101" spans="1:8" x14ac:dyDescent="0.25">
      <c r="A101" s="1">
        <f>COUNTA(A2:A68)</f>
        <v>63</v>
      </c>
      <c r="H101" s="1">
        <f>COUNTA(H2:H68)</f>
        <v>0</v>
      </c>
    </row>
    <row r="104" spans="1:8" x14ac:dyDescent="0.25">
      <c r="A104" s="1">
        <f>COUNTA(A2:A92)</f>
        <v>63</v>
      </c>
      <c r="H104" s="1">
        <f>COUNTA(H2:H92)</f>
        <v>0</v>
      </c>
    </row>
  </sheetData>
  <hyperlinks>
    <hyperlink ref="C4" r:id="rId1" display="http://aka.ms/DADMAC9"/>
    <hyperlink ref="E3" r:id="rId2" display="http://aka.ms/PADMAC8"/>
    <hyperlink ref="C3" r:id="rId3" display="http://aka.ms/DADMAC8"/>
    <hyperlink ref="C5" r:id="rId4" display="http://aka.ms/DADMAC10"/>
    <hyperlink ref="C7" r:id="rId5" display="http://aka.ms/DDPATP3"/>
    <hyperlink ref="E8" r:id="rId6" display="http://aka.ms/PDPATP6"/>
    <hyperlink ref="C8" r:id="rId7" display="http://aka.ms/DDPATP6"/>
    <hyperlink ref="C9" r:id="rId8" display="http://aka.ms/DDPATP17"/>
    <hyperlink ref="C10" r:id="rId9" display="http://aka.ms/DDPATP18"/>
    <hyperlink ref="E9" r:id="rId10" display="http://aka.ms/PDPATP17"/>
    <hyperlink ref="C11" r:id="rId11" display="http://aka.ms/DAULog1"/>
    <hyperlink ref="C12" r:id="rId12" display="http://aka.ms/DAULog2"/>
    <hyperlink ref="C13" r:id="rId13" display="http://aka.ms/DAULog3"/>
    <hyperlink ref="C18" r:id="rId14" display="http://aka.ms/DAULog4"/>
    <hyperlink ref="C14" r:id="rId15" display="http://aka.ms/daulog34"/>
    <hyperlink ref="C15" r:id="rId16" display="http://aka.ms/daulog35"/>
    <hyperlink ref="C16" r:id="rId17" display="http://aka.ms/daulog36"/>
    <hyperlink ref="C17" r:id="rId18" display="http://aka.ms/daulog37"/>
    <hyperlink ref="C19" r:id="rId19" display="http://aka.ms/DAULog5"/>
    <hyperlink ref="C21" r:id="rId20" display="http://aka.ms/DAULog6"/>
    <hyperlink ref="C22" r:id="rId21" display="http://aka.ms/DAULog9"/>
    <hyperlink ref="C29" r:id="rId22" display="http://aka.ms/DAULog14"/>
    <hyperlink ref="C34" r:id="rId23" display="http://aka.ms/DAULog21"/>
    <hyperlink ref="C35" r:id="rId24" display="http://aka.ms/DAULog23"/>
    <hyperlink ref="C38" r:id="rId25" display="http://aka.ms/DAULog33"/>
    <hyperlink ref="C39" r:id="rId26" display="http://aka.ms/DAULog26"/>
    <hyperlink ref="C23" r:id="rId27" display="https://aka.ms/daulog39"/>
    <hyperlink ref="C24" r:id="rId28" display="https://aka.ms/daulog40"/>
    <hyperlink ref="C25" r:id="rId29" display="https://aka.ms/daulog41"/>
    <hyperlink ref="C26" r:id="rId30" display="https://aka.ms/daulog42"/>
    <hyperlink ref="C27" r:id="rId31" display="https://aka.ms/daulog43"/>
    <hyperlink ref="C28" r:id="rId32" display="https://aka.ms/dau546"/>
    <hyperlink ref="C36" r:id="rId33" display="http://aka.ms/DAULog24"/>
    <hyperlink ref="C37" r:id="rId34" display="http://aka.ms/DAULog25"/>
    <hyperlink ref="C40" r:id="rId35" display="http://aka.ms/DAULog27"/>
    <hyperlink ref="C44" r:id="rId36" display="http://aka.ms/DAULog11"/>
    <hyperlink ref="C47" r:id="rId37" display="http://aka.ms/DAU600"/>
    <hyperlink ref="C41" r:id="rId38" display="http://aka.ms/DAULog28"/>
    <hyperlink ref="C42" r:id="rId39" display="http://aka.ms/DAULog29"/>
    <hyperlink ref="C43" r:id="rId40" display="http://aka.ms/DAULog30"/>
    <hyperlink ref="C45" r:id="rId41" display="http://aka.ms/DAULog12"/>
    <hyperlink ref="C46" r:id="rId42" display="http://aka.ms/DAULog13"/>
    <hyperlink ref="C49" r:id="rId43" display="http://aka.ms/dcmcli27"/>
    <hyperlink ref="E50" r:id="rId44" display="http://aka.ms/PCMCLI13"/>
    <hyperlink ref="C50" r:id="rId45" display="http://aka.ms/DCMCLI13"/>
    <hyperlink ref="C52" r:id="rId46" display="https://aka.ms/dia201"/>
    <hyperlink ref="C53" r:id="rId47" display="http://aka.ms/DAUIA4"/>
    <hyperlink ref="E54" r:id="rId48" display="http://aka.ms/PIDIA3"/>
    <hyperlink ref="C56" r:id="rId49" display="http://aka.ms/DDPIR2"/>
    <hyperlink ref="C57" r:id="rId50" display="http://aka.ms/DDPIR3"/>
    <hyperlink ref="E56" r:id="rId51" display="http://aka.ms/PDPIR2"/>
    <hyperlink ref="E57" r:id="rId52" display="http://aka.ms/PDPIR3"/>
    <hyperlink ref="C58" r:id="rId53" display="http://aka.ms/DDPIR14"/>
    <hyperlink ref="C59" r:id="rId54" display="http://aka.ms/DDPIR4"/>
    <hyperlink ref="C60" r:id="rId55" display="http://aka.ms/DDPIR13"/>
    <hyperlink ref="C64" r:id="rId56" display="http://aka.ms/DUSRAC3"/>
    <hyperlink ref="C20" r:id="rId57"/>
    <hyperlink ref="C30" r:id="rId58" display="https://aka.ms/daulog44"/>
    <hyperlink ref="C31" r:id="rId59" display="https://aka.ms/daulog45"/>
    <hyperlink ref="C32" r:id="rId60" display="https://aka.ms/daulog46"/>
    <hyperlink ref="C33" r:id="rId61" display="https://aka.ms/daulog47"/>
  </hyperlinks>
  <pageMargins left="0.7" right="0.7" top="0.75" bottom="0.75" header="0.3" footer="0.3"/>
  <pageSetup orientation="portrait" r:id="rId62"/>
  <drawing r:id="rId63"/>
  <tableParts count="1">
    <tablePart r:id="rId6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showGridLines="0" showRowColHeaders="0" zoomScaleNormal="100" workbookViewId="0"/>
  </sheetViews>
  <sheetFormatPr defaultColWidth="9.140625" defaultRowHeight="15" x14ac:dyDescent="0.25"/>
  <cols>
    <col min="1" max="1" width="12.42578125" style="5" customWidth="1"/>
    <col min="2" max="2" width="11.140625" style="4" customWidth="1"/>
    <col min="3" max="3" width="24.7109375" style="4" customWidth="1"/>
    <col min="4" max="4" width="53.85546875" style="4" customWidth="1"/>
    <col min="5" max="5" width="25" style="8" customWidth="1"/>
    <col min="6" max="6" width="31.7109375" style="4" customWidth="1"/>
    <col min="7" max="7" width="28.85546875" style="4" customWidth="1"/>
    <col min="8" max="16384" width="9.140625" style="1"/>
  </cols>
  <sheetData>
    <row r="1" spans="1:7" ht="15.75" thickBot="1" x14ac:dyDescent="0.3">
      <c r="A1" s="40" t="s">
        <v>30</v>
      </c>
      <c r="B1" s="41" t="s">
        <v>0</v>
      </c>
      <c r="C1" s="41" t="s">
        <v>575</v>
      </c>
      <c r="D1" s="41" t="s">
        <v>2</v>
      </c>
      <c r="E1" s="41" t="s">
        <v>576</v>
      </c>
      <c r="F1" s="41" t="s">
        <v>276</v>
      </c>
      <c r="G1" s="41" t="s">
        <v>440</v>
      </c>
    </row>
    <row r="2" spans="1:7" ht="49.5" thickTop="1" x14ac:dyDescent="0.25">
      <c r="A2" s="42" t="s">
        <v>65</v>
      </c>
      <c r="B2" s="43" t="s">
        <v>603</v>
      </c>
      <c r="C2" s="43" t="s">
        <v>66</v>
      </c>
      <c r="D2" s="43" t="s">
        <v>67</v>
      </c>
      <c r="E2" s="43"/>
      <c r="F2" s="43"/>
      <c r="G2" s="43"/>
    </row>
    <row r="3" spans="1:7" ht="132.75" x14ac:dyDescent="0.25">
      <c r="A3" s="44" t="s">
        <v>65</v>
      </c>
      <c r="B3" s="45" t="s">
        <v>603</v>
      </c>
      <c r="C3" s="62" t="s">
        <v>286</v>
      </c>
      <c r="D3" s="45" t="s">
        <v>359</v>
      </c>
      <c r="E3" s="62" t="s">
        <v>433</v>
      </c>
      <c r="F3" s="50"/>
      <c r="G3" s="50"/>
    </row>
    <row r="4" spans="1:7" ht="168.75" x14ac:dyDescent="0.25">
      <c r="A4" s="46" t="s">
        <v>65</v>
      </c>
      <c r="B4" s="47" t="s">
        <v>6</v>
      </c>
      <c r="C4" s="61" t="s">
        <v>68</v>
      </c>
      <c r="D4" s="47" t="s">
        <v>360</v>
      </c>
      <c r="E4" s="61" t="s">
        <v>433</v>
      </c>
      <c r="F4" s="51" t="s">
        <v>287</v>
      </c>
      <c r="G4" s="51" t="s">
        <v>288</v>
      </c>
    </row>
    <row r="5" spans="1:7" ht="168.75" x14ac:dyDescent="0.25">
      <c r="A5" s="44" t="s">
        <v>65</v>
      </c>
      <c r="B5" s="45" t="s">
        <v>11</v>
      </c>
      <c r="C5" s="62" t="s">
        <v>69</v>
      </c>
      <c r="D5" s="45" t="s">
        <v>360</v>
      </c>
      <c r="E5" s="62" t="s">
        <v>433</v>
      </c>
      <c r="F5" s="50" t="s">
        <v>287</v>
      </c>
      <c r="G5" s="50" t="s">
        <v>288</v>
      </c>
    </row>
    <row r="6" spans="1:7" ht="168.75" x14ac:dyDescent="0.25">
      <c r="A6" s="46" t="s">
        <v>65</v>
      </c>
      <c r="B6" s="47" t="s">
        <v>70</v>
      </c>
      <c r="C6" s="61" t="s">
        <v>328</v>
      </c>
      <c r="D6" s="47" t="s">
        <v>360</v>
      </c>
      <c r="E6" s="61" t="s">
        <v>433</v>
      </c>
      <c r="F6" s="51" t="s">
        <v>287</v>
      </c>
      <c r="G6" s="51" t="s">
        <v>288</v>
      </c>
    </row>
    <row r="7" spans="1:7" ht="300.75" x14ac:dyDescent="0.25">
      <c r="A7" s="44" t="s">
        <v>65</v>
      </c>
      <c r="B7" s="45" t="s">
        <v>32</v>
      </c>
      <c r="C7" s="62" t="s">
        <v>71</v>
      </c>
      <c r="D7" s="45" t="s">
        <v>361</v>
      </c>
      <c r="E7" s="62"/>
      <c r="F7" s="50"/>
      <c r="G7" s="50"/>
    </row>
    <row r="8" spans="1:7" ht="60.75" x14ac:dyDescent="0.25">
      <c r="A8" s="46" t="s">
        <v>65</v>
      </c>
      <c r="B8" s="47" t="s">
        <v>32</v>
      </c>
      <c r="C8" s="61" t="s">
        <v>289</v>
      </c>
      <c r="D8" s="47" t="s">
        <v>290</v>
      </c>
      <c r="E8" s="61"/>
      <c r="F8" s="51"/>
      <c r="G8" s="51"/>
    </row>
    <row r="9" spans="1:7" ht="84.75" x14ac:dyDescent="0.25">
      <c r="A9" s="44" t="s">
        <v>65</v>
      </c>
      <c r="B9" s="45" t="s">
        <v>6</v>
      </c>
      <c r="C9" s="62" t="s">
        <v>72</v>
      </c>
      <c r="D9" s="45" t="s">
        <v>362</v>
      </c>
      <c r="E9" s="62" t="s">
        <v>73</v>
      </c>
      <c r="F9" s="50"/>
      <c r="G9" s="50"/>
    </row>
    <row r="10" spans="1:7" ht="84.75" x14ac:dyDescent="0.25">
      <c r="A10" s="46" t="s">
        <v>65</v>
      </c>
      <c r="B10" s="47" t="s">
        <v>6</v>
      </c>
      <c r="C10" s="61" t="s">
        <v>452</v>
      </c>
      <c r="D10" s="47" t="s">
        <v>453</v>
      </c>
      <c r="E10" s="61" t="s">
        <v>74</v>
      </c>
      <c r="F10" s="51" t="s">
        <v>291</v>
      </c>
      <c r="G10" s="51" t="s">
        <v>292</v>
      </c>
    </row>
    <row r="11" spans="1:7" ht="132.75" x14ac:dyDescent="0.25">
      <c r="A11" s="44" t="s">
        <v>65</v>
      </c>
      <c r="B11" s="45" t="s">
        <v>11</v>
      </c>
      <c r="C11" s="62" t="s">
        <v>75</v>
      </c>
      <c r="D11" s="45" t="s">
        <v>363</v>
      </c>
      <c r="E11" s="62"/>
      <c r="F11" s="50" t="s">
        <v>449</v>
      </c>
      <c r="G11" s="50" t="s">
        <v>448</v>
      </c>
    </row>
    <row r="12" spans="1:7" ht="108.75" x14ac:dyDescent="0.25">
      <c r="A12" s="46" t="s">
        <v>65</v>
      </c>
      <c r="B12" s="47" t="s">
        <v>11</v>
      </c>
      <c r="C12" s="61" t="s">
        <v>454</v>
      </c>
      <c r="D12" s="47" t="s">
        <v>364</v>
      </c>
      <c r="E12" s="61"/>
      <c r="F12" s="51" t="s">
        <v>449</v>
      </c>
      <c r="G12" s="51" t="s">
        <v>448</v>
      </c>
    </row>
    <row r="13" spans="1:7" ht="192.75" x14ac:dyDescent="0.25">
      <c r="A13" s="44" t="s">
        <v>65</v>
      </c>
      <c r="B13" s="45" t="s">
        <v>603</v>
      </c>
      <c r="C13" s="62" t="s">
        <v>76</v>
      </c>
      <c r="D13" s="45" t="s">
        <v>365</v>
      </c>
      <c r="E13" s="62"/>
      <c r="F13" s="50"/>
      <c r="G13" s="50"/>
    </row>
    <row r="14" spans="1:7" ht="36.75" x14ac:dyDescent="0.25">
      <c r="A14" s="46" t="s">
        <v>65</v>
      </c>
      <c r="B14" s="47" t="s">
        <v>603</v>
      </c>
      <c r="C14" s="61" t="s">
        <v>455</v>
      </c>
      <c r="D14" s="47" t="s">
        <v>456</v>
      </c>
      <c r="E14" s="61"/>
      <c r="F14" s="51"/>
      <c r="G14" s="51"/>
    </row>
    <row r="15" spans="1:7" ht="72.75" x14ac:dyDescent="0.25">
      <c r="A15" s="42" t="s">
        <v>149</v>
      </c>
      <c r="B15" s="43" t="s">
        <v>603</v>
      </c>
      <c r="C15" s="43" t="s">
        <v>150</v>
      </c>
      <c r="D15" s="43" t="s">
        <v>151</v>
      </c>
      <c r="E15" s="43"/>
      <c r="F15" s="43"/>
      <c r="G15" s="43"/>
    </row>
    <row r="16" spans="1:7" ht="72.75" x14ac:dyDescent="0.25">
      <c r="A16" s="46" t="s">
        <v>149</v>
      </c>
      <c r="B16" s="47" t="s">
        <v>6</v>
      </c>
      <c r="C16" s="61" t="s">
        <v>152</v>
      </c>
      <c r="D16" s="47" t="s">
        <v>416</v>
      </c>
      <c r="E16" s="61"/>
      <c r="F16" s="51"/>
      <c r="G16" s="51"/>
    </row>
    <row r="17" spans="1:7" ht="120.75" x14ac:dyDescent="0.25">
      <c r="A17" s="44" t="s">
        <v>149</v>
      </c>
      <c r="B17" s="45" t="s">
        <v>6</v>
      </c>
      <c r="C17" s="62" t="s">
        <v>153</v>
      </c>
      <c r="D17" s="45" t="s">
        <v>417</v>
      </c>
      <c r="E17" s="62"/>
      <c r="F17" s="50"/>
      <c r="G17" s="50"/>
    </row>
    <row r="18" spans="1:7" ht="84.75" x14ac:dyDescent="0.25">
      <c r="A18" s="46" t="s">
        <v>149</v>
      </c>
      <c r="B18" s="47" t="s">
        <v>6</v>
      </c>
      <c r="C18" s="61" t="s">
        <v>154</v>
      </c>
      <c r="D18" s="47" t="s">
        <v>590</v>
      </c>
      <c r="E18" s="61"/>
      <c r="F18" s="51"/>
      <c r="G18" s="51"/>
    </row>
    <row r="19" spans="1:7" ht="96.75" x14ac:dyDescent="0.25">
      <c r="A19" s="44" t="s">
        <v>149</v>
      </c>
      <c r="B19" s="45" t="s">
        <v>6</v>
      </c>
      <c r="C19" s="62" t="s">
        <v>155</v>
      </c>
      <c r="D19" s="45" t="s">
        <v>418</v>
      </c>
      <c r="E19" s="62"/>
      <c r="F19" s="50"/>
      <c r="G19" s="50"/>
    </row>
    <row r="20" spans="1:7" ht="84.75" x14ac:dyDescent="0.25">
      <c r="A20" s="46" t="s">
        <v>149</v>
      </c>
      <c r="B20" s="47" t="s">
        <v>6</v>
      </c>
      <c r="C20" s="61" t="s">
        <v>156</v>
      </c>
      <c r="D20" s="47" t="s">
        <v>419</v>
      </c>
      <c r="E20" s="61" t="s">
        <v>157</v>
      </c>
      <c r="F20" s="51"/>
      <c r="G20" s="51"/>
    </row>
    <row r="21" spans="1:7" ht="96.75" x14ac:dyDescent="0.25">
      <c r="A21" s="44" t="s">
        <v>149</v>
      </c>
      <c r="B21" s="45" t="s">
        <v>6</v>
      </c>
      <c r="C21" s="62" t="s">
        <v>341</v>
      </c>
      <c r="D21" s="45" t="s">
        <v>420</v>
      </c>
      <c r="E21" s="62"/>
      <c r="F21" s="50"/>
      <c r="G21" s="50"/>
    </row>
    <row r="22" spans="1:7" ht="84.75" x14ac:dyDescent="0.25">
      <c r="A22" s="46" t="s">
        <v>149</v>
      </c>
      <c r="B22" s="47" t="s">
        <v>6</v>
      </c>
      <c r="C22" s="61" t="s">
        <v>158</v>
      </c>
      <c r="D22" s="47" t="s">
        <v>421</v>
      </c>
      <c r="E22" s="61"/>
      <c r="F22" s="51"/>
      <c r="G22" s="51"/>
    </row>
    <row r="23" spans="1:7" ht="60.75" x14ac:dyDescent="0.25">
      <c r="A23" s="44" t="s">
        <v>149</v>
      </c>
      <c r="B23" s="45" t="s">
        <v>6</v>
      </c>
      <c r="C23" s="62" t="s">
        <v>457</v>
      </c>
      <c r="D23" s="45" t="s">
        <v>458</v>
      </c>
      <c r="E23" s="62"/>
      <c r="F23" s="50" t="s">
        <v>459</v>
      </c>
      <c r="G23" s="50" t="s">
        <v>460</v>
      </c>
    </row>
    <row r="24" spans="1:7" ht="96.75" x14ac:dyDescent="0.25">
      <c r="A24" s="46" t="s">
        <v>149</v>
      </c>
      <c r="B24" s="47" t="s">
        <v>6</v>
      </c>
      <c r="C24" s="61" t="s">
        <v>159</v>
      </c>
      <c r="D24" s="47" t="s">
        <v>160</v>
      </c>
      <c r="E24" s="61" t="s">
        <v>161</v>
      </c>
      <c r="F24" s="51"/>
      <c r="G24" s="51"/>
    </row>
    <row r="25" spans="1:7" ht="108.75" x14ac:dyDescent="0.25">
      <c r="A25" s="44" t="s">
        <v>149</v>
      </c>
      <c r="B25" s="45" t="s">
        <v>6</v>
      </c>
      <c r="C25" s="62" t="s">
        <v>162</v>
      </c>
      <c r="D25" s="45" t="s">
        <v>422</v>
      </c>
      <c r="E25" s="62" t="s">
        <v>163</v>
      </c>
      <c r="F25" s="50"/>
      <c r="G25" s="50"/>
    </row>
    <row r="26" spans="1:7" ht="72.75" x14ac:dyDescent="0.25">
      <c r="A26" s="46" t="s">
        <v>149</v>
      </c>
      <c r="B26" s="47" t="s">
        <v>6</v>
      </c>
      <c r="C26" s="61" t="s">
        <v>164</v>
      </c>
      <c r="D26" s="47" t="s">
        <v>165</v>
      </c>
      <c r="E26" s="61" t="s">
        <v>438</v>
      </c>
      <c r="F26" s="51"/>
      <c r="G26" s="51"/>
    </row>
    <row r="27" spans="1:7" ht="48.75" x14ac:dyDescent="0.25">
      <c r="A27" s="44" t="s">
        <v>149</v>
      </c>
      <c r="B27" s="45" t="s">
        <v>6</v>
      </c>
      <c r="C27" s="62" t="s">
        <v>166</v>
      </c>
      <c r="D27" s="45" t="s">
        <v>167</v>
      </c>
      <c r="E27" s="62" t="s">
        <v>438</v>
      </c>
      <c r="F27" s="50"/>
      <c r="G27" s="50"/>
    </row>
    <row r="28" spans="1:7" ht="84.75" x14ac:dyDescent="0.25">
      <c r="A28" s="46" t="s">
        <v>149</v>
      </c>
      <c r="B28" s="47" t="s">
        <v>6</v>
      </c>
      <c r="C28" s="61" t="s">
        <v>168</v>
      </c>
      <c r="D28" s="47" t="s">
        <v>169</v>
      </c>
      <c r="E28" s="61"/>
      <c r="F28" s="51"/>
      <c r="G28" s="51"/>
    </row>
    <row r="29" spans="1:7" ht="48.75" x14ac:dyDescent="0.25">
      <c r="A29" s="44" t="s">
        <v>149</v>
      </c>
      <c r="B29" s="45" t="s">
        <v>6</v>
      </c>
      <c r="C29" s="62" t="s">
        <v>170</v>
      </c>
      <c r="D29" s="45" t="s">
        <v>423</v>
      </c>
      <c r="E29" s="62"/>
      <c r="F29" s="50"/>
      <c r="G29" s="50"/>
    </row>
    <row r="30" spans="1:7" ht="36.75" x14ac:dyDescent="0.25">
      <c r="A30" s="46" t="s">
        <v>149</v>
      </c>
      <c r="B30" s="47" t="s">
        <v>6</v>
      </c>
      <c r="C30" s="61" t="s">
        <v>171</v>
      </c>
      <c r="D30" s="47" t="s">
        <v>172</v>
      </c>
      <c r="E30" s="61"/>
      <c r="F30" s="51"/>
      <c r="G30" s="51"/>
    </row>
    <row r="31" spans="1:7" ht="48.75" x14ac:dyDescent="0.25">
      <c r="A31" s="44" t="s">
        <v>149</v>
      </c>
      <c r="B31" s="45" t="s">
        <v>6</v>
      </c>
      <c r="C31" s="62" t="s">
        <v>173</v>
      </c>
      <c r="D31" s="45" t="s">
        <v>591</v>
      </c>
      <c r="E31" s="62"/>
      <c r="F31" s="50"/>
      <c r="G31" s="50"/>
    </row>
    <row r="32" spans="1:7" ht="36.75" x14ac:dyDescent="0.25">
      <c r="A32" s="46" t="s">
        <v>149</v>
      </c>
      <c r="B32" s="47" t="s">
        <v>6</v>
      </c>
      <c r="C32" s="61" t="s">
        <v>174</v>
      </c>
      <c r="D32" s="47" t="s">
        <v>175</v>
      </c>
      <c r="E32" s="61" t="s">
        <v>439</v>
      </c>
      <c r="F32" s="51"/>
      <c r="G32" s="51"/>
    </row>
    <row r="33" spans="1:7" ht="48.75" x14ac:dyDescent="0.25">
      <c r="A33" s="44" t="s">
        <v>149</v>
      </c>
      <c r="B33" s="45" t="s">
        <v>6</v>
      </c>
      <c r="C33" s="62" t="s">
        <v>176</v>
      </c>
      <c r="D33" s="45" t="s">
        <v>592</v>
      </c>
      <c r="E33" s="62"/>
      <c r="F33" s="50"/>
      <c r="G33" s="50"/>
    </row>
    <row r="34" spans="1:7" ht="36.75" x14ac:dyDescent="0.25">
      <c r="A34" s="46" t="s">
        <v>149</v>
      </c>
      <c r="B34" s="47" t="s">
        <v>6</v>
      </c>
      <c r="C34" s="61" t="s">
        <v>593</v>
      </c>
      <c r="D34" s="47" t="s">
        <v>424</v>
      </c>
      <c r="E34" s="61"/>
      <c r="F34" s="51"/>
      <c r="G34" s="51"/>
    </row>
    <row r="35" spans="1:7" ht="72.75" x14ac:dyDescent="0.25">
      <c r="A35" s="42" t="s">
        <v>100</v>
      </c>
      <c r="B35" s="43" t="s">
        <v>603</v>
      </c>
      <c r="C35" s="43" t="s">
        <v>101</v>
      </c>
      <c r="D35" s="43" t="s">
        <v>628</v>
      </c>
      <c r="E35" s="43"/>
      <c r="F35" s="43"/>
      <c r="G35" s="43"/>
    </row>
    <row r="36" spans="1:7" ht="96.75" x14ac:dyDescent="0.25">
      <c r="A36" s="46" t="s">
        <v>100</v>
      </c>
      <c r="B36" s="47" t="s">
        <v>32</v>
      </c>
      <c r="C36" s="61" t="s">
        <v>102</v>
      </c>
      <c r="D36" s="47" t="s">
        <v>382</v>
      </c>
      <c r="E36" s="61"/>
      <c r="F36" s="51"/>
      <c r="G36" s="51"/>
    </row>
    <row r="37" spans="1:7" ht="48.75" x14ac:dyDescent="0.25">
      <c r="A37" s="44" t="s">
        <v>100</v>
      </c>
      <c r="B37" s="45" t="s">
        <v>32</v>
      </c>
      <c r="C37" s="62" t="s">
        <v>103</v>
      </c>
      <c r="D37" s="45" t="s">
        <v>307</v>
      </c>
      <c r="E37" s="62"/>
      <c r="F37" s="50"/>
      <c r="G37" s="50"/>
    </row>
    <row r="38" spans="1:7" ht="60.75" x14ac:dyDescent="0.25">
      <c r="A38" s="46" t="s">
        <v>100</v>
      </c>
      <c r="B38" s="47" t="s">
        <v>32</v>
      </c>
      <c r="C38" s="61" t="s">
        <v>461</v>
      </c>
      <c r="D38" s="47" t="s">
        <v>462</v>
      </c>
      <c r="E38" s="61"/>
      <c r="F38" s="51"/>
      <c r="G38" s="51"/>
    </row>
    <row r="39" spans="1:7" ht="24.75" x14ac:dyDescent="0.25">
      <c r="A39" s="44" t="s">
        <v>100</v>
      </c>
      <c r="B39" s="45" t="s">
        <v>32</v>
      </c>
      <c r="C39" s="62" t="s">
        <v>463</v>
      </c>
      <c r="D39" s="45" t="s">
        <v>464</v>
      </c>
      <c r="E39" s="62"/>
      <c r="F39" s="50"/>
      <c r="G39" s="50"/>
    </row>
    <row r="40" spans="1:7" ht="48.75" x14ac:dyDescent="0.25">
      <c r="A40" s="46" t="s">
        <v>100</v>
      </c>
      <c r="B40" s="47" t="s">
        <v>32</v>
      </c>
      <c r="C40" s="61" t="s">
        <v>465</v>
      </c>
      <c r="D40" s="47" t="s">
        <v>466</v>
      </c>
      <c r="E40" s="61"/>
      <c r="F40" s="51"/>
      <c r="G40" s="51"/>
    </row>
    <row r="41" spans="1:7" ht="24.75" x14ac:dyDescent="0.25">
      <c r="A41" s="44" t="s">
        <v>100</v>
      </c>
      <c r="B41" s="45" t="s">
        <v>32</v>
      </c>
      <c r="C41" s="62" t="s">
        <v>467</v>
      </c>
      <c r="D41" s="45" t="s">
        <v>468</v>
      </c>
      <c r="E41" s="62"/>
      <c r="F41" s="50"/>
      <c r="G41" s="50"/>
    </row>
    <row r="42" spans="1:7" ht="108.75" x14ac:dyDescent="0.25">
      <c r="A42" s="46" t="s">
        <v>100</v>
      </c>
      <c r="B42" s="47" t="s">
        <v>6</v>
      </c>
      <c r="C42" s="61" t="s">
        <v>6</v>
      </c>
      <c r="D42" s="47" t="s">
        <v>383</v>
      </c>
      <c r="E42" s="61"/>
      <c r="F42" s="51"/>
      <c r="G42" s="51"/>
    </row>
    <row r="43" spans="1:7" ht="96.75" x14ac:dyDescent="0.25">
      <c r="A43" s="44" t="s">
        <v>100</v>
      </c>
      <c r="B43" s="45" t="s">
        <v>6</v>
      </c>
      <c r="C43" s="62" t="s">
        <v>104</v>
      </c>
      <c r="D43" s="45" t="s">
        <v>384</v>
      </c>
      <c r="E43" s="62"/>
      <c r="F43" s="50"/>
      <c r="G43" s="50"/>
    </row>
    <row r="44" spans="1:7" ht="108.75" x14ac:dyDescent="0.25">
      <c r="A44" s="46" t="s">
        <v>100</v>
      </c>
      <c r="B44" s="47" t="s">
        <v>6</v>
      </c>
      <c r="C44" s="61" t="e">
        <f t="array" ref="C44">[1]!'!CSC Main!R44C3'</f>
        <v>#REF!</v>
      </c>
      <c r="D44" s="47" t="s">
        <v>470</v>
      </c>
      <c r="E44" s="61"/>
      <c r="F44" s="50" t="s">
        <v>450</v>
      </c>
      <c r="G44" s="50" t="s">
        <v>451</v>
      </c>
    </row>
    <row r="45" spans="1:7" ht="180.75" x14ac:dyDescent="0.25">
      <c r="A45" s="44" t="s">
        <v>100</v>
      </c>
      <c r="B45" s="45" t="s">
        <v>6</v>
      </c>
      <c r="C45" s="62" t="s">
        <v>105</v>
      </c>
      <c r="D45" s="45" t="s">
        <v>385</v>
      </c>
      <c r="E45" s="62"/>
      <c r="F45" s="50" t="s">
        <v>450</v>
      </c>
      <c r="G45" s="50" t="s">
        <v>451</v>
      </c>
    </row>
    <row r="46" spans="1:7" ht="156.75" x14ac:dyDescent="0.25">
      <c r="A46" s="46" t="s">
        <v>100</v>
      </c>
      <c r="B46" s="47" t="s">
        <v>6</v>
      </c>
      <c r="C46" s="61" t="s">
        <v>106</v>
      </c>
      <c r="D46" s="47" t="s">
        <v>386</v>
      </c>
      <c r="E46" s="61"/>
      <c r="F46" s="51"/>
      <c r="G46" s="51"/>
    </row>
    <row r="47" spans="1:7" ht="108.75" x14ac:dyDescent="0.25">
      <c r="A47" s="44" t="s">
        <v>100</v>
      </c>
      <c r="B47" s="45" t="s">
        <v>6</v>
      </c>
      <c r="C47" s="62" t="s">
        <v>107</v>
      </c>
      <c r="D47" s="45" t="s">
        <v>387</v>
      </c>
      <c r="E47" s="62"/>
      <c r="F47" s="50"/>
      <c r="G47" s="50"/>
    </row>
    <row r="48" spans="1:7" ht="144.75" x14ac:dyDescent="0.25">
      <c r="A48" s="46" t="s">
        <v>100</v>
      </c>
      <c r="B48" s="47" t="s">
        <v>6</v>
      </c>
      <c r="C48" s="61" t="s">
        <v>471</v>
      </c>
      <c r="D48" s="47" t="s">
        <v>388</v>
      </c>
      <c r="E48" s="61"/>
      <c r="F48" s="51"/>
      <c r="G48" s="51" t="s">
        <v>308</v>
      </c>
    </row>
    <row r="49" spans="1:7" ht="120.75" x14ac:dyDescent="0.25">
      <c r="A49" s="44" t="s">
        <v>100</v>
      </c>
      <c r="B49" s="45" t="s">
        <v>6</v>
      </c>
      <c r="C49" s="62" t="s">
        <v>472</v>
      </c>
      <c r="D49" s="45" t="s">
        <v>389</v>
      </c>
      <c r="E49" s="62"/>
      <c r="F49" s="50"/>
      <c r="G49" s="50" t="s">
        <v>309</v>
      </c>
    </row>
    <row r="50" spans="1:7" ht="96.75" x14ac:dyDescent="0.25">
      <c r="A50" s="46" t="s">
        <v>100</v>
      </c>
      <c r="B50" s="47" t="s">
        <v>603</v>
      </c>
      <c r="C50" s="61" t="s">
        <v>473</v>
      </c>
      <c r="D50" s="47" t="s">
        <v>474</v>
      </c>
      <c r="E50" s="61"/>
      <c r="F50" s="51"/>
      <c r="G50" s="51"/>
    </row>
    <row r="51" spans="1:7" ht="60.75" x14ac:dyDescent="0.25">
      <c r="A51" s="44" t="s">
        <v>100</v>
      </c>
      <c r="B51" s="45" t="s">
        <v>603</v>
      </c>
      <c r="C51" s="62" t="s">
        <v>475</v>
      </c>
      <c r="D51" s="45" t="s">
        <v>476</v>
      </c>
      <c r="E51" s="62"/>
      <c r="F51" s="50"/>
      <c r="G51" s="50"/>
    </row>
    <row r="52" spans="1:7" ht="120.75" x14ac:dyDescent="0.25">
      <c r="A52" s="46" t="s">
        <v>100</v>
      </c>
      <c r="B52" s="47" t="s">
        <v>603</v>
      </c>
      <c r="C52" s="61" t="s">
        <v>477</v>
      </c>
      <c r="D52" s="47" t="s">
        <v>478</v>
      </c>
      <c r="E52" s="61"/>
      <c r="F52" s="51"/>
      <c r="G52" s="51"/>
    </row>
    <row r="53" spans="1:7" ht="60.75" x14ac:dyDescent="0.25">
      <c r="A53" s="44" t="s">
        <v>100</v>
      </c>
      <c r="B53" s="45" t="s">
        <v>603</v>
      </c>
      <c r="C53" s="62" t="s">
        <v>479</v>
      </c>
      <c r="D53" s="45" t="s">
        <v>480</v>
      </c>
      <c r="E53" s="62"/>
      <c r="F53" s="50"/>
      <c r="G53" s="50"/>
    </row>
    <row r="54" spans="1:7" ht="108.75" x14ac:dyDescent="0.25">
      <c r="A54" s="46" t="s">
        <v>100</v>
      </c>
      <c r="B54" s="47" t="s">
        <v>603</v>
      </c>
      <c r="C54" s="61" t="s">
        <v>481</v>
      </c>
      <c r="D54" s="47" t="s">
        <v>482</v>
      </c>
      <c r="E54" s="61"/>
      <c r="F54" s="51"/>
      <c r="G54" s="51"/>
    </row>
    <row r="55" spans="1:7" ht="108.75" x14ac:dyDescent="0.25">
      <c r="A55" s="44" t="s">
        <v>100</v>
      </c>
      <c r="B55" s="45" t="s">
        <v>603</v>
      </c>
      <c r="C55" s="62" t="s">
        <v>483</v>
      </c>
      <c r="D55" s="45" t="s">
        <v>583</v>
      </c>
      <c r="E55" s="62"/>
      <c r="F55" s="50"/>
      <c r="G55" s="50"/>
    </row>
    <row r="56" spans="1:7" ht="60.75" x14ac:dyDescent="0.25">
      <c r="A56" s="46" t="s">
        <v>100</v>
      </c>
      <c r="B56" s="47" t="s">
        <v>11</v>
      </c>
      <c r="C56" s="61" t="s">
        <v>622</v>
      </c>
      <c r="D56" s="47" t="s">
        <v>484</v>
      </c>
      <c r="E56" s="61"/>
      <c r="F56" s="51"/>
      <c r="G56" s="51"/>
    </row>
    <row r="57" spans="1:7" ht="72.75" x14ac:dyDescent="0.25">
      <c r="A57" s="44" t="s">
        <v>100</v>
      </c>
      <c r="B57" s="45" t="s">
        <v>11</v>
      </c>
      <c r="C57" s="62" t="s">
        <v>485</v>
      </c>
      <c r="D57" s="45" t="s">
        <v>597</v>
      </c>
      <c r="E57" s="62"/>
      <c r="F57" s="50" t="s">
        <v>310</v>
      </c>
      <c r="G57" s="50" t="s">
        <v>311</v>
      </c>
    </row>
    <row r="58" spans="1:7" ht="108.75" x14ac:dyDescent="0.25">
      <c r="A58" s="46" t="s">
        <v>100</v>
      </c>
      <c r="B58" s="47" t="s">
        <v>11</v>
      </c>
      <c r="C58" s="61" t="s">
        <v>486</v>
      </c>
      <c r="D58" s="47" t="s">
        <v>598</v>
      </c>
      <c r="E58" s="61"/>
      <c r="F58" s="51" t="s">
        <v>310</v>
      </c>
      <c r="G58" s="51" t="s">
        <v>311</v>
      </c>
    </row>
    <row r="59" spans="1:7" ht="72.75" x14ac:dyDescent="0.25">
      <c r="A59" s="44" t="s">
        <v>100</v>
      </c>
      <c r="B59" s="45" t="s">
        <v>11</v>
      </c>
      <c r="C59" s="62" t="s">
        <v>487</v>
      </c>
      <c r="D59" s="45" t="s">
        <v>488</v>
      </c>
      <c r="E59" s="62"/>
      <c r="F59" s="50" t="s">
        <v>310</v>
      </c>
      <c r="G59" s="50" t="s">
        <v>311</v>
      </c>
    </row>
    <row r="60" spans="1:7" ht="144.75" x14ac:dyDescent="0.25">
      <c r="A60" s="46" t="s">
        <v>100</v>
      </c>
      <c r="B60" s="47" t="s">
        <v>11</v>
      </c>
      <c r="C60" s="61" t="s">
        <v>489</v>
      </c>
      <c r="D60" s="47" t="s">
        <v>490</v>
      </c>
      <c r="E60" s="61"/>
      <c r="F60" s="51" t="s">
        <v>310</v>
      </c>
      <c r="G60" s="51" t="s">
        <v>311</v>
      </c>
    </row>
    <row r="61" spans="1:7" ht="24.75" x14ac:dyDescent="0.25">
      <c r="A61" s="44" t="s">
        <v>100</v>
      </c>
      <c r="B61" s="45" t="s">
        <v>11</v>
      </c>
      <c r="C61" s="62" t="s">
        <v>337</v>
      </c>
      <c r="D61" s="45" t="s">
        <v>393</v>
      </c>
      <c r="E61" s="62"/>
      <c r="F61" s="50"/>
      <c r="G61" s="50"/>
    </row>
    <row r="62" spans="1:7" ht="372.75" x14ac:dyDescent="0.25">
      <c r="A62" s="46" t="s">
        <v>100</v>
      </c>
      <c r="B62" s="47" t="s">
        <v>604</v>
      </c>
      <c r="C62" s="61" t="s">
        <v>616</v>
      </c>
      <c r="D62" s="47" t="s">
        <v>617</v>
      </c>
      <c r="E62" s="61"/>
      <c r="F62" s="51" t="s">
        <v>312</v>
      </c>
      <c r="G62" s="51" t="s">
        <v>313</v>
      </c>
    </row>
    <row r="63" spans="1:7" ht="144.75" x14ac:dyDescent="0.25">
      <c r="A63" s="44" t="s">
        <v>100</v>
      </c>
      <c r="B63" s="45" t="s">
        <v>604</v>
      </c>
      <c r="C63" s="62" t="s">
        <v>108</v>
      </c>
      <c r="D63" s="45" t="s">
        <v>618</v>
      </c>
      <c r="E63" s="62"/>
      <c r="F63" s="50"/>
      <c r="G63" s="50"/>
    </row>
    <row r="64" spans="1:7" ht="168.75" x14ac:dyDescent="0.25">
      <c r="A64" s="46" t="s">
        <v>100</v>
      </c>
      <c r="B64" s="47" t="s">
        <v>604</v>
      </c>
      <c r="C64" s="61" t="s">
        <v>109</v>
      </c>
      <c r="D64" s="47" t="s">
        <v>619</v>
      </c>
      <c r="E64" s="61"/>
      <c r="F64" s="51"/>
      <c r="G64" s="51"/>
    </row>
    <row r="65" spans="1:7" ht="144.75" x14ac:dyDescent="0.25">
      <c r="A65" s="44" t="s">
        <v>100</v>
      </c>
      <c r="B65" s="45" t="s">
        <v>603</v>
      </c>
      <c r="C65" s="62" t="s">
        <v>447</v>
      </c>
      <c r="D65" s="45" t="s">
        <v>491</v>
      </c>
      <c r="E65" s="62"/>
      <c r="F65" s="50"/>
      <c r="G65" s="50"/>
    </row>
    <row r="66" spans="1:7" ht="132.75" x14ac:dyDescent="0.25">
      <c r="A66" s="46" t="s">
        <v>100</v>
      </c>
      <c r="B66" s="47" t="s">
        <v>603</v>
      </c>
      <c r="C66" s="61" t="s">
        <v>492</v>
      </c>
      <c r="D66" s="47" t="s">
        <v>394</v>
      </c>
      <c r="E66" s="61"/>
      <c r="F66" s="51"/>
      <c r="G66" s="51"/>
    </row>
    <row r="67" spans="1:7" ht="48.75" x14ac:dyDescent="0.25">
      <c r="A67" s="44" t="s">
        <v>100</v>
      </c>
      <c r="B67" s="45" t="s">
        <v>603</v>
      </c>
      <c r="C67" s="62" t="s">
        <v>444</v>
      </c>
      <c r="D67" s="45" t="s">
        <v>493</v>
      </c>
      <c r="E67" s="62"/>
      <c r="F67" s="50"/>
      <c r="G67" s="50"/>
    </row>
    <row r="68" spans="1:7" ht="36.75" x14ac:dyDescent="0.25">
      <c r="A68" s="46" t="s">
        <v>100</v>
      </c>
      <c r="B68" s="47" t="s">
        <v>603</v>
      </c>
      <c r="C68" s="61" t="s">
        <v>445</v>
      </c>
      <c r="D68" s="47" t="s">
        <v>446</v>
      </c>
      <c r="E68" s="61"/>
      <c r="F68" s="51"/>
      <c r="G68" s="51"/>
    </row>
    <row r="69" spans="1:7" ht="72.75" x14ac:dyDescent="0.25">
      <c r="A69" s="44" t="s">
        <v>100</v>
      </c>
      <c r="B69" s="45" t="s">
        <v>37</v>
      </c>
      <c r="C69" s="62" t="s">
        <v>59</v>
      </c>
      <c r="D69" s="45" t="s">
        <v>395</v>
      </c>
      <c r="E69" s="62"/>
      <c r="F69" s="50"/>
      <c r="G69" s="50"/>
    </row>
    <row r="70" spans="1:7" ht="72.75" x14ac:dyDescent="0.25">
      <c r="A70" s="46" t="s">
        <v>100</v>
      </c>
      <c r="B70" s="47" t="s">
        <v>37</v>
      </c>
      <c r="C70" s="61" t="s">
        <v>110</v>
      </c>
      <c r="D70" s="47" t="s">
        <v>395</v>
      </c>
      <c r="E70" s="61"/>
      <c r="F70" s="51"/>
      <c r="G70" s="51"/>
    </row>
    <row r="71" spans="1:7" ht="192.75" x14ac:dyDescent="0.25">
      <c r="A71" s="44" t="s">
        <v>100</v>
      </c>
      <c r="B71" s="45" t="s">
        <v>37</v>
      </c>
      <c r="C71" s="62" t="s">
        <v>111</v>
      </c>
      <c r="D71" s="45" t="s">
        <v>396</v>
      </c>
      <c r="E71" s="62"/>
      <c r="F71" s="50"/>
      <c r="G71" s="50"/>
    </row>
    <row r="72" spans="1:7" ht="108.75" x14ac:dyDescent="0.25">
      <c r="A72" s="46" t="s">
        <v>100</v>
      </c>
      <c r="B72" s="47" t="s">
        <v>37</v>
      </c>
      <c r="C72" s="61" t="s">
        <v>112</v>
      </c>
      <c r="D72" s="47" t="s">
        <v>397</v>
      </c>
      <c r="E72" s="61"/>
      <c r="F72" s="51"/>
      <c r="G72" s="51"/>
    </row>
    <row r="73" spans="1:7" ht="120.75" x14ac:dyDescent="0.25">
      <c r="A73" s="44" t="s">
        <v>100</v>
      </c>
      <c r="B73" s="45" t="s">
        <v>6</v>
      </c>
      <c r="C73" s="62" t="s">
        <v>334</v>
      </c>
      <c r="D73" s="45" t="s">
        <v>390</v>
      </c>
      <c r="E73" s="62"/>
      <c r="F73" s="50"/>
      <c r="G73" s="50"/>
    </row>
    <row r="74" spans="1:7" ht="144.75" x14ac:dyDescent="0.25">
      <c r="A74" s="46" t="s">
        <v>100</v>
      </c>
      <c r="B74" s="47" t="s">
        <v>6</v>
      </c>
      <c r="C74" s="61" t="s">
        <v>335</v>
      </c>
      <c r="D74" s="47" t="s">
        <v>391</v>
      </c>
      <c r="E74" s="61"/>
      <c r="F74" s="51"/>
      <c r="G74" s="51"/>
    </row>
    <row r="75" spans="1:7" ht="132.75" x14ac:dyDescent="0.25">
      <c r="A75" s="44" t="s">
        <v>100</v>
      </c>
      <c r="B75" s="45" t="s">
        <v>6</v>
      </c>
      <c r="C75" s="62" t="s">
        <v>336</v>
      </c>
      <c r="D75" s="45" t="s">
        <v>392</v>
      </c>
      <c r="E75" s="62"/>
      <c r="F75" s="50"/>
      <c r="G75" s="50"/>
    </row>
    <row r="76" spans="1:7" ht="84.75" x14ac:dyDescent="0.25">
      <c r="A76" s="46" t="s">
        <v>100</v>
      </c>
      <c r="B76" s="47" t="s">
        <v>603</v>
      </c>
      <c r="C76" s="61" t="s">
        <v>494</v>
      </c>
      <c r="D76" s="47" t="s">
        <v>495</v>
      </c>
      <c r="E76" s="61"/>
      <c r="F76" s="51"/>
      <c r="G76" s="51"/>
    </row>
    <row r="77" spans="1:7" ht="48.75" x14ac:dyDescent="0.25">
      <c r="A77" s="42" t="s">
        <v>257</v>
      </c>
      <c r="B77" s="43" t="s">
        <v>258</v>
      </c>
      <c r="C77" s="43" t="s">
        <v>259</v>
      </c>
      <c r="D77" s="43" t="s">
        <v>600</v>
      </c>
      <c r="E77" s="43"/>
      <c r="F77" s="43"/>
      <c r="G77" s="43"/>
    </row>
    <row r="78" spans="1:7" ht="108.75" x14ac:dyDescent="0.25">
      <c r="A78" s="46" t="s">
        <v>257</v>
      </c>
      <c r="B78" s="47" t="s">
        <v>258</v>
      </c>
      <c r="C78" s="61" t="s">
        <v>496</v>
      </c>
      <c r="D78" s="47" t="s">
        <v>497</v>
      </c>
      <c r="E78" s="61"/>
      <c r="F78" s="51"/>
      <c r="G78" s="51"/>
    </row>
    <row r="79" spans="1:7" ht="48.75" x14ac:dyDescent="0.25">
      <c r="A79" s="44" t="s">
        <v>257</v>
      </c>
      <c r="B79" s="45" t="s">
        <v>258</v>
      </c>
      <c r="C79" s="62" t="s">
        <v>498</v>
      </c>
      <c r="D79" s="45" t="s">
        <v>594</v>
      </c>
      <c r="E79" s="62"/>
      <c r="F79" s="50"/>
      <c r="G79" s="50"/>
    </row>
    <row r="80" spans="1:7" ht="24.75" x14ac:dyDescent="0.25">
      <c r="A80" s="46" t="s">
        <v>257</v>
      </c>
      <c r="B80" s="47" t="s">
        <v>258</v>
      </c>
      <c r="C80" s="61" t="s">
        <v>260</v>
      </c>
      <c r="D80" s="47" t="s">
        <v>261</v>
      </c>
      <c r="E80" s="61"/>
      <c r="F80" s="51"/>
      <c r="G80" s="51"/>
    </row>
    <row r="81" spans="1:7" ht="84.75" x14ac:dyDescent="0.25">
      <c r="A81" s="44" t="s">
        <v>257</v>
      </c>
      <c r="B81" s="45" t="s">
        <v>258</v>
      </c>
      <c r="C81" s="62" t="s">
        <v>262</v>
      </c>
      <c r="D81" s="45" t="s">
        <v>263</v>
      </c>
      <c r="E81" s="62"/>
      <c r="F81" s="50"/>
      <c r="G81" s="50"/>
    </row>
    <row r="82" spans="1:7" ht="60.75" x14ac:dyDescent="0.25">
      <c r="A82" s="46" t="s">
        <v>257</v>
      </c>
      <c r="B82" s="47" t="s">
        <v>258</v>
      </c>
      <c r="C82" s="61" t="s">
        <v>264</v>
      </c>
      <c r="D82" s="47" t="s">
        <v>629</v>
      </c>
      <c r="E82" s="61" t="s">
        <v>265</v>
      </c>
      <c r="F82" s="51"/>
      <c r="G82" s="51" t="s">
        <v>620</v>
      </c>
    </row>
    <row r="83" spans="1:7" ht="132.75" x14ac:dyDescent="0.25">
      <c r="A83" s="44" t="s">
        <v>257</v>
      </c>
      <c r="B83" s="45" t="s">
        <v>258</v>
      </c>
      <c r="C83" s="62" t="s">
        <v>499</v>
      </c>
      <c r="D83" s="45" t="s">
        <v>500</v>
      </c>
      <c r="E83" s="62"/>
      <c r="F83" s="50"/>
      <c r="G83" s="50"/>
    </row>
    <row r="84" spans="1:7" ht="48.75" x14ac:dyDescent="0.25">
      <c r="A84" s="46" t="s">
        <v>257</v>
      </c>
      <c r="B84" s="47" t="s">
        <v>258</v>
      </c>
      <c r="C84" s="61" t="s">
        <v>501</v>
      </c>
      <c r="D84" s="47" t="s">
        <v>502</v>
      </c>
      <c r="E84" s="61"/>
      <c r="F84" s="51"/>
      <c r="G84" s="51"/>
    </row>
    <row r="85" spans="1:7" ht="120.75" x14ac:dyDescent="0.25">
      <c r="A85" s="44" t="s">
        <v>257</v>
      </c>
      <c r="B85" s="45" t="s">
        <v>258</v>
      </c>
      <c r="C85" s="62" t="s">
        <v>503</v>
      </c>
      <c r="D85" s="45" t="s">
        <v>504</v>
      </c>
      <c r="E85" s="62"/>
      <c r="F85" s="50"/>
      <c r="G85" s="50"/>
    </row>
    <row r="86" spans="1:7" x14ac:dyDescent="0.25">
      <c r="A86" s="46" t="s">
        <v>257</v>
      </c>
      <c r="B86" s="47" t="s">
        <v>258</v>
      </c>
      <c r="C86" s="61" t="s">
        <v>266</v>
      </c>
      <c r="D86" s="47"/>
      <c r="E86" s="61"/>
      <c r="F86" s="51"/>
      <c r="G86" s="51"/>
    </row>
    <row r="87" spans="1:7" ht="48.75" x14ac:dyDescent="0.25">
      <c r="A87" s="44" t="s">
        <v>257</v>
      </c>
      <c r="B87" s="45" t="s">
        <v>258</v>
      </c>
      <c r="C87" s="62" t="s">
        <v>267</v>
      </c>
      <c r="D87" s="45" t="s">
        <v>505</v>
      </c>
      <c r="E87" s="62" t="s">
        <v>268</v>
      </c>
      <c r="F87" s="50"/>
      <c r="G87" s="50" t="s">
        <v>621</v>
      </c>
    </row>
    <row r="88" spans="1:7" ht="60.75" x14ac:dyDescent="0.25">
      <c r="A88" s="46" t="s">
        <v>257</v>
      </c>
      <c r="B88" s="47" t="s">
        <v>258</v>
      </c>
      <c r="C88" s="61" t="s">
        <v>264</v>
      </c>
      <c r="D88" s="47" t="s">
        <v>629</v>
      </c>
      <c r="E88" s="61" t="s">
        <v>265</v>
      </c>
      <c r="F88" s="51"/>
      <c r="G88" s="51" t="s">
        <v>620</v>
      </c>
    </row>
    <row r="89" spans="1:7" x14ac:dyDescent="0.25">
      <c r="A89" s="44" t="s">
        <v>257</v>
      </c>
      <c r="B89" s="45" t="s">
        <v>258</v>
      </c>
      <c r="C89" s="62" t="s">
        <v>269</v>
      </c>
      <c r="D89" s="45"/>
      <c r="E89" s="62"/>
      <c r="F89" s="50"/>
      <c r="G89" s="50"/>
    </row>
    <row r="90" spans="1:7" ht="48.75" x14ac:dyDescent="0.25">
      <c r="A90" s="46" t="s">
        <v>257</v>
      </c>
      <c r="B90" s="47" t="s">
        <v>258</v>
      </c>
      <c r="C90" s="61" t="s">
        <v>506</v>
      </c>
      <c r="D90" s="47" t="s">
        <v>577</v>
      </c>
      <c r="E90" s="61"/>
      <c r="F90" s="51"/>
      <c r="G90" s="51"/>
    </row>
    <row r="91" spans="1:7" ht="108.75" x14ac:dyDescent="0.25">
      <c r="A91" s="44" t="s">
        <v>257</v>
      </c>
      <c r="B91" s="45" t="s">
        <v>258</v>
      </c>
      <c r="C91" s="62" t="s">
        <v>578</v>
      </c>
      <c r="D91" s="45" t="s">
        <v>579</v>
      </c>
      <c r="E91" s="62"/>
      <c r="F91" s="50"/>
      <c r="G91" s="50"/>
    </row>
    <row r="92" spans="1:7" ht="132.75" x14ac:dyDescent="0.25">
      <c r="A92" s="46" t="s">
        <v>257</v>
      </c>
      <c r="B92" s="47" t="s">
        <v>258</v>
      </c>
      <c r="C92" s="61" t="s">
        <v>580</v>
      </c>
      <c r="D92" s="47" t="s">
        <v>581</v>
      </c>
      <c r="E92" s="61"/>
      <c r="F92" s="51"/>
      <c r="G92" s="51"/>
    </row>
    <row r="93" spans="1:7" ht="36.75" x14ac:dyDescent="0.25">
      <c r="A93" s="44" t="s">
        <v>257</v>
      </c>
      <c r="B93" s="45" t="s">
        <v>258</v>
      </c>
      <c r="C93" s="62" t="s">
        <v>270</v>
      </c>
      <c r="D93" s="45" t="s">
        <v>271</v>
      </c>
      <c r="E93" s="62" t="s">
        <v>272</v>
      </c>
      <c r="F93" s="50"/>
      <c r="G93" s="50"/>
    </row>
    <row r="94" spans="1:7" ht="36.75" x14ac:dyDescent="0.25">
      <c r="A94" s="46" t="s">
        <v>257</v>
      </c>
      <c r="B94" s="47" t="s">
        <v>258</v>
      </c>
      <c r="C94" s="61" t="s">
        <v>273</v>
      </c>
      <c r="D94" s="47" t="s">
        <v>630</v>
      </c>
      <c r="E94" s="61" t="s">
        <v>58</v>
      </c>
      <c r="F94" s="51"/>
      <c r="G94" s="51"/>
    </row>
    <row r="95" spans="1:7" ht="48.75" x14ac:dyDescent="0.25">
      <c r="A95" s="44" t="s">
        <v>257</v>
      </c>
      <c r="B95" s="45" t="s">
        <v>258</v>
      </c>
      <c r="C95" s="62" t="s">
        <v>274</v>
      </c>
      <c r="D95" s="45" t="s">
        <v>505</v>
      </c>
      <c r="E95" s="62" t="s">
        <v>268</v>
      </c>
      <c r="F95" s="50"/>
      <c r="G95" s="50" t="s">
        <v>621</v>
      </c>
    </row>
    <row r="96" spans="1:7" x14ac:dyDescent="0.25">
      <c r="A96" s="46" t="s">
        <v>257</v>
      </c>
      <c r="B96" s="47" t="s">
        <v>258</v>
      </c>
      <c r="C96" s="61" t="s">
        <v>443</v>
      </c>
      <c r="D96" s="47"/>
      <c r="E96" s="61"/>
      <c r="F96" s="51"/>
      <c r="G96" s="51"/>
    </row>
    <row r="97" spans="1:7" ht="24.75" x14ac:dyDescent="0.25">
      <c r="A97" s="44" t="s">
        <v>257</v>
      </c>
      <c r="B97" s="45" t="s">
        <v>258</v>
      </c>
      <c r="C97" s="62" t="s">
        <v>507</v>
      </c>
      <c r="D97" s="45" t="s">
        <v>508</v>
      </c>
      <c r="E97" s="62"/>
      <c r="F97" s="50"/>
      <c r="G97" s="50"/>
    </row>
    <row r="98" spans="1:7" ht="36.75" x14ac:dyDescent="0.25">
      <c r="A98" s="46" t="s">
        <v>257</v>
      </c>
      <c r="B98" s="47" t="s">
        <v>258</v>
      </c>
      <c r="C98" s="61" t="s">
        <v>509</v>
      </c>
      <c r="D98" s="47" t="s">
        <v>510</v>
      </c>
      <c r="E98" s="61"/>
      <c r="F98" s="51"/>
      <c r="G98" s="51"/>
    </row>
    <row r="99" spans="1:7" ht="24.75" x14ac:dyDescent="0.25">
      <c r="A99" s="44" t="s">
        <v>257</v>
      </c>
      <c r="B99" s="45" t="s">
        <v>258</v>
      </c>
      <c r="C99" s="62" t="s">
        <v>511</v>
      </c>
      <c r="D99" s="45" t="s">
        <v>508</v>
      </c>
      <c r="E99" s="62"/>
      <c r="F99" s="50"/>
      <c r="G99" s="50"/>
    </row>
    <row r="100" spans="1:7" ht="24.75" x14ac:dyDescent="0.25">
      <c r="A100" s="46" t="s">
        <v>257</v>
      </c>
      <c r="B100" s="47" t="s">
        <v>258</v>
      </c>
      <c r="C100" s="61" t="s">
        <v>512</v>
      </c>
      <c r="D100" s="47" t="s">
        <v>508</v>
      </c>
      <c r="E100" s="61"/>
      <c r="F100" s="51"/>
      <c r="G100" s="51"/>
    </row>
    <row r="101" spans="1:7" ht="24.75" x14ac:dyDescent="0.25">
      <c r="A101" s="44" t="s">
        <v>257</v>
      </c>
      <c r="B101" s="45" t="s">
        <v>258</v>
      </c>
      <c r="C101" s="62" t="s">
        <v>513</v>
      </c>
      <c r="D101" s="45" t="s">
        <v>508</v>
      </c>
      <c r="E101" s="62"/>
      <c r="F101" s="50"/>
      <c r="G101" s="50"/>
    </row>
    <row r="102" spans="1:7" ht="24.75" x14ac:dyDescent="0.25">
      <c r="A102" s="46" t="s">
        <v>257</v>
      </c>
      <c r="B102" s="47" t="s">
        <v>258</v>
      </c>
      <c r="C102" s="61" t="s">
        <v>514</v>
      </c>
      <c r="D102" s="47" t="s">
        <v>508</v>
      </c>
      <c r="E102" s="61"/>
      <c r="F102" s="51"/>
      <c r="G102" s="51"/>
    </row>
    <row r="103" spans="1:7" ht="24.75" x14ac:dyDescent="0.25">
      <c r="A103" s="44" t="s">
        <v>257</v>
      </c>
      <c r="B103" s="45" t="s">
        <v>258</v>
      </c>
      <c r="C103" s="62" t="s">
        <v>515</v>
      </c>
      <c r="D103" s="45" t="s">
        <v>508</v>
      </c>
      <c r="E103" s="62"/>
      <c r="F103" s="50"/>
      <c r="G103" s="50"/>
    </row>
    <row r="104" spans="1:7" ht="24.75" x14ac:dyDescent="0.25">
      <c r="A104" s="46" t="s">
        <v>257</v>
      </c>
      <c r="B104" s="47" t="s">
        <v>258</v>
      </c>
      <c r="C104" s="61" t="s">
        <v>516</v>
      </c>
      <c r="D104" s="47" t="s">
        <v>508</v>
      </c>
      <c r="E104" s="61"/>
      <c r="F104" s="51"/>
      <c r="G104" s="51"/>
    </row>
    <row r="105" spans="1:7" ht="36.75" x14ac:dyDescent="0.25">
      <c r="A105" s="44" t="s">
        <v>257</v>
      </c>
      <c r="B105" s="45" t="s">
        <v>258</v>
      </c>
      <c r="C105" s="62" t="s">
        <v>517</v>
      </c>
      <c r="D105" s="45" t="s">
        <v>518</v>
      </c>
      <c r="E105" s="62"/>
      <c r="F105" s="50"/>
      <c r="G105" s="50"/>
    </row>
    <row r="106" spans="1:7" ht="36.75" x14ac:dyDescent="0.25">
      <c r="A106" s="46" t="s">
        <v>257</v>
      </c>
      <c r="B106" s="47" t="s">
        <v>258</v>
      </c>
      <c r="C106" s="61" t="s">
        <v>519</v>
      </c>
      <c r="D106" s="47" t="s">
        <v>520</v>
      </c>
      <c r="E106" s="61"/>
      <c r="F106" s="51"/>
      <c r="G106" s="51"/>
    </row>
    <row r="107" spans="1:7" ht="24.75" x14ac:dyDescent="0.25">
      <c r="A107" s="44" t="s">
        <v>257</v>
      </c>
      <c r="B107" s="45" t="s">
        <v>258</v>
      </c>
      <c r="C107" s="62" t="s">
        <v>521</v>
      </c>
      <c r="D107" s="45" t="s">
        <v>522</v>
      </c>
      <c r="E107" s="62"/>
      <c r="F107" s="50"/>
      <c r="G107" s="50"/>
    </row>
    <row r="108" spans="1:7" ht="24.75" x14ac:dyDescent="0.25">
      <c r="A108" s="46" t="s">
        <v>257</v>
      </c>
      <c r="B108" s="47" t="s">
        <v>258</v>
      </c>
      <c r="C108" s="61" t="s">
        <v>523</v>
      </c>
      <c r="D108" s="47" t="s">
        <v>524</v>
      </c>
      <c r="E108" s="61"/>
      <c r="F108" s="51"/>
      <c r="G108" s="51"/>
    </row>
    <row r="109" spans="1:7" ht="60.75" x14ac:dyDescent="0.25">
      <c r="A109" s="44" t="s">
        <v>257</v>
      </c>
      <c r="B109" s="45" t="s">
        <v>258</v>
      </c>
      <c r="C109" s="62" t="s">
        <v>525</v>
      </c>
      <c r="D109" s="45" t="s">
        <v>526</v>
      </c>
      <c r="E109" s="62"/>
      <c r="F109" s="50"/>
      <c r="G109" s="50"/>
    </row>
    <row r="110" spans="1:7" ht="84.75" x14ac:dyDescent="0.25">
      <c r="A110" s="42" t="s">
        <v>197</v>
      </c>
      <c r="B110" s="43" t="s">
        <v>603</v>
      </c>
      <c r="C110" s="43" t="s">
        <v>13</v>
      </c>
      <c r="D110" s="43" t="s">
        <v>14</v>
      </c>
      <c r="E110" s="43"/>
      <c r="F110" s="43"/>
      <c r="G110" s="43"/>
    </row>
    <row r="111" spans="1:7" ht="36.75" x14ac:dyDescent="0.25">
      <c r="A111" s="44" t="s">
        <v>197</v>
      </c>
      <c r="B111" s="45" t="s">
        <v>603</v>
      </c>
      <c r="C111" s="111" t="s">
        <v>198</v>
      </c>
      <c r="D111" s="45" t="s">
        <v>199</v>
      </c>
      <c r="E111" s="62"/>
      <c r="F111" s="50"/>
      <c r="G111" s="50"/>
    </row>
    <row r="112" spans="1:7" ht="48.75" x14ac:dyDescent="0.25">
      <c r="A112" s="46" t="s">
        <v>197</v>
      </c>
      <c r="B112" s="47" t="s">
        <v>603</v>
      </c>
      <c r="C112" s="61" t="s">
        <v>15</v>
      </c>
      <c r="D112" s="47" t="s">
        <v>16</v>
      </c>
      <c r="E112" s="61"/>
      <c r="F112" s="51"/>
      <c r="G112" s="51"/>
    </row>
    <row r="113" spans="1:7" ht="72.75" x14ac:dyDescent="0.25">
      <c r="A113" s="44" t="s">
        <v>197</v>
      </c>
      <c r="B113" s="45" t="s">
        <v>603</v>
      </c>
      <c r="C113" s="62" t="s">
        <v>200</v>
      </c>
      <c r="D113" s="45" t="s">
        <v>201</v>
      </c>
      <c r="E113" s="62"/>
      <c r="F113" s="50"/>
      <c r="G113" s="50"/>
    </row>
    <row r="114" spans="1:7" ht="60.75" x14ac:dyDescent="0.25">
      <c r="A114" s="46" t="s">
        <v>197</v>
      </c>
      <c r="B114" s="47" t="s">
        <v>603</v>
      </c>
      <c r="C114" s="61" t="s">
        <v>202</v>
      </c>
      <c r="D114" s="47" t="s">
        <v>203</v>
      </c>
      <c r="E114" s="61"/>
      <c r="F114" s="51"/>
      <c r="G114" s="51"/>
    </row>
    <row r="115" spans="1:7" ht="36.75" x14ac:dyDescent="0.25">
      <c r="A115" s="44" t="s">
        <v>197</v>
      </c>
      <c r="B115" s="45" t="s">
        <v>603</v>
      </c>
      <c r="C115" s="62" t="s">
        <v>204</v>
      </c>
      <c r="D115" s="45" t="s">
        <v>205</v>
      </c>
      <c r="E115" s="62"/>
      <c r="F115" s="50"/>
      <c r="G115" s="50"/>
    </row>
    <row r="116" spans="1:7" ht="36.75" x14ac:dyDescent="0.25">
      <c r="A116" s="46" t="s">
        <v>197</v>
      </c>
      <c r="B116" s="47" t="s">
        <v>603</v>
      </c>
      <c r="C116" s="61" t="s">
        <v>206</v>
      </c>
      <c r="D116" s="47" t="s">
        <v>207</v>
      </c>
      <c r="E116" s="61"/>
      <c r="F116" s="51"/>
      <c r="G116" s="51"/>
    </row>
    <row r="117" spans="1:7" ht="48.75" x14ac:dyDescent="0.25">
      <c r="A117" s="44" t="s">
        <v>197</v>
      </c>
      <c r="B117" s="45" t="s">
        <v>603</v>
      </c>
      <c r="C117" s="62" t="s">
        <v>527</v>
      </c>
      <c r="D117" s="45" t="s">
        <v>528</v>
      </c>
      <c r="E117" s="62"/>
      <c r="F117" s="50"/>
      <c r="G117" s="50"/>
    </row>
    <row r="118" spans="1:7" ht="60.75" x14ac:dyDescent="0.25">
      <c r="A118" s="46" t="s">
        <v>197</v>
      </c>
      <c r="B118" s="47" t="s">
        <v>603</v>
      </c>
      <c r="C118" s="61" t="s">
        <v>529</v>
      </c>
      <c r="D118" s="47" t="s">
        <v>208</v>
      </c>
      <c r="E118" s="61"/>
      <c r="F118" s="51"/>
      <c r="G118" s="51"/>
    </row>
    <row r="119" spans="1:7" ht="24.75" x14ac:dyDescent="0.25">
      <c r="A119" s="44" t="s">
        <v>197</v>
      </c>
      <c r="B119" s="45" t="s">
        <v>603</v>
      </c>
      <c r="C119" s="118" t="s">
        <v>209</v>
      </c>
      <c r="D119" s="45" t="s">
        <v>210</v>
      </c>
      <c r="E119" s="62"/>
      <c r="F119" s="50"/>
      <c r="G119" s="50"/>
    </row>
    <row r="120" spans="1:7" ht="48.75" x14ac:dyDescent="0.25">
      <c r="A120" s="46" t="s">
        <v>197</v>
      </c>
      <c r="B120" s="47" t="s">
        <v>603</v>
      </c>
      <c r="C120" s="115" t="s">
        <v>211</v>
      </c>
      <c r="D120" s="47" t="s">
        <v>212</v>
      </c>
      <c r="E120" s="61"/>
      <c r="F120" s="51"/>
      <c r="G120" s="51"/>
    </row>
    <row r="121" spans="1:7" ht="48.75" x14ac:dyDescent="0.25">
      <c r="A121" s="44" t="s">
        <v>197</v>
      </c>
      <c r="B121" s="45" t="s">
        <v>603</v>
      </c>
      <c r="C121" s="118" t="s">
        <v>213</v>
      </c>
      <c r="D121" s="45" t="s">
        <v>214</v>
      </c>
      <c r="E121" s="62"/>
      <c r="F121" s="50"/>
      <c r="G121" s="50"/>
    </row>
    <row r="122" spans="1:7" ht="48.75" x14ac:dyDescent="0.25">
      <c r="A122" s="46" t="s">
        <v>197</v>
      </c>
      <c r="B122" s="47" t="s">
        <v>603</v>
      </c>
      <c r="C122" s="115" t="s">
        <v>215</v>
      </c>
      <c r="D122" s="47" t="s">
        <v>216</v>
      </c>
      <c r="E122" s="61"/>
      <c r="F122" s="51"/>
      <c r="G122" s="51"/>
    </row>
    <row r="123" spans="1:7" ht="24.75" x14ac:dyDescent="0.25">
      <c r="A123" s="44" t="s">
        <v>197</v>
      </c>
      <c r="B123" s="45" t="s">
        <v>603</v>
      </c>
      <c r="C123" s="118" t="s">
        <v>217</v>
      </c>
      <c r="D123" s="45" t="s">
        <v>218</v>
      </c>
      <c r="E123" s="62"/>
      <c r="F123" s="50"/>
      <c r="G123" s="50"/>
    </row>
    <row r="124" spans="1:7" ht="72.75" x14ac:dyDescent="0.25">
      <c r="A124" s="46" t="s">
        <v>197</v>
      </c>
      <c r="B124" s="47" t="s">
        <v>603</v>
      </c>
      <c r="C124" s="61" t="s">
        <v>219</v>
      </c>
      <c r="D124" s="47" t="s">
        <v>220</v>
      </c>
      <c r="E124" s="61"/>
      <c r="F124" s="51"/>
      <c r="G124" s="51"/>
    </row>
    <row r="125" spans="1:7" ht="60.75" x14ac:dyDescent="0.25">
      <c r="A125" s="42" t="s">
        <v>221</v>
      </c>
      <c r="B125" s="43" t="s">
        <v>603</v>
      </c>
      <c r="C125" s="43" t="s">
        <v>222</v>
      </c>
      <c r="D125" s="43" t="s">
        <v>223</v>
      </c>
      <c r="E125" s="43"/>
      <c r="F125" s="43"/>
      <c r="G125" s="43"/>
    </row>
    <row r="126" spans="1:7" ht="48.75" x14ac:dyDescent="0.25">
      <c r="A126" s="46" t="s">
        <v>221</v>
      </c>
      <c r="B126" s="47" t="s">
        <v>11</v>
      </c>
      <c r="C126" s="61" t="s">
        <v>11</v>
      </c>
      <c r="D126" s="47" t="s">
        <v>225</v>
      </c>
      <c r="E126" s="61" t="s">
        <v>224</v>
      </c>
      <c r="F126" s="51"/>
      <c r="G126" s="51"/>
    </row>
    <row r="127" spans="1:7" ht="60.75" x14ac:dyDescent="0.25">
      <c r="A127" s="44" t="s">
        <v>221</v>
      </c>
      <c r="B127" s="45" t="s">
        <v>11</v>
      </c>
      <c r="C127" s="62" t="s">
        <v>226</v>
      </c>
      <c r="D127" s="45" t="s">
        <v>227</v>
      </c>
      <c r="E127" s="62" t="s">
        <v>224</v>
      </c>
      <c r="F127" s="50"/>
      <c r="G127" s="50"/>
    </row>
    <row r="128" spans="1:7" ht="48.75" x14ac:dyDescent="0.25">
      <c r="A128" s="46" t="s">
        <v>221</v>
      </c>
      <c r="B128" s="47" t="s">
        <v>11</v>
      </c>
      <c r="C128" s="61" t="s">
        <v>228</v>
      </c>
      <c r="D128" s="47" t="s">
        <v>229</v>
      </c>
      <c r="E128" s="61"/>
      <c r="F128" s="51"/>
      <c r="G128" s="51"/>
    </row>
    <row r="129" spans="1:7" ht="48.75" x14ac:dyDescent="0.25">
      <c r="A129" s="44" t="s">
        <v>221</v>
      </c>
      <c r="B129" s="45" t="s">
        <v>6</v>
      </c>
      <c r="C129" s="62" t="s">
        <v>6</v>
      </c>
      <c r="D129" s="45" t="s">
        <v>230</v>
      </c>
      <c r="E129" s="62" t="s">
        <v>224</v>
      </c>
      <c r="F129" s="50"/>
      <c r="G129" s="50"/>
    </row>
    <row r="130" spans="1:7" ht="72.75" x14ac:dyDescent="0.25">
      <c r="A130" s="46" t="s">
        <v>221</v>
      </c>
      <c r="B130" s="47" t="s">
        <v>6</v>
      </c>
      <c r="C130" s="61" t="s">
        <v>231</v>
      </c>
      <c r="D130" s="47" t="s">
        <v>232</v>
      </c>
      <c r="E130" s="61" t="s">
        <v>224</v>
      </c>
      <c r="F130" s="51"/>
      <c r="G130" s="51" t="s">
        <v>315</v>
      </c>
    </row>
    <row r="131" spans="1:7" ht="60.75" x14ac:dyDescent="0.25">
      <c r="A131" s="42" t="s">
        <v>128</v>
      </c>
      <c r="B131" s="43" t="s">
        <v>603</v>
      </c>
      <c r="C131" s="43" t="s">
        <v>129</v>
      </c>
      <c r="D131" s="43" t="s">
        <v>130</v>
      </c>
      <c r="E131" s="43"/>
      <c r="F131" s="43"/>
      <c r="G131" s="43"/>
    </row>
    <row r="132" spans="1:7" ht="60.75" x14ac:dyDescent="0.25">
      <c r="A132" s="46" t="s">
        <v>128</v>
      </c>
      <c r="B132" s="47" t="s">
        <v>6</v>
      </c>
      <c r="C132" s="61" t="s">
        <v>131</v>
      </c>
      <c r="D132" s="47" t="s">
        <v>405</v>
      </c>
      <c r="E132" s="61" t="s">
        <v>132</v>
      </c>
      <c r="F132" s="51"/>
      <c r="G132" s="51"/>
    </row>
    <row r="133" spans="1:7" ht="156.75" x14ac:dyDescent="0.25">
      <c r="A133" s="44" t="s">
        <v>128</v>
      </c>
      <c r="B133" s="45" t="s">
        <v>6</v>
      </c>
      <c r="C133" s="62" t="s">
        <v>133</v>
      </c>
      <c r="D133" s="45" t="s">
        <v>406</v>
      </c>
      <c r="E133" s="62" t="s">
        <v>132</v>
      </c>
      <c r="F133" s="50"/>
      <c r="G133" s="50"/>
    </row>
    <row r="134" spans="1:7" ht="132.75" x14ac:dyDescent="0.25">
      <c r="A134" s="46" t="s">
        <v>128</v>
      </c>
      <c r="B134" s="47" t="s">
        <v>6</v>
      </c>
      <c r="C134" s="61" t="s">
        <v>134</v>
      </c>
      <c r="D134" s="47" t="s">
        <v>407</v>
      </c>
      <c r="E134" s="61" t="s">
        <v>132</v>
      </c>
      <c r="F134" s="51"/>
      <c r="G134" s="51"/>
    </row>
    <row r="135" spans="1:7" ht="84.75" x14ac:dyDescent="0.25">
      <c r="A135" s="44" t="s">
        <v>128</v>
      </c>
      <c r="B135" s="45" t="s">
        <v>6</v>
      </c>
      <c r="C135" s="62" t="s">
        <v>135</v>
      </c>
      <c r="D135" s="45" t="s">
        <v>408</v>
      </c>
      <c r="E135" s="62" t="s">
        <v>132</v>
      </c>
      <c r="F135" s="50"/>
      <c r="G135" s="50"/>
    </row>
    <row r="136" spans="1:7" ht="60.75" x14ac:dyDescent="0.25">
      <c r="A136" s="46" t="s">
        <v>128</v>
      </c>
      <c r="B136" s="47" t="s">
        <v>6</v>
      </c>
      <c r="C136" s="61" t="s">
        <v>136</v>
      </c>
      <c r="D136" s="47" t="s">
        <v>137</v>
      </c>
      <c r="E136" s="61" t="s">
        <v>132</v>
      </c>
      <c r="F136" s="51"/>
      <c r="G136" s="51"/>
    </row>
    <row r="137" spans="1:7" ht="120.75" x14ac:dyDescent="0.25">
      <c r="A137" s="44" t="s">
        <v>128</v>
      </c>
      <c r="B137" s="45" t="s">
        <v>6</v>
      </c>
      <c r="C137" s="62" t="s">
        <v>138</v>
      </c>
      <c r="D137" s="45" t="s">
        <v>627</v>
      </c>
      <c r="E137" s="62" t="s">
        <v>132</v>
      </c>
      <c r="F137" s="50"/>
      <c r="G137" s="50"/>
    </row>
    <row r="138" spans="1:7" ht="72.75" x14ac:dyDescent="0.25">
      <c r="A138" s="46" t="s">
        <v>128</v>
      </c>
      <c r="B138" s="47" t="s">
        <v>6</v>
      </c>
      <c r="C138" s="61" t="s">
        <v>139</v>
      </c>
      <c r="D138" s="47" t="s">
        <v>140</v>
      </c>
      <c r="E138" s="61" t="s">
        <v>132</v>
      </c>
      <c r="F138" s="51"/>
      <c r="G138" s="51"/>
    </row>
    <row r="139" spans="1:7" ht="72.75" x14ac:dyDescent="0.25">
      <c r="A139" s="44" t="s">
        <v>128</v>
      </c>
      <c r="B139" s="45" t="s">
        <v>6</v>
      </c>
      <c r="C139" s="62" t="s">
        <v>141</v>
      </c>
      <c r="D139" s="45" t="s">
        <v>409</v>
      </c>
      <c r="E139" s="62" t="s">
        <v>142</v>
      </c>
      <c r="F139" s="50"/>
      <c r="G139" s="50"/>
    </row>
    <row r="140" spans="1:7" ht="108.75" x14ac:dyDescent="0.25">
      <c r="A140" s="46" t="s">
        <v>128</v>
      </c>
      <c r="B140" s="47" t="s">
        <v>6</v>
      </c>
      <c r="C140" s="61" t="s">
        <v>143</v>
      </c>
      <c r="D140" s="47" t="s">
        <v>410</v>
      </c>
      <c r="E140" s="61" t="s">
        <v>144</v>
      </c>
      <c r="F140" s="51"/>
      <c r="G140" s="51"/>
    </row>
    <row r="141" spans="1:7" ht="96.75" x14ac:dyDescent="0.25">
      <c r="A141" s="44" t="s">
        <v>128</v>
      </c>
      <c r="B141" s="45" t="s">
        <v>6</v>
      </c>
      <c r="C141" s="62" t="s">
        <v>339</v>
      </c>
      <c r="D141" s="45" t="s">
        <v>411</v>
      </c>
      <c r="E141" s="62"/>
      <c r="F141" s="50"/>
      <c r="G141" s="50"/>
    </row>
    <row r="142" spans="1:7" ht="72.75" x14ac:dyDescent="0.25">
      <c r="A142" s="46" t="s">
        <v>128</v>
      </c>
      <c r="B142" s="47" t="s">
        <v>6</v>
      </c>
      <c r="C142" s="61" t="s">
        <v>340</v>
      </c>
      <c r="D142" s="47" t="s">
        <v>412</v>
      </c>
      <c r="E142" s="61"/>
      <c r="F142" s="51"/>
      <c r="G142" s="51"/>
    </row>
    <row r="143" spans="1:7" ht="48.75" x14ac:dyDescent="0.25">
      <c r="A143" s="44" t="s">
        <v>128</v>
      </c>
      <c r="B143" s="45" t="s">
        <v>11</v>
      </c>
      <c r="C143" s="62" t="s">
        <v>145</v>
      </c>
      <c r="D143" s="45" t="s">
        <v>413</v>
      </c>
      <c r="E143" s="62"/>
      <c r="F143" s="50"/>
      <c r="G143" s="50"/>
    </row>
    <row r="144" spans="1:7" ht="156.75" x14ac:dyDescent="0.25">
      <c r="A144" s="46" t="s">
        <v>128</v>
      </c>
      <c r="B144" s="47" t="s">
        <v>126</v>
      </c>
      <c r="C144" s="61" t="s">
        <v>146</v>
      </c>
      <c r="D144" s="47" t="s">
        <v>414</v>
      </c>
      <c r="E144" s="61"/>
      <c r="F144" s="51"/>
      <c r="G144" s="51"/>
    </row>
    <row r="145" spans="1:7" ht="72.75" x14ac:dyDescent="0.25">
      <c r="A145" s="44" t="s">
        <v>128</v>
      </c>
      <c r="B145" s="45" t="s">
        <v>126</v>
      </c>
      <c r="C145" s="62" t="s">
        <v>139</v>
      </c>
      <c r="D145" s="45" t="s">
        <v>147</v>
      </c>
      <c r="E145" s="62"/>
      <c r="F145" s="50"/>
      <c r="G145" s="50"/>
    </row>
    <row r="146" spans="1:7" ht="180.75" x14ac:dyDescent="0.25">
      <c r="A146" s="46" t="s">
        <v>128</v>
      </c>
      <c r="B146" s="47" t="s">
        <v>603</v>
      </c>
      <c r="C146" s="61" t="s">
        <v>148</v>
      </c>
      <c r="D146" s="47" t="s">
        <v>415</v>
      </c>
      <c r="E146" s="61"/>
      <c r="F146" s="51"/>
      <c r="G146" s="51"/>
    </row>
    <row r="147" spans="1:7" ht="60.75" x14ac:dyDescent="0.25">
      <c r="A147" s="44" t="s">
        <v>128</v>
      </c>
      <c r="B147" s="45" t="s">
        <v>603</v>
      </c>
      <c r="C147" s="62" t="s">
        <v>530</v>
      </c>
      <c r="D147" s="45" t="s">
        <v>531</v>
      </c>
      <c r="E147" s="62"/>
      <c r="F147" s="50"/>
      <c r="G147" s="50"/>
    </row>
    <row r="148" spans="1:7" ht="84.75" x14ac:dyDescent="0.25">
      <c r="A148" s="46" t="s">
        <v>128</v>
      </c>
      <c r="B148" s="47" t="s">
        <v>11</v>
      </c>
      <c r="C148" s="61" t="s">
        <v>532</v>
      </c>
      <c r="D148" s="47" t="s">
        <v>533</v>
      </c>
      <c r="E148" s="61"/>
      <c r="F148" s="51"/>
      <c r="G148" s="51"/>
    </row>
    <row r="149" spans="1:7" ht="60.75" x14ac:dyDescent="0.25">
      <c r="A149" s="44" t="s">
        <v>177</v>
      </c>
      <c r="B149" s="45" t="s">
        <v>603</v>
      </c>
      <c r="C149" s="62" t="s">
        <v>4</v>
      </c>
      <c r="D149" s="45" t="s">
        <v>5</v>
      </c>
      <c r="E149" s="62"/>
      <c r="F149" s="50"/>
      <c r="G149" s="50"/>
    </row>
    <row r="150" spans="1:7" ht="48.75" x14ac:dyDescent="0.25">
      <c r="A150" s="46" t="s">
        <v>177</v>
      </c>
      <c r="B150" s="47" t="s">
        <v>603</v>
      </c>
      <c r="C150" s="61" t="s">
        <v>441</v>
      </c>
      <c r="D150" s="47" t="s">
        <v>442</v>
      </c>
      <c r="E150" s="61" t="s">
        <v>182</v>
      </c>
      <c r="F150" s="51"/>
      <c r="G150" s="51"/>
    </row>
    <row r="151" spans="1:7" ht="120.75" x14ac:dyDescent="0.25">
      <c r="A151" s="44" t="s">
        <v>177</v>
      </c>
      <c r="B151" s="45" t="s">
        <v>6</v>
      </c>
      <c r="C151" s="62" t="s">
        <v>534</v>
      </c>
      <c r="D151" s="45" t="s">
        <v>7</v>
      </c>
      <c r="E151" s="62"/>
      <c r="F151" s="50"/>
      <c r="G151" s="50"/>
    </row>
    <row r="152" spans="1:7" ht="96.75" x14ac:dyDescent="0.25">
      <c r="A152" s="46" t="s">
        <v>177</v>
      </c>
      <c r="B152" s="47" t="s">
        <v>6</v>
      </c>
      <c r="C152" s="61" t="s">
        <v>535</v>
      </c>
      <c r="D152" s="47" t="s">
        <v>536</v>
      </c>
      <c r="E152" s="61"/>
      <c r="F152" s="51"/>
      <c r="G152" s="51"/>
    </row>
    <row r="153" spans="1:7" ht="84.75" x14ac:dyDescent="0.25">
      <c r="A153" s="44" t="s">
        <v>177</v>
      </c>
      <c r="B153" s="45" t="s">
        <v>6</v>
      </c>
      <c r="C153" s="62" t="s">
        <v>178</v>
      </c>
      <c r="D153" s="45" t="s">
        <v>599</v>
      </c>
      <c r="E153" s="62" t="s">
        <v>179</v>
      </c>
      <c r="F153" s="50"/>
      <c r="G153" s="50" t="s">
        <v>314</v>
      </c>
    </row>
    <row r="154" spans="1:7" ht="36.75" x14ac:dyDescent="0.25">
      <c r="A154" s="46" t="s">
        <v>177</v>
      </c>
      <c r="B154" s="47" t="s">
        <v>6</v>
      </c>
      <c r="C154" s="61" t="s">
        <v>180</v>
      </c>
      <c r="D154" s="47" t="s">
        <v>181</v>
      </c>
      <c r="E154" s="61" t="s">
        <v>182</v>
      </c>
      <c r="F154" s="51"/>
      <c r="G154" s="51"/>
    </row>
    <row r="155" spans="1:7" ht="60.75" x14ac:dyDescent="0.25">
      <c r="A155" s="44" t="s">
        <v>177</v>
      </c>
      <c r="B155" s="45" t="s">
        <v>6</v>
      </c>
      <c r="C155" s="62" t="s">
        <v>8</v>
      </c>
      <c r="D155" s="45" t="s">
        <v>9</v>
      </c>
      <c r="E155" s="62" t="s">
        <v>10</v>
      </c>
      <c r="F155" s="50"/>
      <c r="G155" s="50"/>
    </row>
    <row r="156" spans="1:7" ht="24.75" x14ac:dyDescent="0.25">
      <c r="A156" s="46" t="s">
        <v>177</v>
      </c>
      <c r="B156" s="47" t="s">
        <v>6</v>
      </c>
      <c r="C156" s="61" t="s">
        <v>183</v>
      </c>
      <c r="D156" s="47" t="s">
        <v>184</v>
      </c>
      <c r="E156" s="61"/>
      <c r="F156" s="51"/>
      <c r="G156" s="51"/>
    </row>
    <row r="157" spans="1:7" ht="96.75" x14ac:dyDescent="0.25">
      <c r="A157" s="44" t="s">
        <v>177</v>
      </c>
      <c r="B157" s="45" t="s">
        <v>11</v>
      </c>
      <c r="C157" s="62" t="s">
        <v>11</v>
      </c>
      <c r="D157" s="45" t="s">
        <v>185</v>
      </c>
      <c r="E157" s="62"/>
      <c r="F157" s="50"/>
      <c r="G157" s="50"/>
    </row>
    <row r="158" spans="1:7" ht="36.75" x14ac:dyDescent="0.25">
      <c r="A158" s="46" t="s">
        <v>177</v>
      </c>
      <c r="B158" s="47" t="s">
        <v>11</v>
      </c>
      <c r="C158" s="61" t="s">
        <v>12</v>
      </c>
      <c r="D158" s="47" t="s">
        <v>425</v>
      </c>
      <c r="E158" s="61"/>
      <c r="F158" s="51"/>
      <c r="G158" s="51"/>
    </row>
    <row r="159" spans="1:7" ht="60.75" x14ac:dyDescent="0.25">
      <c r="A159" s="44" t="s">
        <v>177</v>
      </c>
      <c r="B159" s="45" t="s">
        <v>11</v>
      </c>
      <c r="C159" s="62" t="s">
        <v>186</v>
      </c>
      <c r="D159" s="45" t="s">
        <v>187</v>
      </c>
      <c r="E159" s="62"/>
      <c r="F159" s="50"/>
      <c r="G159" s="50"/>
    </row>
    <row r="160" spans="1:7" ht="60.75" x14ac:dyDescent="0.25">
      <c r="A160" s="46" t="s">
        <v>177</v>
      </c>
      <c r="B160" s="47" t="s">
        <v>11</v>
      </c>
      <c r="C160" s="61" t="s">
        <v>188</v>
      </c>
      <c r="D160" s="47" t="s">
        <v>189</v>
      </c>
      <c r="E160" s="61" t="s">
        <v>10</v>
      </c>
      <c r="F160" s="51"/>
      <c r="G160" s="51"/>
    </row>
    <row r="161" spans="1:7" ht="36.75" x14ac:dyDescent="0.25">
      <c r="A161" s="44" t="s">
        <v>177</v>
      </c>
      <c r="B161" s="45" t="s">
        <v>603</v>
      </c>
      <c r="C161" s="62" t="s">
        <v>190</v>
      </c>
      <c r="D161" s="45" t="s">
        <v>191</v>
      </c>
      <c r="E161" s="62"/>
      <c r="F161" s="50"/>
      <c r="G161" s="50"/>
    </row>
    <row r="162" spans="1:7" ht="36.75" x14ac:dyDescent="0.25">
      <c r="A162" s="46" t="s">
        <v>177</v>
      </c>
      <c r="B162" s="47" t="s">
        <v>70</v>
      </c>
      <c r="C162" s="47" t="s">
        <v>192</v>
      </c>
      <c r="D162" s="47" t="s">
        <v>193</v>
      </c>
      <c r="E162" s="61"/>
      <c r="F162" s="51"/>
      <c r="G162" s="51"/>
    </row>
    <row r="163" spans="1:7" ht="48.75" x14ac:dyDescent="0.25">
      <c r="A163" s="44" t="s">
        <v>177</v>
      </c>
      <c r="B163" s="45" t="s">
        <v>70</v>
      </c>
      <c r="C163" s="62" t="s">
        <v>194</v>
      </c>
      <c r="D163" s="45" t="s">
        <v>195</v>
      </c>
      <c r="E163" s="62" t="s">
        <v>182</v>
      </c>
      <c r="F163" s="50"/>
      <c r="G163" s="50"/>
    </row>
    <row r="164" spans="1:7" ht="60.75" x14ac:dyDescent="0.25">
      <c r="A164" s="46" t="s">
        <v>177</v>
      </c>
      <c r="B164" s="47" t="s">
        <v>70</v>
      </c>
      <c r="C164" s="61" t="s">
        <v>196</v>
      </c>
      <c r="D164" s="47" t="s">
        <v>426</v>
      </c>
      <c r="E164" s="61"/>
      <c r="F164" s="51"/>
      <c r="G164" s="51"/>
    </row>
    <row r="165" spans="1:7" ht="36.75" x14ac:dyDescent="0.25">
      <c r="A165" s="42" t="s">
        <v>342</v>
      </c>
      <c r="B165" s="43" t="s">
        <v>603</v>
      </c>
      <c r="C165" s="43" t="s">
        <v>537</v>
      </c>
      <c r="D165" s="43" t="s">
        <v>17</v>
      </c>
      <c r="E165" s="43"/>
      <c r="F165" s="43"/>
      <c r="G165" s="43"/>
    </row>
    <row r="166" spans="1:7" ht="72.75" x14ac:dyDescent="0.25">
      <c r="A166" s="46" t="s">
        <v>342</v>
      </c>
      <c r="B166" s="47" t="s">
        <v>6</v>
      </c>
      <c r="C166" s="47" t="s">
        <v>6</v>
      </c>
      <c r="D166" s="47" t="s">
        <v>582</v>
      </c>
      <c r="E166" s="61"/>
      <c r="F166" s="51"/>
      <c r="G166" s="51"/>
    </row>
    <row r="167" spans="1:7" ht="60.75" x14ac:dyDescent="0.25">
      <c r="A167" s="44" t="s">
        <v>342</v>
      </c>
      <c r="B167" s="45" t="s">
        <v>6</v>
      </c>
      <c r="C167" s="62" t="s">
        <v>18</v>
      </c>
      <c r="D167" s="45" t="s">
        <v>19</v>
      </c>
      <c r="E167" s="62"/>
      <c r="F167" s="50"/>
      <c r="G167" s="50"/>
    </row>
    <row r="168" spans="1:7" ht="72.75" x14ac:dyDescent="0.25">
      <c r="A168" s="46" t="s">
        <v>342</v>
      </c>
      <c r="B168" s="47" t="s">
        <v>6</v>
      </c>
      <c r="C168" s="61" t="s">
        <v>20</v>
      </c>
      <c r="D168" s="47" t="s">
        <v>21</v>
      </c>
      <c r="E168" s="61"/>
      <c r="F168" s="51"/>
      <c r="G168" s="51"/>
    </row>
    <row r="169" spans="1:7" ht="36.75" x14ac:dyDescent="0.25">
      <c r="A169" s="44" t="s">
        <v>342</v>
      </c>
      <c r="B169" s="45" t="s">
        <v>6</v>
      </c>
      <c r="C169" s="62" t="s">
        <v>22</v>
      </c>
      <c r="D169" s="45" t="s">
        <v>23</v>
      </c>
      <c r="E169" s="62"/>
      <c r="F169" s="50"/>
      <c r="G169" s="50"/>
    </row>
    <row r="170" spans="1:7" ht="24.75" x14ac:dyDescent="0.25">
      <c r="A170" s="46" t="s">
        <v>342</v>
      </c>
      <c r="B170" s="47" t="s">
        <v>11</v>
      </c>
      <c r="C170" s="47" t="s">
        <v>11</v>
      </c>
      <c r="D170" s="47" t="s">
        <v>427</v>
      </c>
      <c r="E170" s="61"/>
      <c r="F170" s="51"/>
      <c r="G170" s="51"/>
    </row>
    <row r="171" spans="1:7" ht="48.75" x14ac:dyDescent="0.25">
      <c r="A171" s="44" t="s">
        <v>342</v>
      </c>
      <c r="B171" s="45" t="s">
        <v>11</v>
      </c>
      <c r="C171" s="62" t="s">
        <v>24</v>
      </c>
      <c r="D171" s="45" t="s">
        <v>25</v>
      </c>
      <c r="E171" s="62"/>
      <c r="F171" s="50"/>
      <c r="G171" s="50"/>
    </row>
    <row r="172" spans="1:7" ht="96.75" x14ac:dyDescent="0.25">
      <c r="A172" s="46" t="s">
        <v>342</v>
      </c>
      <c r="B172" s="47" t="s">
        <v>11</v>
      </c>
      <c r="C172" s="61" t="s">
        <v>26</v>
      </c>
      <c r="D172" s="47" t="s">
        <v>27</v>
      </c>
      <c r="E172" s="61"/>
      <c r="F172" s="51"/>
      <c r="G172" s="51"/>
    </row>
    <row r="173" spans="1:7" ht="60.75" x14ac:dyDescent="0.25">
      <c r="A173" s="44" t="s">
        <v>342</v>
      </c>
      <c r="B173" s="45" t="s">
        <v>11</v>
      </c>
      <c r="C173" s="62" t="s">
        <v>28</v>
      </c>
      <c r="D173" s="45" t="s">
        <v>29</v>
      </c>
      <c r="E173" s="62"/>
      <c r="F173" s="50"/>
      <c r="G173" s="50"/>
    </row>
    <row r="174" spans="1:7" ht="24.75" x14ac:dyDescent="0.25">
      <c r="A174" s="42" t="s">
        <v>113</v>
      </c>
      <c r="B174" s="43" t="s">
        <v>603</v>
      </c>
      <c r="C174" s="43" t="s">
        <v>114</v>
      </c>
      <c r="D174" s="43" t="s">
        <v>115</v>
      </c>
      <c r="E174" s="43"/>
      <c r="F174" s="43"/>
      <c r="G174" s="43"/>
    </row>
    <row r="175" spans="1:7" ht="132.75" x14ac:dyDescent="0.25">
      <c r="A175" s="44" t="s">
        <v>113</v>
      </c>
      <c r="B175" s="45" t="s">
        <v>604</v>
      </c>
      <c r="C175" s="62" t="s">
        <v>604</v>
      </c>
      <c r="D175" s="45" t="s">
        <v>605</v>
      </c>
      <c r="E175" s="62" t="s">
        <v>606</v>
      </c>
      <c r="F175" s="50"/>
      <c r="G175" s="50" t="s">
        <v>313</v>
      </c>
    </row>
    <row r="176" spans="1:7" ht="108.75" x14ac:dyDescent="0.25">
      <c r="A176" s="46" t="s">
        <v>113</v>
      </c>
      <c r="B176" s="47" t="s">
        <v>604</v>
      </c>
      <c r="C176" s="61" t="s">
        <v>607</v>
      </c>
      <c r="D176" s="47" t="s">
        <v>608</v>
      </c>
      <c r="E176" s="61"/>
      <c r="F176" s="51"/>
      <c r="G176" s="51"/>
    </row>
    <row r="177" spans="1:7" ht="132.75" x14ac:dyDescent="0.25">
      <c r="A177" s="44" t="s">
        <v>113</v>
      </c>
      <c r="B177" s="45" t="s">
        <v>604</v>
      </c>
      <c r="C177" s="62" t="s">
        <v>116</v>
      </c>
      <c r="D177" s="45" t="s">
        <v>609</v>
      </c>
      <c r="E177" s="62"/>
      <c r="F177" s="50"/>
      <c r="G177" s="50"/>
    </row>
    <row r="178" spans="1:7" ht="72.75" x14ac:dyDescent="0.25">
      <c r="A178" s="46" t="s">
        <v>113</v>
      </c>
      <c r="B178" s="47" t="s">
        <v>604</v>
      </c>
      <c r="C178" s="61" t="s">
        <v>117</v>
      </c>
      <c r="D178" s="47" t="s">
        <v>398</v>
      </c>
      <c r="E178" s="61"/>
      <c r="F178" s="51"/>
      <c r="G178" s="51"/>
    </row>
    <row r="179" spans="1:7" ht="228.75" x14ac:dyDescent="0.25">
      <c r="A179" s="44" t="s">
        <v>113</v>
      </c>
      <c r="B179" s="45" t="s">
        <v>604</v>
      </c>
      <c r="C179" s="62" t="s">
        <v>118</v>
      </c>
      <c r="D179" s="45" t="s">
        <v>610</v>
      </c>
      <c r="E179" s="62"/>
      <c r="F179" s="50"/>
      <c r="G179" s="50"/>
    </row>
    <row r="180" spans="1:7" ht="84.75" x14ac:dyDescent="0.25">
      <c r="A180" s="46" t="s">
        <v>113</v>
      </c>
      <c r="B180" s="47" t="s">
        <v>604</v>
      </c>
      <c r="C180" s="61" t="s">
        <v>611</v>
      </c>
      <c r="D180" s="47" t="s">
        <v>612</v>
      </c>
      <c r="E180" s="61"/>
      <c r="F180" s="51"/>
      <c r="G180" s="51"/>
    </row>
    <row r="181" spans="1:7" ht="120.75" x14ac:dyDescent="0.25">
      <c r="A181" s="44" t="s">
        <v>113</v>
      </c>
      <c r="B181" s="45" t="s">
        <v>604</v>
      </c>
      <c r="C181" s="62" t="s">
        <v>613</v>
      </c>
      <c r="D181" s="45" t="s">
        <v>614</v>
      </c>
      <c r="E181" s="62"/>
      <c r="F181" s="50"/>
      <c r="G181" s="50"/>
    </row>
    <row r="182" spans="1:7" ht="132.75" x14ac:dyDescent="0.25">
      <c r="A182" s="46" t="s">
        <v>113</v>
      </c>
      <c r="B182" s="47" t="s">
        <v>604</v>
      </c>
      <c r="C182" s="61" t="s">
        <v>615</v>
      </c>
      <c r="D182" s="47" t="s">
        <v>399</v>
      </c>
      <c r="E182" s="61"/>
      <c r="F182" s="51"/>
      <c r="G182" s="51"/>
    </row>
    <row r="183" spans="1:7" ht="24.75" x14ac:dyDescent="0.25">
      <c r="A183" s="44" t="s">
        <v>113</v>
      </c>
      <c r="B183" s="45" t="s">
        <v>603</v>
      </c>
      <c r="C183" s="62" t="s">
        <v>119</v>
      </c>
      <c r="D183" s="45" t="s">
        <v>538</v>
      </c>
      <c r="E183" s="62"/>
      <c r="F183" s="50"/>
      <c r="G183" s="50"/>
    </row>
    <row r="184" spans="1:7" ht="36.75" x14ac:dyDescent="0.25">
      <c r="A184" s="46" t="s">
        <v>113</v>
      </c>
      <c r="B184" s="47" t="s">
        <v>6</v>
      </c>
      <c r="C184" s="117" t="s">
        <v>6</v>
      </c>
      <c r="D184" s="47" t="s">
        <v>120</v>
      </c>
      <c r="E184" s="61"/>
      <c r="F184" s="51"/>
      <c r="G184" s="51"/>
    </row>
    <row r="185" spans="1:7" ht="240.75" x14ac:dyDescent="0.25">
      <c r="A185" s="44" t="s">
        <v>113</v>
      </c>
      <c r="B185" s="45" t="s">
        <v>6</v>
      </c>
      <c r="C185" s="62" t="s">
        <v>121</v>
      </c>
      <c r="D185" s="45" t="s">
        <v>400</v>
      </c>
      <c r="E185" s="62" t="s">
        <v>122</v>
      </c>
      <c r="F185" s="50"/>
      <c r="G185" s="50"/>
    </row>
    <row r="186" spans="1:7" ht="156.75" x14ac:dyDescent="0.25">
      <c r="A186" s="46" t="s">
        <v>113</v>
      </c>
      <c r="B186" s="47" t="s">
        <v>6</v>
      </c>
      <c r="C186" s="61" t="s">
        <v>123</v>
      </c>
      <c r="D186" s="47" t="s">
        <v>401</v>
      </c>
      <c r="E186" s="61" t="s">
        <v>122</v>
      </c>
      <c r="F186" s="51"/>
      <c r="G186" s="51"/>
    </row>
    <row r="187" spans="1:7" ht="144.75" x14ac:dyDescent="0.25">
      <c r="A187" s="44" t="s">
        <v>113</v>
      </c>
      <c r="B187" s="45" t="s">
        <v>6</v>
      </c>
      <c r="C187" s="62" t="s">
        <v>338</v>
      </c>
      <c r="D187" s="45" t="s">
        <v>402</v>
      </c>
      <c r="E187" s="62"/>
      <c r="F187" s="50"/>
      <c r="G187" s="50"/>
    </row>
    <row r="188" spans="1:7" ht="108.75" x14ac:dyDescent="0.25">
      <c r="A188" s="46" t="s">
        <v>113</v>
      </c>
      <c r="B188" s="47" t="s">
        <v>6</v>
      </c>
      <c r="C188" s="61" t="s">
        <v>124</v>
      </c>
      <c r="D188" s="47" t="s">
        <v>403</v>
      </c>
      <c r="E188" s="61" t="s">
        <v>125</v>
      </c>
      <c r="F188" s="51"/>
      <c r="G188" s="51"/>
    </row>
    <row r="189" spans="1:7" ht="84.75" x14ac:dyDescent="0.25">
      <c r="A189" s="44" t="s">
        <v>113</v>
      </c>
      <c r="B189" s="45" t="s">
        <v>126</v>
      </c>
      <c r="C189" s="62" t="s">
        <v>127</v>
      </c>
      <c r="D189" s="45" t="s">
        <v>404</v>
      </c>
      <c r="E189" s="62"/>
      <c r="F189" s="50"/>
      <c r="G189" s="50"/>
    </row>
    <row r="190" spans="1:7" ht="72.75" x14ac:dyDescent="0.25">
      <c r="A190" s="42" t="s">
        <v>42</v>
      </c>
      <c r="B190" s="43" t="s">
        <v>603</v>
      </c>
      <c r="C190" s="43" t="s">
        <v>43</v>
      </c>
      <c r="D190" s="43" t="s">
        <v>623</v>
      </c>
      <c r="E190" s="43"/>
      <c r="F190" s="43"/>
      <c r="G190" s="43"/>
    </row>
    <row r="191" spans="1:7" ht="84.75" x14ac:dyDescent="0.25">
      <c r="A191" s="44" t="s">
        <v>42</v>
      </c>
      <c r="B191" s="45" t="s">
        <v>603</v>
      </c>
      <c r="C191" s="62" t="s">
        <v>539</v>
      </c>
      <c r="D191" s="45" t="s">
        <v>540</v>
      </c>
      <c r="E191" s="62"/>
      <c r="F191" s="50"/>
      <c r="G191" s="50"/>
    </row>
    <row r="192" spans="1:7" ht="156.75" x14ac:dyDescent="0.25">
      <c r="A192" s="46" t="s">
        <v>42</v>
      </c>
      <c r="B192" s="47" t="s">
        <v>32</v>
      </c>
      <c r="C192" s="61" t="s">
        <v>44</v>
      </c>
      <c r="D192" s="47" t="s">
        <v>345</v>
      </c>
      <c r="E192" s="61"/>
      <c r="F192" s="51"/>
      <c r="G192" s="51"/>
    </row>
    <row r="193" spans="1:7" ht="24.75" x14ac:dyDescent="0.25">
      <c r="A193" s="44" t="s">
        <v>42</v>
      </c>
      <c r="B193" s="45" t="s">
        <v>32</v>
      </c>
      <c r="C193" s="62" t="s">
        <v>45</v>
      </c>
      <c r="D193" s="45" t="s">
        <v>281</v>
      </c>
      <c r="E193" s="62" t="s">
        <v>46</v>
      </c>
      <c r="F193" s="50" t="s">
        <v>282</v>
      </c>
      <c r="G193" s="50" t="s">
        <v>283</v>
      </c>
    </row>
    <row r="194" spans="1:7" ht="48.75" x14ac:dyDescent="0.25">
      <c r="A194" s="46" t="s">
        <v>42</v>
      </c>
      <c r="B194" s="47" t="s">
        <v>32</v>
      </c>
      <c r="C194" s="61" t="s">
        <v>326</v>
      </c>
      <c r="D194" s="47" t="s">
        <v>346</v>
      </c>
      <c r="E194" s="61"/>
      <c r="F194" s="51"/>
      <c r="G194" s="51"/>
    </row>
    <row r="195" spans="1:7" ht="36.75" x14ac:dyDescent="0.25">
      <c r="A195" s="44" t="s">
        <v>42</v>
      </c>
      <c r="B195" s="45" t="s">
        <v>32</v>
      </c>
      <c r="C195" s="62" t="s">
        <v>541</v>
      </c>
      <c r="D195" s="45" t="s">
        <v>542</v>
      </c>
      <c r="E195" s="62"/>
      <c r="F195" s="50"/>
      <c r="G195" s="50"/>
    </row>
    <row r="196" spans="1:7" ht="24.75" x14ac:dyDescent="0.25">
      <c r="A196" s="46" t="s">
        <v>42</v>
      </c>
      <c r="B196" s="47" t="s">
        <v>32</v>
      </c>
      <c r="C196" s="61" t="s">
        <v>47</v>
      </c>
      <c r="D196" s="47" t="s">
        <v>347</v>
      </c>
      <c r="E196" s="61"/>
      <c r="F196" s="51"/>
      <c r="G196" s="51"/>
    </row>
    <row r="197" spans="1:7" ht="48.75" x14ac:dyDescent="0.25">
      <c r="A197" s="44" t="s">
        <v>42</v>
      </c>
      <c r="B197" s="45" t="s">
        <v>32</v>
      </c>
      <c r="C197" s="111" t="s">
        <v>48</v>
      </c>
      <c r="D197" s="45" t="s">
        <v>49</v>
      </c>
      <c r="E197" s="62"/>
      <c r="F197" s="50"/>
      <c r="G197" s="50"/>
    </row>
    <row r="198" spans="1:7" ht="24.75" x14ac:dyDescent="0.25">
      <c r="A198" s="46" t="s">
        <v>42</v>
      </c>
      <c r="B198" s="47" t="s">
        <v>32</v>
      </c>
      <c r="C198" s="61" t="e">
        <f t="array" ref="C198:C199">[1]!'!CSC Main!R198C3:R199C3'</f>
        <v>#REF!</v>
      </c>
      <c r="D198" s="47" t="s">
        <v>544</v>
      </c>
      <c r="E198" s="61"/>
      <c r="F198" s="51"/>
      <c r="G198" s="51"/>
    </row>
    <row r="199" spans="1:7" ht="48.75" x14ac:dyDescent="0.25">
      <c r="A199" s="44" t="s">
        <v>42</v>
      </c>
      <c r="B199" s="45" t="s">
        <v>32</v>
      </c>
      <c r="C199" s="62" t="e">
        <v>#REF!</v>
      </c>
      <c r="D199" s="45" t="s">
        <v>546</v>
      </c>
      <c r="E199" s="62"/>
      <c r="F199" s="50"/>
      <c r="G199" s="50"/>
    </row>
    <row r="200" spans="1:7" ht="180.75" x14ac:dyDescent="0.25">
      <c r="A200" s="46" t="s">
        <v>42</v>
      </c>
      <c r="B200" s="47" t="s">
        <v>32</v>
      </c>
      <c r="C200" s="61" t="s">
        <v>547</v>
      </c>
      <c r="D200" s="47" t="s">
        <v>548</v>
      </c>
      <c r="E200" s="61"/>
      <c r="F200" s="51"/>
      <c r="G200" s="51"/>
    </row>
    <row r="201" spans="1:7" ht="108.75" x14ac:dyDescent="0.25">
      <c r="A201" s="44" t="s">
        <v>42</v>
      </c>
      <c r="B201" s="45" t="s">
        <v>32</v>
      </c>
      <c r="C201" s="62" t="s">
        <v>50</v>
      </c>
      <c r="D201" s="45" t="s">
        <v>348</v>
      </c>
      <c r="E201" s="62" t="s">
        <v>51</v>
      </c>
      <c r="F201" s="50" t="s">
        <v>284</v>
      </c>
      <c r="G201" s="50" t="s">
        <v>285</v>
      </c>
    </row>
    <row r="202" spans="1:7" ht="108.75" x14ac:dyDescent="0.25">
      <c r="A202" s="46" t="s">
        <v>42</v>
      </c>
      <c r="B202" s="47" t="s">
        <v>32</v>
      </c>
      <c r="C202" s="61" t="s">
        <v>549</v>
      </c>
      <c r="D202" s="47" t="s">
        <v>348</v>
      </c>
      <c r="E202" s="61"/>
      <c r="F202" s="51"/>
      <c r="G202" s="51"/>
    </row>
    <row r="203" spans="1:7" ht="108.75" x14ac:dyDescent="0.25">
      <c r="A203" s="44" t="s">
        <v>42</v>
      </c>
      <c r="B203" s="45" t="s">
        <v>32</v>
      </c>
      <c r="C203" s="62" t="s">
        <v>550</v>
      </c>
      <c r="D203" s="45" t="s">
        <v>348</v>
      </c>
      <c r="E203" s="62"/>
      <c r="F203" s="50"/>
      <c r="G203" s="50"/>
    </row>
    <row r="204" spans="1:7" ht="240.75" x14ac:dyDescent="0.25">
      <c r="A204" s="46" t="s">
        <v>42</v>
      </c>
      <c r="B204" s="47" t="s">
        <v>32</v>
      </c>
      <c r="C204" s="61" t="s">
        <v>52</v>
      </c>
      <c r="D204" s="47" t="s">
        <v>349</v>
      </c>
      <c r="E204" s="61" t="s">
        <v>51</v>
      </c>
      <c r="F204" s="51"/>
      <c r="G204" s="51"/>
    </row>
    <row r="205" spans="1:7" ht="228.75" x14ac:dyDescent="0.25">
      <c r="A205" s="44" t="s">
        <v>42</v>
      </c>
      <c r="B205" s="45" t="s">
        <v>32</v>
      </c>
      <c r="C205" s="62" t="s">
        <v>53</v>
      </c>
      <c r="D205" s="45" t="s">
        <v>350</v>
      </c>
      <c r="E205" s="62" t="s">
        <v>51</v>
      </c>
      <c r="F205" s="50"/>
      <c r="G205" s="50"/>
    </row>
    <row r="206" spans="1:7" ht="252.75" x14ac:dyDescent="0.25">
      <c r="A206" s="46" t="s">
        <v>42</v>
      </c>
      <c r="B206" s="47" t="s">
        <v>32</v>
      </c>
      <c r="C206" s="61" t="s">
        <v>54</v>
      </c>
      <c r="D206" s="47" t="s">
        <v>351</v>
      </c>
      <c r="E206" s="61" t="s">
        <v>51</v>
      </c>
      <c r="F206" s="51"/>
      <c r="G206" s="51"/>
    </row>
    <row r="207" spans="1:7" ht="168.75" x14ac:dyDescent="0.25">
      <c r="A207" s="44" t="s">
        <v>42</v>
      </c>
      <c r="B207" s="45" t="s">
        <v>32</v>
      </c>
      <c r="C207" s="62" t="s">
        <v>55</v>
      </c>
      <c r="D207" s="45" t="s">
        <v>352</v>
      </c>
      <c r="E207" s="62"/>
      <c r="F207" s="50"/>
      <c r="G207" s="50"/>
    </row>
    <row r="208" spans="1:7" ht="276.75" x14ac:dyDescent="0.25">
      <c r="A208" s="46" t="s">
        <v>42</v>
      </c>
      <c r="B208" s="47" t="s">
        <v>32</v>
      </c>
      <c r="C208" s="61" t="s">
        <v>56</v>
      </c>
      <c r="D208" s="47" t="s">
        <v>353</v>
      </c>
      <c r="E208" s="61"/>
      <c r="F208" s="51"/>
      <c r="G208" s="51"/>
    </row>
    <row r="209" spans="1:7" ht="144.75" x14ac:dyDescent="0.25">
      <c r="A209" s="44" t="s">
        <v>42</v>
      </c>
      <c r="B209" s="45" t="s">
        <v>11</v>
      </c>
      <c r="C209" s="62" t="s">
        <v>551</v>
      </c>
      <c r="D209" s="45" t="s">
        <v>552</v>
      </c>
      <c r="E209" s="62"/>
      <c r="F209" s="64" t="s">
        <v>553</v>
      </c>
      <c r="G209" s="50" t="s">
        <v>300</v>
      </c>
    </row>
    <row r="210" spans="1:7" ht="180.75" x14ac:dyDescent="0.25">
      <c r="A210" s="46" t="s">
        <v>42</v>
      </c>
      <c r="B210" s="47" t="s">
        <v>6</v>
      </c>
      <c r="C210" s="61" t="s">
        <v>554</v>
      </c>
      <c r="D210" s="47" t="s">
        <v>555</v>
      </c>
      <c r="E210" s="61"/>
      <c r="F210" s="65"/>
      <c r="G210" s="51"/>
    </row>
    <row r="211" spans="1:7" ht="276.75" x14ac:dyDescent="0.25">
      <c r="A211" s="44" t="s">
        <v>42</v>
      </c>
      <c r="B211" s="45" t="s">
        <v>32</v>
      </c>
      <c r="C211" s="62" t="s">
        <v>57</v>
      </c>
      <c r="D211" s="45" t="s">
        <v>353</v>
      </c>
      <c r="E211" s="62" t="s">
        <v>58</v>
      </c>
      <c r="F211" s="50"/>
      <c r="G211" s="50"/>
    </row>
    <row r="212" spans="1:7" ht="84.75" x14ac:dyDescent="0.25">
      <c r="A212" s="46" t="s">
        <v>42</v>
      </c>
      <c r="B212" s="47" t="s">
        <v>37</v>
      </c>
      <c r="C212" s="61" t="s">
        <v>59</v>
      </c>
      <c r="D212" s="47" t="s">
        <v>355</v>
      </c>
      <c r="E212" s="61"/>
      <c r="F212" s="51"/>
      <c r="G212" s="51"/>
    </row>
    <row r="213" spans="1:7" ht="24.75" x14ac:dyDescent="0.25">
      <c r="A213" s="44" t="s">
        <v>42</v>
      </c>
      <c r="B213" s="45" t="s">
        <v>37</v>
      </c>
      <c r="C213" s="62" t="s">
        <v>60</v>
      </c>
      <c r="D213" s="45" t="s">
        <v>61</v>
      </c>
      <c r="E213" s="62"/>
      <c r="F213" s="50"/>
      <c r="G213" s="50"/>
    </row>
    <row r="214" spans="1:7" ht="192.75" x14ac:dyDescent="0.25">
      <c r="A214" s="46" t="s">
        <v>42</v>
      </c>
      <c r="B214" s="47" t="s">
        <v>37</v>
      </c>
      <c r="C214" s="61" t="s">
        <v>62</v>
      </c>
      <c r="D214" s="47" t="s">
        <v>356</v>
      </c>
      <c r="E214" s="61"/>
      <c r="F214" s="51"/>
      <c r="G214" s="51"/>
    </row>
    <row r="215" spans="1:7" ht="156.75" x14ac:dyDescent="0.25">
      <c r="A215" s="44" t="s">
        <v>42</v>
      </c>
      <c r="B215" s="45" t="s">
        <v>37</v>
      </c>
      <c r="C215" s="62" t="s">
        <v>327</v>
      </c>
      <c r="D215" s="45" t="s">
        <v>357</v>
      </c>
      <c r="E215" s="62"/>
      <c r="F215" s="50"/>
      <c r="G215" s="50"/>
    </row>
    <row r="216" spans="1:7" ht="96.75" x14ac:dyDescent="0.25">
      <c r="A216" s="46" t="s">
        <v>42</v>
      </c>
      <c r="B216" s="47" t="s">
        <v>37</v>
      </c>
      <c r="C216" s="61" t="s">
        <v>63</v>
      </c>
      <c r="D216" s="47" t="s">
        <v>358</v>
      </c>
      <c r="E216" s="61"/>
      <c r="F216" s="51"/>
      <c r="G216" s="51"/>
    </row>
    <row r="217" spans="1:7" ht="96.75" x14ac:dyDescent="0.25">
      <c r="A217" s="44" t="s">
        <v>42</v>
      </c>
      <c r="B217" s="45" t="s">
        <v>37</v>
      </c>
      <c r="C217" s="62" t="s">
        <v>64</v>
      </c>
      <c r="D217" s="45" t="s">
        <v>358</v>
      </c>
      <c r="E217" s="62"/>
      <c r="F217" s="50"/>
      <c r="G217" s="50"/>
    </row>
    <row r="218" spans="1:7" ht="96.75" x14ac:dyDescent="0.25">
      <c r="A218" s="46" t="s">
        <v>42</v>
      </c>
      <c r="B218" s="47" t="s">
        <v>37</v>
      </c>
      <c r="C218" s="61" t="s">
        <v>56</v>
      </c>
      <c r="D218" s="47" t="s">
        <v>354</v>
      </c>
      <c r="E218" s="61"/>
      <c r="F218" s="51"/>
      <c r="G218" s="51"/>
    </row>
    <row r="219" spans="1:7" ht="216.75" x14ac:dyDescent="0.25">
      <c r="A219" s="44" t="s">
        <v>42</v>
      </c>
      <c r="B219" s="45" t="s">
        <v>37</v>
      </c>
      <c r="C219" s="62" t="s">
        <v>631</v>
      </c>
      <c r="D219" s="45" t="s">
        <v>556</v>
      </c>
      <c r="E219" s="62"/>
      <c r="F219" s="50"/>
      <c r="G219" s="50"/>
    </row>
    <row r="220" spans="1:7" ht="60.75" x14ac:dyDescent="0.25">
      <c r="A220" s="92" t="s">
        <v>31</v>
      </c>
      <c r="B220" s="93" t="s">
        <v>603</v>
      </c>
      <c r="C220" s="94"/>
      <c r="D220" s="93" t="s">
        <v>632</v>
      </c>
      <c r="E220" s="94"/>
      <c r="F220" s="95"/>
      <c r="G220" s="95"/>
    </row>
    <row r="221" spans="1:7" ht="84.75" x14ac:dyDescent="0.25">
      <c r="A221" s="44" t="s">
        <v>31</v>
      </c>
      <c r="B221" s="45" t="s">
        <v>32</v>
      </c>
      <c r="C221" s="62" t="s">
        <v>33</v>
      </c>
      <c r="D221" s="45" t="s">
        <v>277</v>
      </c>
      <c r="E221" s="62" t="s">
        <v>34</v>
      </c>
      <c r="F221" s="50"/>
      <c r="G221" s="50" t="s">
        <v>278</v>
      </c>
    </row>
    <row r="222" spans="1:7" ht="36.75" x14ac:dyDescent="0.25">
      <c r="A222" s="46" t="s">
        <v>31</v>
      </c>
      <c r="B222" s="47" t="s">
        <v>32</v>
      </c>
      <c r="C222" s="61" t="s">
        <v>35</v>
      </c>
      <c r="D222" s="47" t="s">
        <v>279</v>
      </c>
      <c r="E222" s="61" t="s">
        <v>36</v>
      </c>
      <c r="F222" s="51"/>
      <c r="G222" s="51" t="s">
        <v>280</v>
      </c>
    </row>
    <row r="223" spans="1:7" ht="36.75" x14ac:dyDescent="0.25">
      <c r="A223" s="44" t="s">
        <v>31</v>
      </c>
      <c r="B223" s="45" t="s">
        <v>32</v>
      </c>
      <c r="C223" s="62" t="s">
        <v>275</v>
      </c>
      <c r="D223" s="45" t="s">
        <v>589</v>
      </c>
      <c r="E223" s="62"/>
      <c r="F223" s="50"/>
      <c r="G223" s="50" t="s">
        <v>280</v>
      </c>
    </row>
    <row r="224" spans="1:7" ht="24.75" x14ac:dyDescent="0.25">
      <c r="A224" s="46" t="s">
        <v>31</v>
      </c>
      <c r="B224" s="47" t="s">
        <v>557</v>
      </c>
      <c r="C224" s="61" t="s">
        <v>558</v>
      </c>
      <c r="D224" s="47" t="s">
        <v>624</v>
      </c>
      <c r="E224" s="61"/>
      <c r="F224" s="51"/>
      <c r="G224" s="51"/>
    </row>
    <row r="225" spans="1:7" ht="24.75" x14ac:dyDescent="0.25">
      <c r="A225" s="44" t="s">
        <v>31</v>
      </c>
      <c r="B225" s="45" t="s">
        <v>559</v>
      </c>
      <c r="C225" s="62" t="s">
        <v>560</v>
      </c>
      <c r="D225" s="45" t="s">
        <v>561</v>
      </c>
      <c r="E225" s="62"/>
      <c r="F225" s="50"/>
      <c r="G225" s="50"/>
    </row>
    <row r="226" spans="1:7" ht="228.75" x14ac:dyDescent="0.25">
      <c r="A226" s="46" t="s">
        <v>31</v>
      </c>
      <c r="B226" s="47" t="s">
        <v>37</v>
      </c>
      <c r="C226" s="61" t="s">
        <v>38</v>
      </c>
      <c r="D226" s="47" t="s">
        <v>343</v>
      </c>
      <c r="E226" s="61" t="s">
        <v>432</v>
      </c>
      <c r="F226" s="51"/>
      <c r="G226" s="51"/>
    </row>
    <row r="227" spans="1:7" ht="144.75" x14ac:dyDescent="0.25">
      <c r="A227" s="44" t="s">
        <v>31</v>
      </c>
      <c r="B227" s="45" t="s">
        <v>37</v>
      </c>
      <c r="C227" s="62" t="s">
        <v>562</v>
      </c>
      <c r="D227" s="45" t="s">
        <v>633</v>
      </c>
      <c r="E227" s="62"/>
      <c r="F227" s="50"/>
      <c r="G227" s="50"/>
    </row>
    <row r="228" spans="1:7" ht="144.75" x14ac:dyDescent="0.25">
      <c r="A228" s="46" t="s">
        <v>31</v>
      </c>
      <c r="B228" s="47" t="s">
        <v>37</v>
      </c>
      <c r="C228" s="61" t="s">
        <v>39</v>
      </c>
      <c r="D228" s="47" t="s">
        <v>344</v>
      </c>
      <c r="E228" s="61"/>
      <c r="F228" s="51"/>
      <c r="G228" s="51"/>
    </row>
    <row r="229" spans="1:7" ht="36.75" x14ac:dyDescent="0.25">
      <c r="A229" s="44" t="s">
        <v>31</v>
      </c>
      <c r="B229" s="45" t="s">
        <v>37</v>
      </c>
      <c r="C229" s="62" t="s">
        <v>40</v>
      </c>
      <c r="D229" s="45" t="s">
        <v>41</v>
      </c>
      <c r="E229" s="62"/>
      <c r="F229" s="50"/>
      <c r="G229" s="50"/>
    </row>
    <row r="230" spans="1:7" ht="108.75" x14ac:dyDescent="0.25">
      <c r="A230" s="42" t="s">
        <v>233</v>
      </c>
      <c r="B230" s="43" t="s">
        <v>603</v>
      </c>
      <c r="C230" s="43" t="s">
        <v>234</v>
      </c>
      <c r="D230" s="43" t="s">
        <v>563</v>
      </c>
      <c r="E230" s="43"/>
      <c r="F230" s="43"/>
      <c r="G230" s="43"/>
    </row>
    <row r="231" spans="1:7" ht="36.75" x14ac:dyDescent="0.25">
      <c r="A231" s="44" t="s">
        <v>233</v>
      </c>
      <c r="B231" s="45" t="s">
        <v>603</v>
      </c>
      <c r="C231" s="62" t="s">
        <v>235</v>
      </c>
      <c r="D231" s="45" t="s">
        <v>236</v>
      </c>
      <c r="E231" s="62" t="s">
        <v>237</v>
      </c>
      <c r="F231" s="50"/>
      <c r="G231" s="50"/>
    </row>
    <row r="232" spans="1:7" ht="36.75" x14ac:dyDescent="0.25">
      <c r="A232" s="46" t="s">
        <v>233</v>
      </c>
      <c r="B232" s="47" t="s">
        <v>32</v>
      </c>
      <c r="C232" s="61" t="s">
        <v>238</v>
      </c>
      <c r="D232" s="47" t="s">
        <v>239</v>
      </c>
      <c r="E232" s="61" t="s">
        <v>240</v>
      </c>
      <c r="F232" s="51" t="s">
        <v>316</v>
      </c>
      <c r="G232" s="51"/>
    </row>
    <row r="233" spans="1:7" ht="36.75" x14ac:dyDescent="0.25">
      <c r="A233" s="44" t="s">
        <v>233</v>
      </c>
      <c r="B233" s="45" t="s">
        <v>32</v>
      </c>
      <c r="C233" s="62" t="s">
        <v>564</v>
      </c>
      <c r="D233" s="45" t="s">
        <v>565</v>
      </c>
      <c r="E233" s="62"/>
      <c r="F233" s="50"/>
      <c r="G233" s="50"/>
    </row>
    <row r="234" spans="1:7" ht="48.75" x14ac:dyDescent="0.25">
      <c r="A234" s="46" t="s">
        <v>233</v>
      </c>
      <c r="B234" s="47" t="s">
        <v>6</v>
      </c>
      <c r="C234" s="61" t="s">
        <v>241</v>
      </c>
      <c r="D234" s="47" t="s">
        <v>428</v>
      </c>
      <c r="E234" s="61"/>
      <c r="F234" s="51"/>
      <c r="G234" s="51"/>
    </row>
    <row r="235" spans="1:7" ht="24.75" x14ac:dyDescent="0.25">
      <c r="A235" s="44" t="s">
        <v>233</v>
      </c>
      <c r="B235" s="45" t="s">
        <v>11</v>
      </c>
      <c r="C235" s="62" t="s">
        <v>566</v>
      </c>
      <c r="D235" s="45" t="s">
        <v>567</v>
      </c>
      <c r="E235" s="62"/>
      <c r="F235" s="50" t="s">
        <v>568</v>
      </c>
      <c r="G235" s="50"/>
    </row>
    <row r="236" spans="1:7" ht="96.75" x14ac:dyDescent="0.25">
      <c r="A236" s="46" t="s">
        <v>233</v>
      </c>
      <c r="B236" s="47" t="s">
        <v>603</v>
      </c>
      <c r="C236" s="61" t="s">
        <v>242</v>
      </c>
      <c r="D236" s="47" t="s">
        <v>243</v>
      </c>
      <c r="E236" s="61"/>
      <c r="F236" s="51"/>
      <c r="G236" s="51"/>
    </row>
    <row r="237" spans="1:7" ht="108.75" x14ac:dyDescent="0.25">
      <c r="A237" s="44" t="s">
        <v>233</v>
      </c>
      <c r="B237" s="45" t="s">
        <v>603</v>
      </c>
      <c r="C237" s="62" t="s">
        <v>244</v>
      </c>
      <c r="D237" s="45" t="s">
        <v>429</v>
      </c>
      <c r="E237" s="62"/>
      <c r="F237" s="50" t="s">
        <v>317</v>
      </c>
      <c r="G237" s="50" t="s">
        <v>318</v>
      </c>
    </row>
    <row r="238" spans="1:7" ht="60.75" x14ac:dyDescent="0.25">
      <c r="A238" s="46" t="s">
        <v>233</v>
      </c>
      <c r="B238" s="47" t="s">
        <v>6</v>
      </c>
      <c r="C238" s="61" t="s">
        <v>569</v>
      </c>
      <c r="D238" s="47" t="s">
        <v>570</v>
      </c>
      <c r="E238" s="61"/>
      <c r="F238" s="51"/>
      <c r="G238" s="51"/>
    </row>
    <row r="239" spans="1:7" ht="60.75" x14ac:dyDescent="0.25">
      <c r="A239" s="44" t="s">
        <v>233</v>
      </c>
      <c r="B239" s="45" t="s">
        <v>11</v>
      </c>
      <c r="C239" s="62" t="s">
        <v>245</v>
      </c>
      <c r="D239" s="45" t="s">
        <v>430</v>
      </c>
      <c r="E239" s="62"/>
      <c r="F239" s="50"/>
      <c r="G239" s="50"/>
    </row>
    <row r="240" spans="1:7" ht="96.75" x14ac:dyDescent="0.25">
      <c r="A240" s="46" t="s">
        <v>233</v>
      </c>
      <c r="B240" s="47" t="s">
        <v>11</v>
      </c>
      <c r="C240" s="61" t="s">
        <v>24</v>
      </c>
      <c r="D240" s="47" t="s">
        <v>431</v>
      </c>
      <c r="E240" s="61"/>
      <c r="F240" s="51"/>
      <c r="G240" s="51"/>
    </row>
    <row r="241" spans="1:7" ht="48.75" x14ac:dyDescent="0.25">
      <c r="A241" s="44" t="s">
        <v>233</v>
      </c>
      <c r="B241" s="45" t="s">
        <v>603</v>
      </c>
      <c r="C241" s="62" t="s">
        <v>246</v>
      </c>
      <c r="D241" s="45" t="s">
        <v>601</v>
      </c>
      <c r="E241" s="62"/>
      <c r="F241" s="50"/>
      <c r="G241" s="50"/>
    </row>
    <row r="242" spans="1:7" ht="96.75" x14ac:dyDescent="0.25">
      <c r="A242" s="44" t="s">
        <v>233</v>
      </c>
      <c r="B242" s="45" t="s">
        <v>603</v>
      </c>
      <c r="C242" s="62" t="s">
        <v>247</v>
      </c>
      <c r="D242" s="45" t="s">
        <v>602</v>
      </c>
      <c r="E242" s="62"/>
      <c r="F242" s="50"/>
      <c r="G242" s="50"/>
    </row>
    <row r="243" spans="1:7" ht="48.75" x14ac:dyDescent="0.25">
      <c r="A243" s="46" t="s">
        <v>248</v>
      </c>
      <c r="B243" s="47" t="s">
        <v>603</v>
      </c>
      <c r="C243" s="61" t="s">
        <v>249</v>
      </c>
      <c r="D243" s="47" t="s">
        <v>250</v>
      </c>
      <c r="E243" s="61"/>
      <c r="F243" s="51"/>
      <c r="G243" s="51"/>
    </row>
    <row r="244" spans="1:7" ht="48.75" x14ac:dyDescent="0.25">
      <c r="A244" s="44" t="s">
        <v>248</v>
      </c>
      <c r="B244" s="45" t="s">
        <v>603</v>
      </c>
      <c r="C244" s="62" t="s">
        <v>251</v>
      </c>
      <c r="D244" s="45" t="s">
        <v>252</v>
      </c>
      <c r="E244" s="62"/>
      <c r="F244" s="50"/>
      <c r="G244" s="50"/>
    </row>
    <row r="245" spans="1:7" ht="108.75" x14ac:dyDescent="0.25">
      <c r="A245" s="46" t="s">
        <v>248</v>
      </c>
      <c r="B245" s="47" t="s">
        <v>603</v>
      </c>
      <c r="C245" s="61" t="s">
        <v>253</v>
      </c>
      <c r="D245" s="47" t="s">
        <v>254</v>
      </c>
      <c r="E245" s="61"/>
      <c r="F245" s="51"/>
      <c r="G245" s="51"/>
    </row>
    <row r="246" spans="1:7" ht="36.75" x14ac:dyDescent="0.25">
      <c r="A246" s="46" t="s">
        <v>248</v>
      </c>
      <c r="B246" s="47" t="s">
        <v>37</v>
      </c>
      <c r="C246" s="61" t="s">
        <v>255</v>
      </c>
      <c r="D246" s="47" t="s">
        <v>256</v>
      </c>
      <c r="E246" s="61"/>
      <c r="F246" s="51"/>
      <c r="G246" s="51"/>
    </row>
    <row r="247" spans="1:7" x14ac:dyDescent="0.25">
      <c r="A247" s="96" t="s">
        <v>572</v>
      </c>
      <c r="B247" s="97" t="s">
        <v>603</v>
      </c>
      <c r="C247" s="98"/>
      <c r="D247" s="97"/>
      <c r="E247" s="98"/>
      <c r="F247" s="99"/>
      <c r="G247" s="99"/>
    </row>
    <row r="248" spans="1:7" ht="48.75" x14ac:dyDescent="0.25">
      <c r="A248" s="46" t="s">
        <v>572</v>
      </c>
      <c r="B248" s="47" t="s">
        <v>603</v>
      </c>
      <c r="C248" s="61" t="s">
        <v>573</v>
      </c>
      <c r="D248" s="47" t="s">
        <v>634</v>
      </c>
      <c r="E248" s="61"/>
      <c r="F248" s="51"/>
      <c r="G248" s="51"/>
    </row>
    <row r="249" spans="1:7" ht="60.75" x14ac:dyDescent="0.25">
      <c r="A249" s="42" t="s">
        <v>77</v>
      </c>
      <c r="B249" s="43" t="s">
        <v>603</v>
      </c>
      <c r="C249" s="43" t="s">
        <v>78</v>
      </c>
      <c r="D249" s="43" t="s">
        <v>79</v>
      </c>
      <c r="E249" s="43"/>
      <c r="F249" s="43"/>
      <c r="G249" s="43"/>
    </row>
    <row r="250" spans="1:7" ht="36.75" x14ac:dyDescent="0.25">
      <c r="A250" s="46" t="s">
        <v>77</v>
      </c>
      <c r="B250" s="47" t="s">
        <v>6</v>
      </c>
      <c r="C250" s="61" t="s">
        <v>80</v>
      </c>
      <c r="D250" s="47" t="s">
        <v>81</v>
      </c>
      <c r="E250" s="61"/>
      <c r="F250" s="51"/>
      <c r="G250" s="51"/>
    </row>
    <row r="251" spans="1:7" ht="72.75" x14ac:dyDescent="0.25">
      <c r="A251" s="44" t="s">
        <v>77</v>
      </c>
      <c r="B251" s="45" t="s">
        <v>6</v>
      </c>
      <c r="C251" s="62" t="s">
        <v>574</v>
      </c>
      <c r="D251" s="45" t="s">
        <v>366</v>
      </c>
      <c r="E251" s="62"/>
      <c r="F251" s="50"/>
      <c r="G251" s="50" t="s">
        <v>293</v>
      </c>
    </row>
    <row r="252" spans="1:7" ht="72.75" x14ac:dyDescent="0.25">
      <c r="A252" s="46" t="s">
        <v>77</v>
      </c>
      <c r="B252" s="47" t="s">
        <v>6</v>
      </c>
      <c r="C252" s="61" t="s">
        <v>82</v>
      </c>
      <c r="D252" s="47" t="s">
        <v>367</v>
      </c>
      <c r="E252" s="61" t="s">
        <v>83</v>
      </c>
      <c r="F252" s="51" t="s">
        <v>294</v>
      </c>
      <c r="G252" s="51" t="s">
        <v>295</v>
      </c>
    </row>
    <row r="253" spans="1:7" ht="48.75" x14ac:dyDescent="0.25">
      <c r="A253" s="44" t="s">
        <v>77</v>
      </c>
      <c r="B253" s="45" t="s">
        <v>6</v>
      </c>
      <c r="C253" s="62" t="s">
        <v>84</v>
      </c>
      <c r="D253" s="45" t="s">
        <v>368</v>
      </c>
      <c r="E253" s="62"/>
      <c r="F253" s="50"/>
      <c r="G253" s="50" t="s">
        <v>434</v>
      </c>
    </row>
    <row r="254" spans="1:7" ht="120.75" x14ac:dyDescent="0.25">
      <c r="A254" s="46" t="s">
        <v>77</v>
      </c>
      <c r="B254" s="47" t="s">
        <v>6</v>
      </c>
      <c r="C254" s="61" t="s">
        <v>85</v>
      </c>
      <c r="D254" s="47" t="s">
        <v>369</v>
      </c>
      <c r="E254" s="61" t="s">
        <v>86</v>
      </c>
      <c r="F254" s="51"/>
      <c r="G254" s="51" t="s">
        <v>296</v>
      </c>
    </row>
    <row r="255" spans="1:7" ht="144.75" x14ac:dyDescent="0.25">
      <c r="A255" s="44" t="s">
        <v>77</v>
      </c>
      <c r="B255" s="45" t="s">
        <v>6</v>
      </c>
      <c r="C255" s="62" t="s">
        <v>329</v>
      </c>
      <c r="D255" s="45" t="s">
        <v>370</v>
      </c>
      <c r="E255" s="62"/>
      <c r="F255" s="50"/>
      <c r="G255" s="50"/>
    </row>
    <row r="256" spans="1:7" ht="60.75" x14ac:dyDescent="0.25">
      <c r="A256" s="46" t="s">
        <v>77</v>
      </c>
      <c r="B256" s="47" t="s">
        <v>6</v>
      </c>
      <c r="C256" s="61" t="s">
        <v>330</v>
      </c>
      <c r="D256" s="47" t="s">
        <v>371</v>
      </c>
      <c r="E256" s="61"/>
      <c r="F256" s="51"/>
      <c r="G256" s="51"/>
    </row>
    <row r="257" spans="1:7" ht="156.75" x14ac:dyDescent="0.25">
      <c r="A257" s="44" t="s">
        <v>77</v>
      </c>
      <c r="B257" s="45" t="s">
        <v>6</v>
      </c>
      <c r="C257" s="62" t="s">
        <v>625</v>
      </c>
      <c r="D257" s="45" t="s">
        <v>372</v>
      </c>
      <c r="E257" s="62"/>
      <c r="F257" s="50" t="s">
        <v>297</v>
      </c>
      <c r="G257" s="50" t="s">
        <v>298</v>
      </c>
    </row>
    <row r="258" spans="1:7" ht="48.75" x14ac:dyDescent="0.25">
      <c r="A258" s="46" t="s">
        <v>77</v>
      </c>
      <c r="B258" s="47" t="s">
        <v>6</v>
      </c>
      <c r="C258" s="61" t="s">
        <v>87</v>
      </c>
      <c r="D258" s="47" t="s">
        <v>373</v>
      </c>
      <c r="E258" s="61"/>
      <c r="F258" s="51"/>
      <c r="G258" s="51"/>
    </row>
    <row r="259" spans="1:7" ht="72.75" x14ac:dyDescent="0.25">
      <c r="A259" s="44" t="s">
        <v>77</v>
      </c>
      <c r="B259" s="45" t="s">
        <v>11</v>
      </c>
      <c r="C259" s="62" t="s">
        <v>88</v>
      </c>
      <c r="D259" s="45" t="s">
        <v>374</v>
      </c>
      <c r="E259" s="62"/>
      <c r="F259" s="50"/>
      <c r="G259" s="50"/>
    </row>
    <row r="260" spans="1:7" ht="96.75" x14ac:dyDescent="0.25">
      <c r="A260" s="46" t="s">
        <v>77</v>
      </c>
      <c r="B260" s="47" t="s">
        <v>11</v>
      </c>
      <c r="C260" s="61" t="s">
        <v>89</v>
      </c>
      <c r="D260" s="47" t="s">
        <v>375</v>
      </c>
      <c r="E260" s="61"/>
      <c r="F260" s="51"/>
      <c r="G260" s="51"/>
    </row>
    <row r="261" spans="1:7" ht="48.75" x14ac:dyDescent="0.25">
      <c r="A261" s="44" t="s">
        <v>77</v>
      </c>
      <c r="B261" s="45" t="s">
        <v>11</v>
      </c>
      <c r="C261" s="62" t="s">
        <v>90</v>
      </c>
      <c r="D261" s="45" t="s">
        <v>91</v>
      </c>
      <c r="E261" s="62"/>
      <c r="F261" s="50" t="s">
        <v>435</v>
      </c>
      <c r="G261" s="50"/>
    </row>
    <row r="262" spans="1:7" ht="36.75" x14ac:dyDescent="0.25">
      <c r="A262" s="46" t="s">
        <v>77</v>
      </c>
      <c r="B262" s="47" t="s">
        <v>11</v>
      </c>
      <c r="C262" s="61" t="s">
        <v>92</v>
      </c>
      <c r="D262" s="47" t="s">
        <v>376</v>
      </c>
      <c r="E262" s="61"/>
      <c r="F262" s="51" t="s">
        <v>299</v>
      </c>
      <c r="G262" s="51" t="s">
        <v>300</v>
      </c>
    </row>
    <row r="263" spans="1:7" ht="60.75" x14ac:dyDescent="0.25">
      <c r="A263" s="44" t="s">
        <v>77</v>
      </c>
      <c r="B263" s="45" t="s">
        <v>11</v>
      </c>
      <c r="C263" s="62" t="s">
        <v>93</v>
      </c>
      <c r="D263" s="45" t="s">
        <v>94</v>
      </c>
      <c r="E263" s="62" t="s">
        <v>86</v>
      </c>
      <c r="F263" s="50" t="s">
        <v>301</v>
      </c>
      <c r="G263" s="50" t="s">
        <v>302</v>
      </c>
    </row>
    <row r="264" spans="1:7" ht="60.75" x14ac:dyDescent="0.25">
      <c r="A264" s="46" t="s">
        <v>77</v>
      </c>
      <c r="B264" s="47" t="s">
        <v>11</v>
      </c>
      <c r="C264" s="61" t="s">
        <v>331</v>
      </c>
      <c r="D264" s="47" t="s">
        <v>377</v>
      </c>
      <c r="E264" s="61"/>
      <c r="F264" s="51" t="s">
        <v>436</v>
      </c>
      <c r="G264" s="51" t="s">
        <v>300</v>
      </c>
    </row>
    <row r="265" spans="1:7" ht="72.75" x14ac:dyDescent="0.25">
      <c r="A265" s="44" t="s">
        <v>77</v>
      </c>
      <c r="B265" s="45" t="s">
        <v>11</v>
      </c>
      <c r="C265" s="62" t="s">
        <v>95</v>
      </c>
      <c r="D265" s="45" t="s">
        <v>378</v>
      </c>
      <c r="E265" s="62" t="s">
        <v>86</v>
      </c>
      <c r="F265" s="50"/>
      <c r="G265" s="50"/>
    </row>
    <row r="266" spans="1:7" ht="48.75" x14ac:dyDescent="0.25">
      <c r="A266" s="46" t="s">
        <v>77</v>
      </c>
      <c r="B266" s="47" t="s">
        <v>11</v>
      </c>
      <c r="C266" s="61" t="s">
        <v>96</v>
      </c>
      <c r="D266" s="47" t="s">
        <v>97</v>
      </c>
      <c r="E266" s="61"/>
      <c r="F266" s="51" t="s">
        <v>303</v>
      </c>
      <c r="G266" s="51" t="s">
        <v>437</v>
      </c>
    </row>
    <row r="267" spans="1:7" ht="156.75" x14ac:dyDescent="0.25">
      <c r="A267" s="44" t="s">
        <v>77</v>
      </c>
      <c r="B267" s="45" t="s">
        <v>11</v>
      </c>
      <c r="C267" s="62" t="s">
        <v>98</v>
      </c>
      <c r="D267" s="45" t="s">
        <v>626</v>
      </c>
      <c r="E267" s="62"/>
      <c r="F267" s="50" t="s">
        <v>304</v>
      </c>
      <c r="G267" s="50" t="s">
        <v>300</v>
      </c>
    </row>
    <row r="268" spans="1:7" ht="72.75" x14ac:dyDescent="0.25">
      <c r="A268" s="46" t="s">
        <v>77</v>
      </c>
      <c r="B268" s="47" t="s">
        <v>11</v>
      </c>
      <c r="C268" s="61" t="s">
        <v>332</v>
      </c>
      <c r="D268" s="47" t="s">
        <v>379</v>
      </c>
      <c r="E268" s="61"/>
      <c r="F268" s="51" t="s">
        <v>305</v>
      </c>
      <c r="G268" s="51" t="s">
        <v>306</v>
      </c>
    </row>
    <row r="269" spans="1:7" ht="48.75" x14ac:dyDescent="0.25">
      <c r="A269" s="44" t="s">
        <v>77</v>
      </c>
      <c r="B269" s="45" t="s">
        <v>70</v>
      </c>
      <c r="C269" s="62" t="s">
        <v>99</v>
      </c>
      <c r="D269" s="45" t="s">
        <v>380</v>
      </c>
      <c r="E269" s="62" t="s">
        <v>86</v>
      </c>
      <c r="F269" s="50"/>
      <c r="G269" s="50"/>
    </row>
    <row r="270" spans="1:7" ht="48.75" x14ac:dyDescent="0.25">
      <c r="A270" s="46" t="s">
        <v>77</v>
      </c>
      <c r="B270" s="47" t="s">
        <v>32</v>
      </c>
      <c r="C270" s="61" t="s">
        <v>333</v>
      </c>
      <c r="D270" s="47" t="s">
        <v>381</v>
      </c>
      <c r="E270" s="61"/>
      <c r="F270" s="51"/>
      <c r="G270" s="51"/>
    </row>
  </sheetData>
  <autoFilter ref="A1:G270"/>
  <hyperlinks>
    <hyperlink ref="C3" r:id="rId1" display="http://aka.ms/DADMAC2"/>
    <hyperlink ref="C7" r:id="rId2" display="http://aka.ms/DADMAC6"/>
    <hyperlink ref="C8" r:id="rId3" display="http://aka.ms/DADMAC12"/>
    <hyperlink ref="C9" r:id="rId4" display="http://aka.ms/DADMAC7"/>
    <hyperlink ref="C11" r:id="rId5" display="http://aka.ms/DADMAC9"/>
    <hyperlink ref="C14" r:id="rId6" display="http://aka.ms/DADMAC13"/>
    <hyperlink ref="C16" r:id="rId7" display="http://aka.ms/DDPATP2"/>
    <hyperlink ref="C17" r:id="rId8" display="http://aka.ms/DDPATP3"/>
    <hyperlink ref="C21" r:id="rId9" display="http://aka.ms/DDPATP7"/>
    <hyperlink ref="C32" r:id="rId10" display="http://aka.ms/DDPATP17"/>
    <hyperlink ref="C33" r:id="rId11" display="http://aka.ms/DDPATP18"/>
    <hyperlink ref="C34" r:id="rId12" display="http://aka.ms/DDPATP19"/>
    <hyperlink ref="C35" r:id="rId13" display="http://aka.ms/DAULog1"/>
    <hyperlink ref="C36" r:id="rId14" display="http://aka.ms/DAULog2"/>
    <hyperlink ref="C37" r:id="rId15" display="http://aka.ms/DAULog3"/>
    <hyperlink ref="C42" r:id="rId16" display="http://aka.ms/DAULog4"/>
    <hyperlink ref="C56" r:id="rId17" display="http://aka.ms/DAULog14"/>
    <hyperlink ref="C61" r:id="rId18" display="http://aka.ms/DAULog21"/>
    <hyperlink ref="C62" r:id="rId19" display="http://aka.ms/DAULog23"/>
    <hyperlink ref="C65" r:id="rId20" display="http://aka.ms/DAULog33"/>
    <hyperlink ref="C66" r:id="rId21" display="http://aka.ms/DAULog26"/>
    <hyperlink ref="C69" r:id="rId22" display="http://aka.ms/DAULog27"/>
    <hyperlink ref="C73" r:id="rId23" display="http://aka.ms/DAULog11"/>
    <hyperlink ref="C76" r:id="rId24" display="http://aka.ms/DAU600"/>
    <hyperlink ref="C90" r:id="rId25" display="https://aka.ms/DCM1423"/>
    <hyperlink ref="C96" r:id="rId26" display="http://aka.ms/DCMCLI28"/>
    <hyperlink ref="C118" r:id="rId27" display="http://aka.ms/DDPDIS8"/>
    <hyperlink ref="C124" r:id="rId28" display="http://aka.ms/DDPDIS14"/>
    <hyperlink ref="C126" r:id="rId29" display="http://aka.ms/DDMDEL2"/>
    <hyperlink ref="C129" r:id="rId30" display="http://aka.ms/DDMDEL5"/>
    <hyperlink ref="C132" r:id="rId31" display="http://aka.ms/DDPDL2"/>
    <hyperlink ref="C143" r:id="rId32" display="http://aka.ms/DDPDL13"/>
    <hyperlink ref="C144" r:id="rId33" display="http://aka.ms/DDPDL14"/>
    <hyperlink ref="C146" r:id="rId34" display="http://aka.ms/DDPDL16"/>
    <hyperlink ref="C150" r:id="rId35" display="http://aka.ms/DDPPRE15"/>
    <hyperlink ref="C151" r:id="rId36" display="http://aka.ms/DDPPRE2"/>
    <hyperlink ref="C157" r:id="rId37" display="http://aka.ms/DDPPRE7"/>
    <hyperlink ref="C175" r:id="rId38" display="http://aka.ms/DDPEnc2"/>
    <hyperlink ref="C183" r:id="rId39" display="http://aka.ms/DDPEnc10"/>
    <hyperlink ref="C189" r:id="rId40" display="http://aka.ms/DDPEnc16"/>
    <hyperlink ref="C191" r:id="rId41" display="https://aka.ms/dia201"/>
    <hyperlink ref="C192" r:id="rId42" display="http://aka.ms/DAUIA2"/>
    <hyperlink ref="C201" r:id="rId43" display="http://aka.ms/DAUIA6"/>
    <hyperlink ref="C207" r:id="rId44" display="http://aka.ms/DAUIA10"/>
    <hyperlink ref="C208" r:id="rId45" display="http://aka.ms/DAUIA11"/>
    <hyperlink ref="C212" r:id="rId46" display="http://aka.ms/DAUIA13"/>
    <hyperlink ref="C221" r:id="rId47" display="http://aka.ms/DIDIA2"/>
    <hyperlink ref="C226" r:id="rId48" display="http://aka.ms/DIDIA4"/>
    <hyperlink ref="C231" r:id="rId49" display="http://aka.ms/DDPIR2"/>
    <hyperlink ref="C232" r:id="rId50" display="http://aka.ms/DDPIR3"/>
    <hyperlink ref="C248" r:id="rId51" display="https://aka.ms/pol101"/>
    <hyperlink ref="C259" r:id="rId52" display="http://aka.ms/DUSRAC11"/>
    <hyperlink ref="C269" r:id="rId53" display="http://aka.ms/DUSRAC20"/>
    <hyperlink ref="C270" r:id="rId54" display="http://aka.ms/DUSRAC21"/>
    <hyperlink ref="E3" r:id="rId55" display="http://aka.ms/PADMAC2"/>
    <hyperlink ref="E4" r:id="rId56" display="http://aka.ms/PADMAC3"/>
    <hyperlink ref="E5" r:id="rId57" display="http://aka.ms/PADMAC4"/>
    <hyperlink ref="E6" r:id="rId58" display="http://aka.ms/PADMAC5"/>
    <hyperlink ref="E9" r:id="rId59" display="http://aka.ms/PADMAC7"/>
    <hyperlink ref="E10" r:id="rId60" display="http://aka.ms/PADMAC8"/>
    <hyperlink ref="E20" r:id="rId61" display="http://aka.ms/PDPATP6"/>
    <hyperlink ref="E24" r:id="rId62" display="http://aka.ms/PDPATP9"/>
    <hyperlink ref="E25" r:id="rId63" display="http://aka.ms/PDPATP10"/>
    <hyperlink ref="E26" r:id="rId64" display="http://aka.ms/PDPATP11"/>
    <hyperlink ref="E27" r:id="rId65" display="http://aka.ms/PDPATP12"/>
    <hyperlink ref="E32" r:id="rId66" display="http://aka.ms/PDPATP17"/>
    <hyperlink ref="E82" r:id="rId67" display="http://aka.ms/PCMCLI5"/>
    <hyperlink ref="E87" r:id="rId68" display="http://aka.ms/PCMCLI8"/>
    <hyperlink ref="E88" r:id="rId69" display="http://aka.ms/PCMCLI9"/>
    <hyperlink ref="E93" r:id="rId70" display="http://aka.ms/PCMCLI13"/>
    <hyperlink ref="E94" r:id="rId71" display="http://aka.ms/PCMCLI14"/>
    <hyperlink ref="E95" r:id="rId72" display="http://aka.ms/PCMCLI16"/>
    <hyperlink ref="E126" r:id="rId73" display="http://aka.ms/PDMDEL2"/>
    <hyperlink ref="E127" r:id="rId74" display="http://aka.ms/PDMDEL3"/>
    <hyperlink ref="E129" r:id="rId75" display="http://aka.ms/PDMDEL5"/>
    <hyperlink ref="E130" r:id="rId76" display="http://aka.ms/PDMDEL6"/>
    <hyperlink ref="E132" r:id="rId77" display="http://aka.ms/PDPDL2"/>
    <hyperlink ref="E133" r:id="rId78" display="http://aka.ms/PDPDL3"/>
    <hyperlink ref="E134" r:id="rId79" display="http://aka.ms/PDPDL4"/>
    <hyperlink ref="E135" r:id="rId80" display="http://aka.ms/PDPDL5"/>
    <hyperlink ref="E136" r:id="rId81" display="http://aka.ms/PDPDL6"/>
    <hyperlink ref="E137" r:id="rId82" display="http://aka.ms/PDPDL7"/>
    <hyperlink ref="E138" r:id="rId83" display="http://aka.ms/PDPDL8"/>
    <hyperlink ref="E139" r:id="rId84" display="http://aka.ms/PDPDL9"/>
    <hyperlink ref="E140" r:id="rId85" display="http://aka.ms/PDPDL10"/>
    <hyperlink ref="E150" r:id="rId86" display="http://aka.ms/PDPPRE15"/>
    <hyperlink ref="E154" r:id="rId87" display="http://aka.ms/PDPPRE4"/>
    <hyperlink ref="E155" r:id="rId88" display="http://aka.ms/PDPPRE5"/>
    <hyperlink ref="E160" r:id="rId89" display="http://aka.ms/PDPPRE10"/>
    <hyperlink ref="E163" r:id="rId90" display="http://aka.ms/PDPPRE13"/>
    <hyperlink ref="E175" r:id="rId91" display="http://aka.ms/PDPEnc2"/>
    <hyperlink ref="E185" r:id="rId92" display="http://aka.ms/PDPEnc12"/>
    <hyperlink ref="E186" r:id="rId93" display="http://aka.ms/PDPEnc13"/>
    <hyperlink ref="E188" r:id="rId94" display="http://aka.ms/PDPEnc15"/>
    <hyperlink ref="E193" r:id="rId95" display="http://aka.ms/PAUIA3"/>
    <hyperlink ref="E201" r:id="rId96" display="http://aka.ms/PAUIA6"/>
    <hyperlink ref="E204" r:id="rId97" display="http://aka.ms/PAUIA7"/>
    <hyperlink ref="E205" r:id="rId98" display="http://aka.ms/PAUIA8"/>
    <hyperlink ref="E206" r:id="rId99" display="http://aka.ms/PAUIA9"/>
    <hyperlink ref="E211" r:id="rId100" display="http://aka.ms/PAUIA12"/>
    <hyperlink ref="E221" r:id="rId101" display="http://aka.ms/PIDIA2"/>
    <hyperlink ref="E222" r:id="rId102" display="http://aka.ms/PIDIA3"/>
    <hyperlink ref="E226" r:id="rId103" display="http://aka.ms/PIDIA4"/>
    <hyperlink ref="E231" r:id="rId104" display="http://aka.ms/PDPIR2"/>
    <hyperlink ref="E232" r:id="rId105" display="http://aka.ms/PDPIR3"/>
    <hyperlink ref="E252" r:id="rId106" display="http://aka.ms/PUSRAC4"/>
    <hyperlink ref="E254" r:id="rId107" display="http://aka.ms/PUSRAC6"/>
    <hyperlink ref="E263" r:id="rId108" display="http://aka.ms/PUSRAC15"/>
    <hyperlink ref="E265" r:id="rId109" display="http://aka.ms/PUSRAC16"/>
    <hyperlink ref="E269" r:id="rId110" display="http://aka.ms/PUSRAC20"/>
    <hyperlink ref="C4" r:id="rId111" display="http://aka.ms/DADMAC3"/>
    <hyperlink ref="C5" r:id="rId112" display="http://aka.ms/DADMAC4"/>
    <hyperlink ref="C6" r:id="rId113" display="http://aka.ms/DADMAC5"/>
    <hyperlink ref="C10" r:id="rId114" display="http://aka.ms/DADMAC8"/>
    <hyperlink ref="C12" r:id="rId115" display="http://aka.ms/DADMAC10"/>
    <hyperlink ref="C13" r:id="rId116" display="http://aka.ms/DADMAC11"/>
    <hyperlink ref="C18" r:id="rId117" display="http://aka.ms/DDPATP4"/>
    <hyperlink ref="C19" r:id="rId118" display="http://aka.ms/DDPATP5"/>
    <hyperlink ref="C20" r:id="rId119" display="http://aka.ms/DDPATP6"/>
    <hyperlink ref="C22" r:id="rId120" display="http://aka.ms/DDPATP8"/>
    <hyperlink ref="C23" r:id="rId121" display="http://aka.ms/DDPATP20"/>
    <hyperlink ref="C24" r:id="rId122" display="http://aka.ms/DDPATP9"/>
    <hyperlink ref="C25" r:id="rId123" display="http://aka.ms/DDPATP10"/>
    <hyperlink ref="C26" r:id="rId124" display="http://aka.ms/DDPATP11"/>
    <hyperlink ref="C27" r:id="rId125" display="http://aka.ms/DDPATP12"/>
    <hyperlink ref="C28" r:id="rId126" display="http://aka.ms/DDPATP13"/>
    <hyperlink ref="C29" r:id="rId127" display="http://aka.ms/DDPATP14"/>
    <hyperlink ref="C30" r:id="rId128" display="http://aka.ms/DDPATP15"/>
    <hyperlink ref="C31" r:id="rId129" display="http://aka.ms/DDPATP16"/>
    <hyperlink ref="C38" r:id="rId130" display="http://aka.ms/daulog34"/>
    <hyperlink ref="C39" r:id="rId131" display="http://aka.ms/daulog35"/>
    <hyperlink ref="C40" r:id="rId132" display="http://aka.ms/daulog36"/>
    <hyperlink ref="C41" r:id="rId133" display="http://aka.ms/daulog37"/>
    <hyperlink ref="C43" r:id="rId134" display="http://aka.ms/DAULog5"/>
    <hyperlink ref="C45" r:id="rId135" display="http://aka.ms/DAULog6"/>
    <hyperlink ref="C46" r:id="rId136" display="http://aka.ms/DAULog7"/>
    <hyperlink ref="C47" r:id="rId137" display="http://aka.ms/DAULog8"/>
    <hyperlink ref="C48" r:id="rId138" display="http://aka.ms/DAULog9"/>
    <hyperlink ref="C49" r:id="rId139" display="http://aka.ms/DAULog10"/>
    <hyperlink ref="C50" r:id="rId140" display="https://aka.ms/daulog39"/>
    <hyperlink ref="C51" r:id="rId141" display="https://aka.ms/daulog40"/>
    <hyperlink ref="C52" r:id="rId142" display="https://aka.ms/daulog41"/>
    <hyperlink ref="C53" r:id="rId143" display="https://aka.ms/daulog42"/>
    <hyperlink ref="C54" r:id="rId144" display="https://aka.ms/daulog43"/>
    <hyperlink ref="C55" r:id="rId145" display="https://aka.ms/dau546"/>
    <hyperlink ref="C63" r:id="rId146" display="http://aka.ms/DAULog24"/>
    <hyperlink ref="C64" r:id="rId147" display="http://aka.ms/DAULog25"/>
    <hyperlink ref="C67" r:id="rId148" display="http://aka.ms/DAULog31"/>
    <hyperlink ref="C68" r:id="rId149" display="http://aka.ms/DAulog32"/>
    <hyperlink ref="C70" r:id="rId150" display="http://aka.ms/DAULog28"/>
    <hyperlink ref="C71" r:id="rId151" display="http://aka.ms/DAULog29"/>
    <hyperlink ref="C72" r:id="rId152" display="http://aka.ms/DAULog30"/>
    <hyperlink ref="C74" r:id="rId153" display="http://aka.ms/DAULog12"/>
    <hyperlink ref="C75" r:id="rId154" display="http://aka.ms/DAULog13"/>
    <hyperlink ref="C78" r:id="rId155" display="http://aka.ms/dcmcli27"/>
    <hyperlink ref="C79" r:id="rId156" display="https://aka.ms/dcm1402"/>
    <hyperlink ref="C81" r:id="rId157" display="http://aka.ms/DCMCLI4"/>
    <hyperlink ref="C82" r:id="rId158" display="http://aka.ms/DCMCLI5"/>
    <hyperlink ref="C83" r:id="rId159" display="https://aka.ms/DCMCLI6"/>
    <hyperlink ref="C84" r:id="rId160" display="https://aka.ms/DCM1415"/>
    <hyperlink ref="C85" r:id="rId161" display="https://aka.ms/dc1416"/>
    <hyperlink ref="C91" r:id="rId162" display="http://aka.ms/DCMCLI11"/>
    <hyperlink ref="C92" r:id="rId163" display="https://aka.ms/DCM1425"/>
    <hyperlink ref="C93" r:id="rId164" display="http://aka.ms/DCMCLI13"/>
    <hyperlink ref="C94" r:id="rId165" display="http://aka.ms/DCMCLI14"/>
    <hyperlink ref="C97" r:id="rId166" display="http://aka.ms/DCMCLI29"/>
    <hyperlink ref="C98" r:id="rId167" display="http://aka.ms/DCMCLI30"/>
    <hyperlink ref="C99" r:id="rId168" display="http://aka.ms/DCMCLI31"/>
    <hyperlink ref="C100" r:id="rId169" display="http://aka.ms/DCMCLI32"/>
    <hyperlink ref="C101" r:id="rId170" display="http://aka.ms/DCMCLI33"/>
    <hyperlink ref="C102" r:id="rId171" display="http://aka.ms/DCMCLI34"/>
    <hyperlink ref="C103" r:id="rId172" display="http://aka.ms/DCMCLI35"/>
    <hyperlink ref="C104" r:id="rId173" display="http://aka.ms/DCMCLI36"/>
    <hyperlink ref="C105" r:id="rId174" display="http://aka.ms/DCMCLI37"/>
    <hyperlink ref="C106" r:id="rId175" display="http://aka.ms/DCMCLI38"/>
    <hyperlink ref="C107" r:id="rId176" display="http://aka.ms/DCMCLI39"/>
    <hyperlink ref="C108" r:id="rId177" display="http://aka.ms/DCMCLI40"/>
    <hyperlink ref="C109" r:id="rId178" display="https://aka.ms/dcmcli41"/>
    <hyperlink ref="C112" r:id="rId179" display="http://aka.ms/DDPDIS3"/>
    <hyperlink ref="C113" r:id="rId180" display="http://aka.ms/DDPDIS4"/>
    <hyperlink ref="C114" r:id="rId181" display="http://aka.ms/DDPDIS5"/>
    <hyperlink ref="C116" r:id="rId182" display="http://aka.ms/DDPDIS7"/>
    <hyperlink ref="C117" r:id="rId183" display="https://aka.ms/DDI1016"/>
    <hyperlink ref="C127" r:id="rId184" display="http://aka.ms/DDMDEL3"/>
    <hyperlink ref="C128" r:id="rId185" display="http://aka.ms/DDMDEL4"/>
    <hyperlink ref="C130" r:id="rId186" display="http://aka.ms/DDMDEL6"/>
    <hyperlink ref="C133" r:id="rId187" display="http://aka.ms/DDPDL3"/>
    <hyperlink ref="C134" r:id="rId188" display="http://aka.ms/DDPDL4"/>
    <hyperlink ref="C135" r:id="rId189" display="http://aka.ms/DDPDL5"/>
    <hyperlink ref="C136" r:id="rId190" display="http://aka.ms/DDPDL6"/>
    <hyperlink ref="C137" r:id="rId191" display="http://aka.ms/DDPDL7"/>
    <hyperlink ref="C138" r:id="rId192" display="http://aka.ms/DDPDL8"/>
    <hyperlink ref="C139" r:id="rId193" display="http://aka.ms/DDPDL9"/>
    <hyperlink ref="C140" r:id="rId194" display="http://aka.ms/DDPDL10"/>
    <hyperlink ref="C141" r:id="rId195" display="http://aka.ms/DDPDL11"/>
    <hyperlink ref="C142" r:id="rId196" display="http://aka.ms/DDPDL12"/>
    <hyperlink ref="C145" r:id="rId197" display="http://aka.ms/DDPDL15"/>
    <hyperlink ref="C147" r:id="rId198" display="http://aka.ms/DDPDL17"/>
    <hyperlink ref="C148" r:id="rId199" display="https://aka.ms/DDL752"/>
    <hyperlink ref="C152" r:id="rId200" display="https://aka.ms/ddp920"/>
    <hyperlink ref="C153" r:id="rId201" display="http://aka.ms/DDPPRE3"/>
    <hyperlink ref="C154" r:id="rId202" display="http://aka.ms/DDPPRE4"/>
    <hyperlink ref="C155" r:id="rId203" display="http://aka.ms/DDPPRE5"/>
    <hyperlink ref="C156" r:id="rId204" display="http://aka.ms/DDPPRE6"/>
    <hyperlink ref="C158" r:id="rId205" display="http://aka.ms/DDPPRE8"/>
    <hyperlink ref="C159" r:id="rId206" display="http://aka.ms/DDPPRE9"/>
    <hyperlink ref="C160" r:id="rId207" display="http://aka.ms/DDPPRE10"/>
    <hyperlink ref="C161" r:id="rId208" display="http://aka.ms/DDPPRE11"/>
    <hyperlink ref="C163" r:id="rId209" display="http://aka.ms/DDPPRE13"/>
    <hyperlink ref="C164" r:id="rId210" display="http://aka.ms/DDPPRE14"/>
    <hyperlink ref="C167" r:id="rId211" display="http://aka.ms/DDPDR3"/>
    <hyperlink ref="C168" r:id="rId212" display="http://aka.ms/DDPDR4"/>
    <hyperlink ref="C169" r:id="rId213" display="http://aka.ms/DDPDR5"/>
    <hyperlink ref="C171" r:id="rId214" display="http://aka.ms/DDPDR7"/>
    <hyperlink ref="C172" r:id="rId215" display="http://aka.ms/DDPDR8"/>
    <hyperlink ref="C173" r:id="rId216" display="http://aka.ms/DDPDR9"/>
    <hyperlink ref="C176" r:id="rId217" display="http://aka.ms/DDPEnc3"/>
    <hyperlink ref="C177" r:id="rId218" display="http://aka.ms/DDPEnc4"/>
    <hyperlink ref="C178" r:id="rId219" display="http://aka.ms/DDPEnc5"/>
    <hyperlink ref="C179" r:id="rId220" display="http://aka.ms/DDPEnc6"/>
    <hyperlink ref="C180" r:id="rId221" display="http://aka.ms/DDPEnc7"/>
    <hyperlink ref="C181" r:id="rId222" display="http://aka.ms/DDPEnc8"/>
    <hyperlink ref="C182" r:id="rId223" display="http://aka.ms/DDPEnc9"/>
    <hyperlink ref="C185" r:id="rId224" display="http://aka.ms/DDPEnc12"/>
    <hyperlink ref="C186" r:id="rId225" display="http://aka.ms/DDPEnc13"/>
    <hyperlink ref="C187" r:id="rId226" display="http://aka.ms/DDPEnc14"/>
    <hyperlink ref="C188" r:id="rId227" display="http://aka.ms/DDPEnc15"/>
    <hyperlink ref="C193" r:id="rId228" display="http://aka.ms/DAUIA3"/>
    <hyperlink ref="C194" r:id="rId229" display="http://aka.ms/DAUIA21"/>
    <hyperlink ref="C196" r:id="rId230" display="http://aka.ms/DAUIA4"/>
    <hyperlink ref="C200" r:id="rId231" display="https://aka.ms/DIA218"/>
    <hyperlink ref="C204" r:id="rId232" display="http://aka.ms/DAUIA7"/>
    <hyperlink ref="C205" r:id="rId233" display="http://aka.ms/DAUIA8"/>
    <hyperlink ref="C206" r:id="rId234" display="http://aka.ms/DAUIA9"/>
    <hyperlink ref="C209" r:id="rId235" display="https://aka.ms/IA241"/>
    <hyperlink ref="C210" r:id="rId236" display="https://aka.ms/IA242"/>
    <hyperlink ref="C211" r:id="rId237" display="http://aka.ms/DAUIA12"/>
    <hyperlink ref="C213" r:id="rId238" display="http://aka.ms/DAUIA14"/>
    <hyperlink ref="C214" r:id="rId239" display="http://aka.ms/DAUIA15"/>
    <hyperlink ref="C215" r:id="rId240" display="http://aka.ms/DAUIA16"/>
    <hyperlink ref="C216" r:id="rId241" display="http://aka.ms/DAUIA17"/>
    <hyperlink ref="C217" r:id="rId242" display="http://aka.ms/DAUIA18"/>
    <hyperlink ref="C218" r:id="rId243" display="http://aka.ms/DAUIA19"/>
    <hyperlink ref="C219" r:id="rId244" display="http://aka.ms/DAUIA20"/>
    <hyperlink ref="C227" r:id="rId245" display="http://aka.ms/DIDIA5"/>
    <hyperlink ref="C228" r:id="rId246" display="http://aka.ms/DIDIA6"/>
    <hyperlink ref="C233" r:id="rId247" display="http://aka.ms/DDPIR14"/>
    <hyperlink ref="C234" r:id="rId248" display="http://aka.ms/DDPIR4"/>
    <hyperlink ref="C235" r:id="rId249" display="http://aka.ms/DDPIR13"/>
    <hyperlink ref="C237" r:id="rId250" display="http://aka.ms/DDPIR6"/>
    <hyperlink ref="C238" r:id="rId251" display="http://aka.ms/DDPIR7"/>
    <hyperlink ref="C239" r:id="rId252" display="http://aka.ms/DDPIR8"/>
    <hyperlink ref="C240" r:id="rId253" display="http://aka.ms/DDPIR9"/>
    <hyperlink ref="C244" r:id="rId254" display="http://aka.ms/DO365NS2"/>
    <hyperlink ref="C245" r:id="rId255" display="http://aka.ms/DO365NS3"/>
    <hyperlink ref="C246" r:id="rId256" display="http://aka.ms/DO365NS5"/>
    <hyperlink ref="C251" r:id="rId257" display="http://aka.ms/DUSRAC3"/>
    <hyperlink ref="C252" r:id="rId258" display="http://aka.ms/DUSRAC4"/>
    <hyperlink ref="C253" r:id="rId259" display="http://aka.ms/DUSRAC5"/>
    <hyperlink ref="C254" r:id="rId260" display="http://aka.ms/DUSRAC6"/>
    <hyperlink ref="C255" r:id="rId261" display="http://aka.ms/DUSRAC7"/>
    <hyperlink ref="C256" r:id="rId262" display="http://aka.ms/DUSRAC8"/>
    <hyperlink ref="C257" r:id="rId263" display="http://aka.ms/DUSRAC9"/>
    <hyperlink ref="C258" r:id="rId264" display="http://aka.ms/DUSRAC10"/>
    <hyperlink ref="C260" r:id="rId265" display="http://aka.ms/DUSRAC12"/>
    <hyperlink ref="C261" r:id="rId266" display="http://aka.ms/DUSRAC13"/>
    <hyperlink ref="C262" r:id="rId267" display="http://aka.ms/DUSRAC14"/>
    <hyperlink ref="C263" r:id="rId268" display="http://aka.ms/DUSRAC15"/>
    <hyperlink ref="C264" r:id="rId269" display="http://aka.ms/DUSRAC22"/>
    <hyperlink ref="C265" r:id="rId270" display="http://aka.ms/DUSRAC16"/>
    <hyperlink ref="C266" r:id="rId271" display="http://aka.ms/DUSRAC17"/>
    <hyperlink ref="C267" r:id="rId272" display="http://aka.ms/DUSRAC18"/>
    <hyperlink ref="C268" r:id="rId273" display="http://aka.ms/DUSRAC19"/>
    <hyperlink ref="C57" r:id="rId274" display="https://aka.ms/daulog44"/>
    <hyperlink ref="C58" r:id="rId275" display="https://aka.ms/daulog45"/>
    <hyperlink ref="C59" r:id="rId276" display="https://aka.ms/daulog46"/>
    <hyperlink ref="C60" r:id="rId277" display="https://aka.ms/daulog47"/>
    <hyperlink ref="C44" r:id="rId278" display="Exchange Mailbox Activities (Audit Log Search)"/>
    <hyperlink ref="C119:C123" r:id="rId279" display="Near-Duplicate Detection"/>
    <hyperlink ref="C198" r:id="rId280" display="Password Age Meets Policy"/>
    <hyperlink ref="C199" r:id="rId281" display="Password Age Policy &lt; 60 Days"/>
  </hyperlinks>
  <pageMargins left="0.7" right="0.7" top="0.75" bottom="0.75" header="0.3" footer="0.3"/>
  <pageSetup orientation="portrait" r:id="rId282"/>
  <drawing r:id="rId28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zoomScaleNormal="100" workbookViewId="0">
      <pane ySplit="1" topLeftCell="A2" activePane="bottomLeft" state="frozen"/>
      <selection pane="bottomLeft" activeCell="A2" sqref="A2"/>
    </sheetView>
  </sheetViews>
  <sheetFormatPr defaultColWidth="9.140625" defaultRowHeight="15" x14ac:dyDescent="0.25"/>
  <cols>
    <col min="1" max="1" width="11.42578125" style="2" customWidth="1"/>
    <col min="2" max="2" width="17.140625" style="2" customWidth="1"/>
    <col min="3" max="3" width="18.85546875" style="2" customWidth="1"/>
    <col min="4" max="4" width="57" style="2" customWidth="1"/>
    <col min="5" max="5" width="25.85546875" style="2" customWidth="1"/>
    <col min="6" max="6" width="27.42578125" style="2" customWidth="1"/>
    <col min="7" max="7" width="26.5703125" style="2" customWidth="1"/>
    <col min="8" max="16384" width="9.140625" style="1"/>
  </cols>
  <sheetData>
    <row r="1" spans="1:7" ht="15.75" thickBot="1" x14ac:dyDescent="0.3">
      <c r="A1" s="40" t="s">
        <v>30</v>
      </c>
      <c r="B1" s="41" t="s">
        <v>0</v>
      </c>
      <c r="C1" s="41" t="s">
        <v>575</v>
      </c>
      <c r="D1" s="41" t="s">
        <v>2</v>
      </c>
      <c r="E1" s="41" t="s">
        <v>576</v>
      </c>
      <c r="F1" s="41" t="s">
        <v>276</v>
      </c>
      <c r="G1" s="41" t="s">
        <v>440</v>
      </c>
    </row>
    <row r="2" spans="1:7" ht="121.5" thickTop="1" x14ac:dyDescent="0.25">
      <c r="A2" s="46" t="s">
        <v>65</v>
      </c>
      <c r="B2" s="47" t="s">
        <v>559</v>
      </c>
      <c r="C2" s="61" t="s">
        <v>286</v>
      </c>
      <c r="D2" s="47" t="s">
        <v>359</v>
      </c>
      <c r="E2" s="61" t="s">
        <v>433</v>
      </c>
      <c r="F2" s="51"/>
      <c r="G2" s="51"/>
    </row>
    <row r="3" spans="1:7" ht="156.75" x14ac:dyDescent="0.25">
      <c r="A3" s="44" t="s">
        <v>65</v>
      </c>
      <c r="B3" s="45" t="s">
        <v>6</v>
      </c>
      <c r="C3" s="62" t="s">
        <v>68</v>
      </c>
      <c r="D3" s="45" t="s">
        <v>360</v>
      </c>
      <c r="E3" s="62" t="s">
        <v>433</v>
      </c>
      <c r="F3" s="50" t="s">
        <v>287</v>
      </c>
      <c r="G3" s="50" t="s">
        <v>288</v>
      </c>
    </row>
    <row r="4" spans="1:7" ht="156.75" x14ac:dyDescent="0.25">
      <c r="A4" s="46" t="s">
        <v>65</v>
      </c>
      <c r="B4" s="47" t="s">
        <v>11</v>
      </c>
      <c r="C4" s="61" t="s">
        <v>69</v>
      </c>
      <c r="D4" s="47" t="s">
        <v>360</v>
      </c>
      <c r="E4" s="61" t="s">
        <v>433</v>
      </c>
      <c r="F4" s="51" t="s">
        <v>287</v>
      </c>
      <c r="G4" s="51" t="s">
        <v>288</v>
      </c>
    </row>
    <row r="5" spans="1:7" ht="156.75" x14ac:dyDescent="0.25">
      <c r="A5" s="44" t="s">
        <v>65</v>
      </c>
      <c r="B5" s="45" t="s">
        <v>70</v>
      </c>
      <c r="C5" s="62" t="s">
        <v>328</v>
      </c>
      <c r="D5" s="45" t="s">
        <v>360</v>
      </c>
      <c r="E5" s="62" t="s">
        <v>433</v>
      </c>
      <c r="F5" s="50" t="s">
        <v>287</v>
      </c>
      <c r="G5" s="50" t="s">
        <v>288</v>
      </c>
    </row>
    <row r="6" spans="1:7" ht="60.75" x14ac:dyDescent="0.25">
      <c r="A6" s="46" t="s">
        <v>65</v>
      </c>
      <c r="B6" s="47" t="s">
        <v>32</v>
      </c>
      <c r="C6" s="61" t="s">
        <v>289</v>
      </c>
      <c r="D6" s="47" t="s">
        <v>290</v>
      </c>
      <c r="E6" s="61"/>
      <c r="F6" s="51"/>
      <c r="G6" s="51"/>
    </row>
    <row r="7" spans="1:7" ht="84.75" x14ac:dyDescent="0.25">
      <c r="A7" s="44" t="s">
        <v>65</v>
      </c>
      <c r="B7" s="45" t="s">
        <v>6</v>
      </c>
      <c r="C7" s="62" t="s">
        <v>72</v>
      </c>
      <c r="D7" s="45" t="s">
        <v>362</v>
      </c>
      <c r="E7" s="62" t="s">
        <v>73</v>
      </c>
      <c r="F7" s="50"/>
      <c r="G7" s="50"/>
    </row>
    <row r="8" spans="1:7" ht="84.75" x14ac:dyDescent="0.25">
      <c r="A8" s="46" t="s">
        <v>65</v>
      </c>
      <c r="B8" s="47" t="s">
        <v>6</v>
      </c>
      <c r="C8" s="61" t="s">
        <v>452</v>
      </c>
      <c r="D8" s="47" t="s">
        <v>453</v>
      </c>
      <c r="E8" s="61" t="s">
        <v>74</v>
      </c>
      <c r="F8" s="51" t="s">
        <v>291</v>
      </c>
      <c r="G8" s="51" t="s">
        <v>292</v>
      </c>
    </row>
    <row r="9" spans="1:7" ht="132.75" x14ac:dyDescent="0.25">
      <c r="A9" s="44" t="s">
        <v>65</v>
      </c>
      <c r="B9" s="45" t="s">
        <v>11</v>
      </c>
      <c r="C9" s="62" t="s">
        <v>75</v>
      </c>
      <c r="D9" s="45" t="s">
        <v>363</v>
      </c>
      <c r="E9" s="62"/>
      <c r="F9" s="50" t="s">
        <v>449</v>
      </c>
      <c r="G9" s="50" t="s">
        <v>448</v>
      </c>
    </row>
    <row r="10" spans="1:7" ht="108.75" x14ac:dyDescent="0.25">
      <c r="A10" s="46" t="s">
        <v>65</v>
      </c>
      <c r="B10" s="47" t="s">
        <v>11</v>
      </c>
      <c r="C10" s="61" t="s">
        <v>454</v>
      </c>
      <c r="D10" s="47" t="s">
        <v>364</v>
      </c>
      <c r="E10" s="61"/>
      <c r="F10" s="51" t="s">
        <v>449</v>
      </c>
      <c r="G10" s="51" t="s">
        <v>448</v>
      </c>
    </row>
    <row r="11" spans="1:7" ht="107.25" customHeight="1" x14ac:dyDescent="0.25">
      <c r="A11" s="44" t="s">
        <v>65</v>
      </c>
      <c r="B11" s="45" t="s">
        <v>559</v>
      </c>
      <c r="C11" s="62" t="s">
        <v>455</v>
      </c>
      <c r="D11" s="45" t="s">
        <v>456</v>
      </c>
      <c r="E11" s="62"/>
      <c r="F11" s="50"/>
      <c r="G11" s="50"/>
    </row>
    <row r="12" spans="1:7" ht="96.75" x14ac:dyDescent="0.25">
      <c r="A12" s="46" t="s">
        <v>100</v>
      </c>
      <c r="B12" s="47" t="s">
        <v>32</v>
      </c>
      <c r="C12" s="61" t="s">
        <v>102</v>
      </c>
      <c r="D12" s="47" t="s">
        <v>382</v>
      </c>
      <c r="E12" s="61"/>
      <c r="F12" s="51"/>
      <c r="G12" s="51"/>
    </row>
    <row r="13" spans="1:7" ht="48.75" x14ac:dyDescent="0.25">
      <c r="A13" s="44" t="s">
        <v>100</v>
      </c>
      <c r="B13" s="45" t="s">
        <v>32</v>
      </c>
      <c r="C13" s="62" t="s">
        <v>103</v>
      </c>
      <c r="D13" s="45" t="s">
        <v>307</v>
      </c>
      <c r="E13" s="62"/>
      <c r="F13" s="50"/>
      <c r="G13" s="50"/>
    </row>
    <row r="14" spans="1:7" ht="96.75" x14ac:dyDescent="0.25">
      <c r="A14" s="46" t="s">
        <v>100</v>
      </c>
      <c r="B14" s="47" t="s">
        <v>6</v>
      </c>
      <c r="C14" s="61" t="s">
        <v>104</v>
      </c>
      <c r="D14" s="47" t="s">
        <v>384</v>
      </c>
      <c r="E14" s="61"/>
      <c r="F14" s="51"/>
      <c r="G14" s="51"/>
    </row>
    <row r="15" spans="1:7" ht="168.75" x14ac:dyDescent="0.25">
      <c r="A15" s="46" t="s">
        <v>100</v>
      </c>
      <c r="B15" s="47" t="s">
        <v>6</v>
      </c>
      <c r="C15" s="61" t="s">
        <v>105</v>
      </c>
      <c r="D15" s="47" t="s">
        <v>385</v>
      </c>
      <c r="E15" s="61"/>
      <c r="F15" s="51" t="s">
        <v>450</v>
      </c>
      <c r="G15" s="51" t="s">
        <v>451</v>
      </c>
    </row>
    <row r="16" spans="1:7" ht="144.75" x14ac:dyDescent="0.25">
      <c r="A16" s="44" t="s">
        <v>100</v>
      </c>
      <c r="B16" s="45" t="s">
        <v>6</v>
      </c>
      <c r="C16" s="62" t="s">
        <v>106</v>
      </c>
      <c r="D16" s="45" t="s">
        <v>386</v>
      </c>
      <c r="E16" s="62"/>
      <c r="F16" s="50"/>
      <c r="G16" s="50"/>
    </row>
    <row r="17" spans="1:7" ht="144.75" x14ac:dyDescent="0.25">
      <c r="A17" s="46" t="s">
        <v>100</v>
      </c>
      <c r="B17" s="47" t="s">
        <v>6</v>
      </c>
      <c r="C17" s="61" t="s">
        <v>471</v>
      </c>
      <c r="D17" s="47" t="s">
        <v>388</v>
      </c>
      <c r="E17" s="61"/>
      <c r="F17" s="51"/>
      <c r="G17" s="51" t="s">
        <v>308</v>
      </c>
    </row>
    <row r="18" spans="1:7" ht="84.75" x14ac:dyDescent="0.25">
      <c r="A18" s="44" t="s">
        <v>100</v>
      </c>
      <c r="B18" s="45" t="s">
        <v>559</v>
      </c>
      <c r="C18" s="62" t="s">
        <v>473</v>
      </c>
      <c r="D18" s="45" t="s">
        <v>474</v>
      </c>
      <c r="E18" s="62"/>
      <c r="F18" s="50"/>
      <c r="G18" s="50"/>
    </row>
    <row r="19" spans="1:7" ht="60.75" x14ac:dyDescent="0.25">
      <c r="A19" s="46" t="s">
        <v>100</v>
      </c>
      <c r="B19" s="47" t="s">
        <v>559</v>
      </c>
      <c r="C19" s="61" t="s">
        <v>475</v>
      </c>
      <c r="D19" s="47" t="s">
        <v>476</v>
      </c>
      <c r="E19" s="61"/>
      <c r="F19" s="51"/>
      <c r="G19" s="51"/>
    </row>
    <row r="20" spans="1:7" ht="120.75" x14ac:dyDescent="0.25">
      <c r="A20" s="44" t="s">
        <v>100</v>
      </c>
      <c r="B20" s="45" t="s">
        <v>559</v>
      </c>
      <c r="C20" s="62" t="s">
        <v>477</v>
      </c>
      <c r="D20" s="45" t="s">
        <v>478</v>
      </c>
      <c r="E20" s="62"/>
      <c r="F20" s="50"/>
      <c r="G20" s="50"/>
    </row>
    <row r="21" spans="1:7" ht="60.75" x14ac:dyDescent="0.25">
      <c r="A21" s="46" t="s">
        <v>100</v>
      </c>
      <c r="B21" s="47" t="s">
        <v>559</v>
      </c>
      <c r="C21" s="61" t="s">
        <v>479</v>
      </c>
      <c r="D21" s="47" t="s">
        <v>480</v>
      </c>
      <c r="E21" s="61"/>
      <c r="F21" s="51"/>
      <c r="G21" s="51"/>
    </row>
    <row r="22" spans="1:7" ht="108.75" x14ac:dyDescent="0.25">
      <c r="A22" s="44" t="s">
        <v>100</v>
      </c>
      <c r="B22" s="45" t="s">
        <v>559</v>
      </c>
      <c r="C22" s="62" t="s">
        <v>481</v>
      </c>
      <c r="D22" s="45" t="s">
        <v>482</v>
      </c>
      <c r="E22" s="62"/>
      <c r="F22" s="50"/>
      <c r="G22" s="50"/>
    </row>
    <row r="23" spans="1:7" ht="144.75" x14ac:dyDescent="0.25">
      <c r="A23" s="46" t="s">
        <v>100</v>
      </c>
      <c r="B23" s="47" t="s">
        <v>11</v>
      </c>
      <c r="C23" s="61" t="s">
        <v>489</v>
      </c>
      <c r="D23" s="47" t="s">
        <v>490</v>
      </c>
      <c r="E23" s="61"/>
      <c r="F23" s="51" t="s">
        <v>310</v>
      </c>
      <c r="G23" s="51" t="s">
        <v>311</v>
      </c>
    </row>
    <row r="24" spans="1:7" ht="372.75" x14ac:dyDescent="0.25">
      <c r="A24" s="44" t="s">
        <v>100</v>
      </c>
      <c r="B24" s="45" t="s">
        <v>604</v>
      </c>
      <c r="C24" s="62" t="s">
        <v>616</v>
      </c>
      <c r="D24" s="45" t="s">
        <v>617</v>
      </c>
      <c r="E24" s="62"/>
      <c r="F24" s="50" t="s">
        <v>312</v>
      </c>
      <c r="G24" s="50" t="s">
        <v>313</v>
      </c>
    </row>
    <row r="25" spans="1:7" ht="132.75" x14ac:dyDescent="0.25">
      <c r="A25" s="44" t="s">
        <v>100</v>
      </c>
      <c r="B25" s="45" t="s">
        <v>6</v>
      </c>
      <c r="C25" s="62" t="s">
        <v>335</v>
      </c>
      <c r="D25" s="45" t="s">
        <v>391</v>
      </c>
      <c r="E25" s="62"/>
      <c r="F25" s="50"/>
      <c r="G25" s="50"/>
    </row>
    <row r="26" spans="1:7" ht="132.75" x14ac:dyDescent="0.25">
      <c r="A26" s="46" t="s">
        <v>100</v>
      </c>
      <c r="B26" s="47" t="s">
        <v>6</v>
      </c>
      <c r="C26" s="61" t="s">
        <v>336</v>
      </c>
      <c r="D26" s="47" t="s">
        <v>392</v>
      </c>
      <c r="E26" s="61"/>
      <c r="F26" s="51"/>
      <c r="G26" s="51"/>
    </row>
    <row r="27" spans="1:7" ht="84.75" x14ac:dyDescent="0.25">
      <c r="A27" s="44" t="s">
        <v>100</v>
      </c>
      <c r="B27" s="45" t="s">
        <v>559</v>
      </c>
      <c r="C27" s="62" t="s">
        <v>494</v>
      </c>
      <c r="D27" s="45" t="s">
        <v>495</v>
      </c>
      <c r="E27" s="62"/>
      <c r="F27" s="50"/>
      <c r="G27" s="50"/>
    </row>
    <row r="28" spans="1:7" ht="96.75" x14ac:dyDescent="0.25">
      <c r="A28" s="46" t="s">
        <v>42</v>
      </c>
      <c r="B28" s="47" t="s">
        <v>32</v>
      </c>
      <c r="C28" s="61" t="s">
        <v>549</v>
      </c>
      <c r="D28" s="47" t="s">
        <v>348</v>
      </c>
      <c r="E28" s="61"/>
      <c r="F28" s="51"/>
      <c r="G28" s="51"/>
    </row>
    <row r="29" spans="1:7" ht="36.75" x14ac:dyDescent="0.25">
      <c r="A29" s="44" t="s">
        <v>31</v>
      </c>
      <c r="B29" s="45" t="s">
        <v>32</v>
      </c>
      <c r="C29" s="62" t="s">
        <v>275</v>
      </c>
      <c r="D29" s="45" t="s">
        <v>589</v>
      </c>
      <c r="E29" s="62"/>
      <c r="F29" s="50"/>
      <c r="G29" s="50" t="s">
        <v>280</v>
      </c>
    </row>
    <row r="30" spans="1:7" ht="24.75" x14ac:dyDescent="0.25">
      <c r="A30" s="46" t="s">
        <v>31</v>
      </c>
      <c r="B30" s="47" t="s">
        <v>559</v>
      </c>
      <c r="C30" s="61" t="s">
        <v>560</v>
      </c>
      <c r="D30" s="47" t="s">
        <v>561</v>
      </c>
      <c r="E30" s="61"/>
      <c r="F30" s="51"/>
      <c r="G30" s="51"/>
    </row>
    <row r="31" spans="1:7" ht="48.75" x14ac:dyDescent="0.25">
      <c r="A31" s="48" t="s">
        <v>77</v>
      </c>
      <c r="B31" s="49" t="s">
        <v>6</v>
      </c>
      <c r="C31" s="63" t="s">
        <v>84</v>
      </c>
      <c r="D31" s="49" t="s">
        <v>368</v>
      </c>
      <c r="E31" s="63"/>
      <c r="F31" s="52"/>
      <c r="G31" s="52" t="s">
        <v>434</v>
      </c>
    </row>
  </sheetData>
  <hyperlinks>
    <hyperlink ref="C2" r:id="rId1" display="http://aka.ms/DADMAC2"/>
    <hyperlink ref="E2" r:id="rId2" display="http://aka.ms/PADMAC2"/>
    <hyperlink ref="E3" r:id="rId3" display="http://aka.ms/PADMAC3"/>
    <hyperlink ref="E4" r:id="rId4" display="http://aka.ms/PADMAC4"/>
    <hyperlink ref="E5" r:id="rId5" display="http://aka.ms/PADMAC5"/>
    <hyperlink ref="C3" r:id="rId6" display="http://aka.ms/DADMAC3"/>
    <hyperlink ref="C4" r:id="rId7" display="http://aka.ms/DADMAC4"/>
    <hyperlink ref="C5" r:id="rId8" display="http://aka.ms/DADMAC5"/>
    <hyperlink ref="C6" r:id="rId9" display="http://aka.ms/DADMAC12"/>
    <hyperlink ref="C7" r:id="rId10" display="http://aka.ms/DADMAC7"/>
    <hyperlink ref="C9" r:id="rId11" display="http://aka.ms/DADMAC9"/>
    <hyperlink ref="E7" r:id="rId12" display="http://aka.ms/PADMAC7"/>
    <hyperlink ref="E8" r:id="rId13" display="http://aka.ms/PADMAC8"/>
    <hyperlink ref="C8" r:id="rId14" display="http://aka.ms/DADMAC8"/>
    <hyperlink ref="C10" r:id="rId15" display="http://aka.ms/DADMAC10"/>
    <hyperlink ref="C11" r:id="rId16" display="http://aka.ms/DADMAC13"/>
    <hyperlink ref="C12" r:id="rId17" display="http://aka.ms/DAULog2"/>
    <hyperlink ref="C13" r:id="rId18" display="http://aka.ms/DAULog3"/>
    <hyperlink ref="C14" r:id="rId19" display="http://aka.ms/DAULog5"/>
    <hyperlink ref="C15" r:id="rId20" display="http://aka.ms/DAULog6"/>
    <hyperlink ref="C16" r:id="rId21" display="http://aka.ms/DAULog7"/>
    <hyperlink ref="C17" r:id="rId22" display="http://aka.ms/DAULog9"/>
    <hyperlink ref="C18" r:id="rId23" display="https://aka.ms/daulog39"/>
    <hyperlink ref="C19" r:id="rId24" display="https://aka.ms/daulog40"/>
    <hyperlink ref="C20" r:id="rId25" display="https://aka.ms/daulog41"/>
    <hyperlink ref="C21" r:id="rId26" display="https://aka.ms/daulog42"/>
    <hyperlink ref="C22" r:id="rId27" display="https://aka.ms/daulog43"/>
    <hyperlink ref="C24" r:id="rId28" display="http://aka.ms/DAULog23"/>
    <hyperlink ref="C27" r:id="rId29" display="http://aka.ms/DAU600"/>
    <hyperlink ref="C25" r:id="rId30" display="http://aka.ms/DAULog12"/>
    <hyperlink ref="C26" r:id="rId31" display="http://aka.ms/DAULog13"/>
    <hyperlink ref="C31" r:id="rId32" display="http://aka.ms/DUSRAC5"/>
  </hyperlinks>
  <pageMargins left="0.7" right="0.7" top="0.75" bottom="0.75" header="0.3" footer="0.3"/>
  <pageSetup orientation="portrait" r:id="rId33"/>
  <drawing r:id="rId3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6"/>
  <sheetViews>
    <sheetView workbookViewId="0">
      <pane ySplit="1" topLeftCell="A2" activePane="bottomLeft" state="frozen"/>
      <selection pane="bottomLeft" activeCell="A2" sqref="A2"/>
    </sheetView>
  </sheetViews>
  <sheetFormatPr defaultRowHeight="15" x14ac:dyDescent="0.25"/>
  <cols>
    <col min="1" max="1" width="9.28515625" style="24"/>
    <col min="2" max="2" width="10" style="24" customWidth="1"/>
    <col min="3" max="3" width="23" style="24" customWidth="1"/>
    <col min="4" max="4" width="59" style="66" customWidth="1"/>
    <col min="5" max="5" width="21" style="66" customWidth="1"/>
    <col min="6" max="6" width="24" style="66" customWidth="1"/>
    <col min="7" max="7" width="26.42578125" style="66" customWidth="1"/>
    <col min="8" max="19" width="9.140625" style="3"/>
  </cols>
  <sheetData>
    <row r="1" spans="1:7" ht="15.75" thickBot="1" x14ac:dyDescent="0.3">
      <c r="A1" s="40" t="s">
        <v>30</v>
      </c>
      <c r="B1" s="41" t="s">
        <v>0</v>
      </c>
      <c r="C1" s="41" t="s">
        <v>575</v>
      </c>
      <c r="D1" s="41" t="s">
        <v>2</v>
      </c>
      <c r="E1" s="41" t="s">
        <v>576</v>
      </c>
      <c r="F1" s="41" t="s">
        <v>276</v>
      </c>
      <c r="G1" s="41" t="s">
        <v>440</v>
      </c>
    </row>
    <row r="2" spans="1:7" ht="97.5" thickTop="1" x14ac:dyDescent="0.25">
      <c r="A2" s="46" t="s">
        <v>100</v>
      </c>
      <c r="B2" s="47" t="s">
        <v>32</v>
      </c>
      <c r="C2" s="61" t="s">
        <v>102</v>
      </c>
      <c r="D2" s="47" t="s">
        <v>382</v>
      </c>
      <c r="E2" s="61"/>
      <c r="F2" s="51"/>
      <c r="G2" s="51"/>
    </row>
    <row r="3" spans="1:7" ht="48.75" x14ac:dyDescent="0.25">
      <c r="A3" s="44" t="s">
        <v>100</v>
      </c>
      <c r="B3" s="45" t="s">
        <v>32</v>
      </c>
      <c r="C3" s="62" t="s">
        <v>103</v>
      </c>
      <c r="D3" s="45" t="s">
        <v>307</v>
      </c>
      <c r="E3" s="62"/>
      <c r="F3" s="50"/>
      <c r="G3" s="50"/>
    </row>
    <row r="4" spans="1:7" ht="60.75" x14ac:dyDescent="0.25">
      <c r="A4" s="46" t="s">
        <v>100</v>
      </c>
      <c r="B4" s="47" t="s">
        <v>37</v>
      </c>
      <c r="C4" s="61" t="s">
        <v>110</v>
      </c>
      <c r="D4" s="47" t="s">
        <v>395</v>
      </c>
      <c r="E4" s="61"/>
      <c r="F4" s="51"/>
      <c r="G4" s="51"/>
    </row>
    <row r="5" spans="1:7" ht="180.75" x14ac:dyDescent="0.25">
      <c r="A5" s="44" t="s">
        <v>100</v>
      </c>
      <c r="B5" s="45" t="s">
        <v>37</v>
      </c>
      <c r="C5" s="62" t="s">
        <v>111</v>
      </c>
      <c r="D5" s="45" t="s">
        <v>396</v>
      </c>
      <c r="E5" s="62"/>
      <c r="F5" s="50"/>
      <c r="G5" s="50"/>
    </row>
    <row r="6" spans="1:7" ht="96.75" x14ac:dyDescent="0.25">
      <c r="A6" s="46" t="s">
        <v>257</v>
      </c>
      <c r="B6" s="47" t="s">
        <v>258</v>
      </c>
      <c r="C6" s="61" t="s">
        <v>578</v>
      </c>
      <c r="D6" s="47" t="s">
        <v>579</v>
      </c>
      <c r="E6" s="61"/>
      <c r="F6" s="51"/>
      <c r="G6" s="51"/>
    </row>
    <row r="7" spans="1:7" ht="144.75" x14ac:dyDescent="0.25">
      <c r="A7" s="44" t="s">
        <v>42</v>
      </c>
      <c r="B7" s="45" t="s">
        <v>32</v>
      </c>
      <c r="C7" s="62" t="s">
        <v>44</v>
      </c>
      <c r="D7" s="45" t="s">
        <v>345</v>
      </c>
      <c r="E7" s="62"/>
      <c r="F7" s="50"/>
      <c r="G7" s="50"/>
    </row>
    <row r="8" spans="1:7" ht="36.75" x14ac:dyDescent="0.25">
      <c r="A8" s="46" t="s">
        <v>42</v>
      </c>
      <c r="B8" s="47" t="s">
        <v>32</v>
      </c>
      <c r="C8" s="61" t="s">
        <v>45</v>
      </c>
      <c r="D8" s="47" t="s">
        <v>281</v>
      </c>
      <c r="E8" s="61" t="s">
        <v>46</v>
      </c>
      <c r="F8" s="51" t="s">
        <v>282</v>
      </c>
      <c r="G8" s="51" t="s">
        <v>283</v>
      </c>
    </row>
    <row r="9" spans="1:7" ht="24.75" x14ac:dyDescent="0.25">
      <c r="A9" s="44" t="s">
        <v>42</v>
      </c>
      <c r="B9" s="45" t="s">
        <v>32</v>
      </c>
      <c r="C9" s="62" t="s">
        <v>47</v>
      </c>
      <c r="D9" s="45" t="s">
        <v>347</v>
      </c>
      <c r="E9" s="62"/>
      <c r="F9" s="50"/>
      <c r="G9" s="50"/>
    </row>
    <row r="10" spans="1:7" ht="48.75" x14ac:dyDescent="0.25">
      <c r="A10" s="46" t="s">
        <v>42</v>
      </c>
      <c r="B10" s="47" t="s">
        <v>32</v>
      </c>
      <c r="C10" s="61" t="s">
        <v>48</v>
      </c>
      <c r="D10" s="47" t="s">
        <v>49</v>
      </c>
      <c r="E10" s="61"/>
      <c r="F10" s="51"/>
      <c r="G10" s="51"/>
    </row>
    <row r="11" spans="1:7" ht="24.75" x14ac:dyDescent="0.25">
      <c r="A11" s="44" t="s">
        <v>42</v>
      </c>
      <c r="B11" s="45" t="s">
        <v>32</v>
      </c>
      <c r="C11" s="118" t="s">
        <v>543</v>
      </c>
      <c r="D11" s="45" t="s">
        <v>544</v>
      </c>
      <c r="E11" s="62"/>
      <c r="F11" s="50"/>
      <c r="G11" s="50"/>
    </row>
    <row r="12" spans="1:7" ht="156.75" x14ac:dyDescent="0.25">
      <c r="A12" s="46" t="s">
        <v>42</v>
      </c>
      <c r="B12" s="47" t="s">
        <v>32</v>
      </c>
      <c r="C12" s="61" t="s">
        <v>547</v>
      </c>
      <c r="D12" s="47" t="s">
        <v>548</v>
      </c>
      <c r="E12" s="61"/>
      <c r="F12" s="51"/>
      <c r="G12" s="51"/>
    </row>
    <row r="13" spans="1:7" ht="96.75" x14ac:dyDescent="0.25">
      <c r="A13" s="44" t="s">
        <v>42</v>
      </c>
      <c r="B13" s="45" t="s">
        <v>32</v>
      </c>
      <c r="C13" s="62" t="s">
        <v>50</v>
      </c>
      <c r="D13" s="45" t="s">
        <v>348</v>
      </c>
      <c r="E13" s="62" t="s">
        <v>51</v>
      </c>
      <c r="F13" s="50" t="s">
        <v>284</v>
      </c>
      <c r="G13" s="50" t="s">
        <v>285</v>
      </c>
    </row>
    <row r="14" spans="1:7" ht="96.75" x14ac:dyDescent="0.25">
      <c r="A14" s="46" t="s">
        <v>42</v>
      </c>
      <c r="B14" s="47" t="s">
        <v>32</v>
      </c>
      <c r="C14" s="67" t="s">
        <v>550</v>
      </c>
      <c r="D14" s="47" t="s">
        <v>348</v>
      </c>
      <c r="E14" s="61"/>
      <c r="F14" s="51"/>
      <c r="G14" s="51"/>
    </row>
    <row r="15" spans="1:7" ht="228.75" x14ac:dyDescent="0.25">
      <c r="A15" s="44" t="s">
        <v>42</v>
      </c>
      <c r="B15" s="45" t="s">
        <v>32</v>
      </c>
      <c r="C15" s="62" t="s">
        <v>52</v>
      </c>
      <c r="D15" s="45" t="s">
        <v>349</v>
      </c>
      <c r="E15" s="62" t="s">
        <v>51</v>
      </c>
      <c r="F15" s="50"/>
      <c r="G15" s="50"/>
    </row>
    <row r="16" spans="1:7" ht="216.75" x14ac:dyDescent="0.25">
      <c r="A16" s="46" t="s">
        <v>42</v>
      </c>
      <c r="B16" s="47" t="s">
        <v>32</v>
      </c>
      <c r="C16" s="61" t="s">
        <v>53</v>
      </c>
      <c r="D16" s="47" t="s">
        <v>350</v>
      </c>
      <c r="E16" s="61" t="s">
        <v>51</v>
      </c>
      <c r="F16" s="51"/>
      <c r="G16" s="51"/>
    </row>
    <row r="17" spans="1:19" ht="240.75" x14ac:dyDescent="0.25">
      <c r="A17" s="44" t="s">
        <v>42</v>
      </c>
      <c r="B17" s="45" t="s">
        <v>32</v>
      </c>
      <c r="C17" s="62" t="s">
        <v>54</v>
      </c>
      <c r="D17" s="45" t="s">
        <v>351</v>
      </c>
      <c r="E17" s="62" t="s">
        <v>51</v>
      </c>
      <c r="F17" s="50"/>
      <c r="G17" s="50"/>
    </row>
    <row r="18" spans="1:19" ht="168.75" x14ac:dyDescent="0.25">
      <c r="A18" s="46" t="s">
        <v>42</v>
      </c>
      <c r="B18" s="47" t="s">
        <v>32</v>
      </c>
      <c r="C18" s="61" t="s">
        <v>55</v>
      </c>
      <c r="D18" s="47" t="s">
        <v>585</v>
      </c>
      <c r="E18" s="61"/>
      <c r="F18" s="51"/>
      <c r="G18" s="51"/>
    </row>
    <row r="19" spans="1:19" s="20" customFormat="1" ht="252.75" x14ac:dyDescent="0.25">
      <c r="A19" s="44" t="s">
        <v>42</v>
      </c>
      <c r="B19" s="45" t="s">
        <v>32</v>
      </c>
      <c r="C19" s="62" t="s">
        <v>56</v>
      </c>
      <c r="D19" s="45" t="s">
        <v>353</v>
      </c>
      <c r="E19" s="62"/>
      <c r="F19" s="50"/>
      <c r="G19" s="50"/>
      <c r="H19" s="21"/>
      <c r="I19" s="21"/>
      <c r="J19" s="21"/>
      <c r="K19" s="21"/>
      <c r="L19" s="21"/>
      <c r="M19" s="21"/>
      <c r="N19" s="21"/>
      <c r="O19" s="21"/>
      <c r="P19" s="21"/>
      <c r="Q19" s="21"/>
      <c r="R19" s="21"/>
      <c r="S19" s="21"/>
    </row>
    <row r="20" spans="1:19" ht="132.75" x14ac:dyDescent="0.25">
      <c r="A20" s="46" t="s">
        <v>42</v>
      </c>
      <c r="B20" s="47" t="s">
        <v>11</v>
      </c>
      <c r="C20" s="61" t="s">
        <v>551</v>
      </c>
      <c r="D20" s="47" t="s">
        <v>552</v>
      </c>
      <c r="E20" s="61"/>
      <c r="F20" s="65" t="s">
        <v>553</v>
      </c>
      <c r="G20" s="51" t="s">
        <v>300</v>
      </c>
    </row>
    <row r="21" spans="1:19" ht="156.75" x14ac:dyDescent="0.25">
      <c r="A21" s="44" t="s">
        <v>42</v>
      </c>
      <c r="B21" s="45" t="s">
        <v>6</v>
      </c>
      <c r="C21" s="62" t="s">
        <v>554</v>
      </c>
      <c r="D21" s="45" t="s">
        <v>555</v>
      </c>
      <c r="E21" s="62"/>
      <c r="F21" s="64"/>
      <c r="G21" s="50"/>
    </row>
    <row r="22" spans="1:19" ht="252.75" x14ac:dyDescent="0.25">
      <c r="A22" s="46" t="s">
        <v>42</v>
      </c>
      <c r="B22" s="47" t="s">
        <v>32</v>
      </c>
      <c r="C22" s="61" t="s">
        <v>57</v>
      </c>
      <c r="D22" s="47" t="s">
        <v>353</v>
      </c>
      <c r="E22" s="61" t="s">
        <v>58</v>
      </c>
      <c r="F22" s="51"/>
      <c r="G22" s="51"/>
    </row>
    <row r="23" spans="1:19" ht="24.75" x14ac:dyDescent="0.25">
      <c r="A23" s="44" t="s">
        <v>42</v>
      </c>
      <c r="B23" s="45" t="s">
        <v>37</v>
      </c>
      <c r="C23" s="62" t="s">
        <v>60</v>
      </c>
      <c r="D23" s="45" t="s">
        <v>61</v>
      </c>
      <c r="E23" s="62"/>
      <c r="F23" s="50"/>
      <c r="G23" s="50"/>
    </row>
    <row r="24" spans="1:19" ht="192.75" x14ac:dyDescent="0.25">
      <c r="A24" s="46" t="s">
        <v>42</v>
      </c>
      <c r="B24" s="47" t="s">
        <v>37</v>
      </c>
      <c r="C24" s="61" t="s">
        <v>62</v>
      </c>
      <c r="D24" s="47" t="s">
        <v>356</v>
      </c>
      <c r="E24" s="61"/>
      <c r="F24" s="51"/>
      <c r="G24" s="51"/>
    </row>
    <row r="25" spans="1:19" s="3" customFormat="1" ht="84.75" x14ac:dyDescent="0.25">
      <c r="A25" s="44" t="s">
        <v>42</v>
      </c>
      <c r="B25" s="45" t="s">
        <v>37</v>
      </c>
      <c r="C25" s="62" t="s">
        <v>63</v>
      </c>
      <c r="D25" s="45" t="s">
        <v>358</v>
      </c>
      <c r="E25" s="62"/>
      <c r="F25" s="50"/>
      <c r="G25" s="50"/>
    </row>
    <row r="26" spans="1:19" s="3" customFormat="1" ht="84.75" x14ac:dyDescent="0.25">
      <c r="A26" s="46" t="s">
        <v>42</v>
      </c>
      <c r="B26" s="47" t="s">
        <v>37</v>
      </c>
      <c r="C26" s="61" t="s">
        <v>64</v>
      </c>
      <c r="D26" s="47" t="s">
        <v>358</v>
      </c>
      <c r="E26" s="61"/>
      <c r="F26" s="51"/>
      <c r="G26" s="51"/>
    </row>
    <row r="27" spans="1:19" s="3" customFormat="1" ht="84.75" x14ac:dyDescent="0.25">
      <c r="A27" s="44" t="s">
        <v>42</v>
      </c>
      <c r="B27" s="45" t="s">
        <v>37</v>
      </c>
      <c r="C27" s="62" t="s">
        <v>56</v>
      </c>
      <c r="D27" s="45" t="s">
        <v>354</v>
      </c>
      <c r="E27" s="62"/>
      <c r="F27" s="50"/>
      <c r="G27" s="50"/>
    </row>
    <row r="28" spans="1:19" s="3" customFormat="1" x14ac:dyDescent="0.25">
      <c r="A28" s="66"/>
      <c r="B28" s="66"/>
      <c r="C28" s="66"/>
      <c r="D28" s="66"/>
      <c r="E28" s="66"/>
      <c r="F28" s="66"/>
      <c r="G28" s="66"/>
    </row>
    <row r="29" spans="1:19" s="3" customFormat="1" x14ac:dyDescent="0.25">
      <c r="A29" s="66"/>
      <c r="B29" s="66"/>
      <c r="C29" s="66"/>
      <c r="D29" s="66"/>
      <c r="E29" s="66"/>
      <c r="F29" s="66"/>
      <c r="G29" s="66"/>
    </row>
    <row r="30" spans="1:19" s="3" customFormat="1" x14ac:dyDescent="0.25">
      <c r="A30" s="66"/>
      <c r="B30" s="66"/>
      <c r="C30" s="66"/>
      <c r="D30" s="66"/>
      <c r="E30" s="66"/>
      <c r="F30" s="66"/>
      <c r="G30" s="66"/>
    </row>
    <row r="31" spans="1:19" s="3" customFormat="1" x14ac:dyDescent="0.25">
      <c r="A31" s="66"/>
      <c r="B31" s="66"/>
      <c r="C31" s="66"/>
      <c r="D31" s="66"/>
      <c r="E31" s="66"/>
      <c r="F31" s="66"/>
      <c r="G31" s="66"/>
    </row>
    <row r="32" spans="1:19" s="3" customFormat="1" x14ac:dyDescent="0.25">
      <c r="A32" s="66"/>
      <c r="B32" s="66"/>
      <c r="C32" s="66"/>
      <c r="D32" s="66"/>
      <c r="E32" s="66"/>
      <c r="F32" s="66"/>
      <c r="G32" s="66"/>
    </row>
    <row r="33" spans="1:7" s="3" customFormat="1" x14ac:dyDescent="0.25">
      <c r="A33" s="66"/>
      <c r="B33" s="66"/>
      <c r="C33" s="66"/>
      <c r="D33" s="66"/>
      <c r="E33" s="66"/>
      <c r="F33" s="66"/>
      <c r="G33" s="66"/>
    </row>
    <row r="34" spans="1:7" s="3" customFormat="1" x14ac:dyDescent="0.25">
      <c r="A34" s="66"/>
      <c r="B34" s="66"/>
      <c r="C34" s="66"/>
      <c r="D34" s="66"/>
      <c r="E34" s="66"/>
      <c r="F34" s="66"/>
      <c r="G34" s="66"/>
    </row>
    <row r="35" spans="1:7" s="3" customFormat="1" x14ac:dyDescent="0.25">
      <c r="A35" s="66"/>
      <c r="B35" s="66"/>
      <c r="C35" s="66"/>
      <c r="D35" s="66"/>
      <c r="E35" s="66"/>
      <c r="F35" s="66"/>
      <c r="G35" s="66"/>
    </row>
    <row r="36" spans="1:7" s="3" customFormat="1" x14ac:dyDescent="0.25">
      <c r="A36" s="66"/>
      <c r="B36" s="66"/>
      <c r="C36" s="66"/>
      <c r="D36" s="66"/>
      <c r="E36" s="66"/>
      <c r="F36" s="66"/>
      <c r="G36" s="66"/>
    </row>
    <row r="37" spans="1:7" s="3" customFormat="1" x14ac:dyDescent="0.25">
      <c r="A37" s="66"/>
      <c r="B37" s="66"/>
      <c r="C37" s="66"/>
      <c r="D37" s="66"/>
      <c r="E37" s="66"/>
      <c r="F37" s="66"/>
      <c r="G37" s="66"/>
    </row>
    <row r="38" spans="1:7" s="3" customFormat="1" x14ac:dyDescent="0.25">
      <c r="A38" s="66"/>
      <c r="B38" s="66"/>
      <c r="C38" s="66"/>
      <c r="D38" s="66"/>
      <c r="E38" s="66"/>
      <c r="F38" s="66"/>
      <c r="G38" s="66"/>
    </row>
    <row r="39" spans="1:7" s="3" customFormat="1" x14ac:dyDescent="0.25">
      <c r="A39" s="66"/>
      <c r="B39" s="66"/>
      <c r="C39" s="66"/>
      <c r="D39" s="66"/>
      <c r="E39" s="66"/>
      <c r="F39" s="66"/>
      <c r="G39" s="66"/>
    </row>
    <row r="40" spans="1:7" s="3" customFormat="1" x14ac:dyDescent="0.25">
      <c r="A40" s="66"/>
      <c r="B40" s="66"/>
      <c r="C40" s="66"/>
      <c r="D40" s="66"/>
      <c r="E40" s="66"/>
      <c r="F40" s="66"/>
      <c r="G40" s="66"/>
    </row>
    <row r="41" spans="1:7" s="3" customFormat="1" x14ac:dyDescent="0.25">
      <c r="A41" s="66"/>
      <c r="B41" s="66"/>
      <c r="C41" s="66"/>
      <c r="D41" s="66"/>
      <c r="E41" s="66"/>
      <c r="F41" s="66"/>
      <c r="G41" s="66"/>
    </row>
    <row r="42" spans="1:7" s="3" customFormat="1" x14ac:dyDescent="0.25">
      <c r="A42" s="66"/>
      <c r="B42" s="66"/>
      <c r="C42" s="66"/>
      <c r="D42" s="66"/>
      <c r="E42" s="66"/>
      <c r="F42" s="66"/>
      <c r="G42" s="66"/>
    </row>
    <row r="43" spans="1:7" s="3" customFormat="1" x14ac:dyDescent="0.25">
      <c r="A43" s="66"/>
      <c r="B43" s="66"/>
      <c r="C43" s="66"/>
      <c r="D43" s="66"/>
      <c r="E43" s="66"/>
      <c r="F43" s="66"/>
      <c r="G43" s="66"/>
    </row>
    <row r="44" spans="1:7" s="3" customFormat="1" x14ac:dyDescent="0.25">
      <c r="A44" s="66"/>
      <c r="B44" s="66"/>
      <c r="C44" s="66"/>
      <c r="D44" s="66"/>
      <c r="E44" s="66"/>
      <c r="F44" s="66"/>
      <c r="G44" s="66"/>
    </row>
    <row r="45" spans="1:7" s="3" customFormat="1" x14ac:dyDescent="0.25">
      <c r="A45" s="66"/>
      <c r="B45" s="66"/>
      <c r="C45" s="66"/>
      <c r="D45" s="66"/>
      <c r="E45" s="66"/>
      <c r="F45" s="66"/>
      <c r="G45" s="66"/>
    </row>
    <row r="46" spans="1:7" s="3" customFormat="1" x14ac:dyDescent="0.25">
      <c r="A46" s="66"/>
      <c r="B46" s="66"/>
      <c r="C46" s="66"/>
      <c r="D46" s="66"/>
      <c r="E46" s="66"/>
      <c r="F46" s="66"/>
      <c r="G46" s="66"/>
    </row>
    <row r="47" spans="1:7" s="3" customFormat="1" x14ac:dyDescent="0.25">
      <c r="A47" s="66"/>
      <c r="B47" s="66"/>
      <c r="C47" s="66"/>
      <c r="D47" s="66"/>
      <c r="E47" s="66"/>
      <c r="F47" s="66"/>
      <c r="G47" s="66"/>
    </row>
    <row r="48" spans="1:7" s="3" customFormat="1" x14ac:dyDescent="0.25">
      <c r="A48" s="66"/>
      <c r="B48" s="66"/>
      <c r="C48" s="66"/>
      <c r="D48" s="66"/>
      <c r="E48" s="66"/>
      <c r="F48" s="66"/>
      <c r="G48" s="66"/>
    </row>
    <row r="49" spans="1:7" s="3" customFormat="1" x14ac:dyDescent="0.25">
      <c r="A49" s="66"/>
      <c r="B49" s="66"/>
      <c r="C49" s="66"/>
      <c r="D49" s="66"/>
      <c r="E49" s="66"/>
      <c r="F49" s="66"/>
      <c r="G49" s="66"/>
    </row>
    <row r="50" spans="1:7" s="3" customFormat="1" x14ac:dyDescent="0.25">
      <c r="A50" s="66"/>
      <c r="B50" s="66"/>
      <c r="C50" s="66"/>
      <c r="D50" s="66"/>
      <c r="E50" s="66"/>
      <c r="F50" s="66"/>
      <c r="G50" s="66"/>
    </row>
    <row r="51" spans="1:7" s="3" customFormat="1" x14ac:dyDescent="0.25">
      <c r="A51" s="66"/>
      <c r="B51" s="66"/>
      <c r="C51" s="66"/>
      <c r="D51" s="66"/>
      <c r="E51" s="66"/>
      <c r="F51" s="66"/>
      <c r="G51" s="66"/>
    </row>
    <row r="52" spans="1:7" s="3" customFormat="1" x14ac:dyDescent="0.25">
      <c r="A52" s="66"/>
      <c r="B52" s="66"/>
      <c r="C52" s="66"/>
      <c r="D52" s="66"/>
      <c r="E52" s="66"/>
      <c r="F52" s="66"/>
      <c r="G52" s="66"/>
    </row>
    <row r="53" spans="1:7" s="3" customFormat="1" x14ac:dyDescent="0.25">
      <c r="A53" s="66"/>
      <c r="B53" s="66"/>
      <c r="C53" s="66"/>
      <c r="D53" s="66"/>
      <c r="E53" s="66"/>
      <c r="F53" s="66"/>
      <c r="G53" s="66"/>
    </row>
    <row r="54" spans="1:7" s="3" customFormat="1" x14ac:dyDescent="0.25">
      <c r="A54" s="66"/>
      <c r="B54" s="66"/>
      <c r="C54" s="66"/>
      <c r="D54" s="66"/>
      <c r="E54" s="66"/>
      <c r="F54" s="66"/>
      <c r="G54" s="66"/>
    </row>
    <row r="55" spans="1:7" s="3" customFormat="1" x14ac:dyDescent="0.25">
      <c r="A55" s="66"/>
      <c r="B55" s="66"/>
      <c r="C55" s="66"/>
      <c r="D55" s="66"/>
      <c r="E55" s="66"/>
      <c r="F55" s="66"/>
      <c r="G55" s="66"/>
    </row>
    <row r="56" spans="1:7" s="3" customFormat="1" x14ac:dyDescent="0.25">
      <c r="A56" s="66"/>
      <c r="B56" s="66"/>
      <c r="C56" s="66"/>
      <c r="D56" s="66"/>
      <c r="E56" s="66"/>
      <c r="F56" s="66"/>
      <c r="G56" s="66"/>
    </row>
    <row r="57" spans="1:7" s="3" customFormat="1" x14ac:dyDescent="0.25">
      <c r="A57" s="66"/>
      <c r="B57" s="66"/>
      <c r="C57" s="66"/>
      <c r="D57" s="66"/>
      <c r="E57" s="66"/>
      <c r="F57" s="66"/>
      <c r="G57" s="66"/>
    </row>
    <row r="58" spans="1:7" s="3" customFormat="1" x14ac:dyDescent="0.25">
      <c r="A58" s="66"/>
      <c r="B58" s="66"/>
      <c r="C58" s="66"/>
      <c r="D58" s="66"/>
      <c r="E58" s="66"/>
      <c r="F58" s="66"/>
      <c r="G58" s="66"/>
    </row>
    <row r="59" spans="1:7" s="3" customFormat="1" x14ac:dyDescent="0.25">
      <c r="A59" s="66"/>
      <c r="B59" s="66"/>
      <c r="C59" s="66"/>
      <c r="D59" s="66"/>
      <c r="E59" s="66"/>
      <c r="F59" s="66"/>
      <c r="G59" s="66"/>
    </row>
    <row r="60" spans="1:7" s="3" customFormat="1" x14ac:dyDescent="0.25">
      <c r="A60" s="66"/>
      <c r="B60" s="66"/>
      <c r="C60" s="66"/>
      <c r="D60" s="66"/>
      <c r="E60" s="66"/>
      <c r="F60" s="66"/>
      <c r="G60" s="66"/>
    </row>
    <row r="61" spans="1:7" s="3" customFormat="1" x14ac:dyDescent="0.25">
      <c r="A61" s="66"/>
      <c r="B61" s="66"/>
      <c r="C61" s="66"/>
      <c r="D61" s="66"/>
      <c r="E61" s="66"/>
      <c r="F61" s="66"/>
      <c r="G61" s="66"/>
    </row>
    <row r="62" spans="1:7" s="3" customFormat="1" x14ac:dyDescent="0.25">
      <c r="A62" s="66"/>
      <c r="B62" s="66"/>
      <c r="C62" s="66"/>
      <c r="D62" s="66"/>
      <c r="E62" s="66"/>
      <c r="F62" s="66"/>
      <c r="G62" s="66"/>
    </row>
    <row r="63" spans="1:7" s="3" customFormat="1" x14ac:dyDescent="0.25">
      <c r="A63" s="66"/>
      <c r="B63" s="66"/>
      <c r="C63" s="66"/>
      <c r="D63" s="66"/>
      <c r="E63" s="66"/>
      <c r="F63" s="66"/>
      <c r="G63" s="66"/>
    </row>
    <row r="64" spans="1:7" s="3" customFormat="1" x14ac:dyDescent="0.25">
      <c r="A64" s="66"/>
      <c r="B64" s="66"/>
      <c r="C64" s="66"/>
      <c r="D64" s="66"/>
      <c r="E64" s="66"/>
      <c r="F64" s="66"/>
      <c r="G64" s="66"/>
    </row>
    <row r="65" spans="1:7" s="3" customFormat="1" x14ac:dyDescent="0.25">
      <c r="A65" s="66"/>
      <c r="B65" s="66"/>
      <c r="C65" s="66"/>
      <c r="D65" s="66"/>
      <c r="E65" s="66"/>
      <c r="F65" s="66"/>
      <c r="G65" s="66"/>
    </row>
    <row r="66" spans="1:7" s="3" customFormat="1" x14ac:dyDescent="0.25">
      <c r="A66" s="66"/>
      <c r="B66" s="66"/>
      <c r="C66" s="66"/>
      <c r="D66" s="66"/>
      <c r="E66" s="66"/>
      <c r="F66" s="66"/>
      <c r="G66" s="66"/>
    </row>
    <row r="67" spans="1:7" s="3" customFormat="1" x14ac:dyDescent="0.25">
      <c r="A67" s="66"/>
      <c r="B67" s="66"/>
      <c r="C67" s="66"/>
      <c r="D67" s="66"/>
      <c r="E67" s="66"/>
      <c r="F67" s="66"/>
      <c r="G67" s="66"/>
    </row>
    <row r="68" spans="1:7" s="3" customFormat="1" x14ac:dyDescent="0.25">
      <c r="A68" s="66"/>
      <c r="B68" s="66"/>
      <c r="C68" s="66"/>
      <c r="D68" s="66"/>
      <c r="E68" s="66"/>
      <c r="F68" s="66"/>
      <c r="G68" s="66"/>
    </row>
    <row r="69" spans="1:7" s="3" customFormat="1" x14ac:dyDescent="0.25">
      <c r="A69" s="66"/>
      <c r="B69" s="66"/>
      <c r="C69" s="66"/>
      <c r="D69" s="66"/>
      <c r="E69" s="66"/>
      <c r="F69" s="66"/>
      <c r="G69" s="66"/>
    </row>
    <row r="70" spans="1:7" s="3" customFormat="1" x14ac:dyDescent="0.25">
      <c r="A70" s="66"/>
      <c r="B70" s="66"/>
      <c r="C70" s="66"/>
      <c r="D70" s="66"/>
      <c r="E70" s="66"/>
      <c r="F70" s="66"/>
      <c r="G70" s="66"/>
    </row>
    <row r="71" spans="1:7" s="3" customFormat="1" x14ac:dyDescent="0.25">
      <c r="A71" s="66"/>
      <c r="B71" s="66"/>
      <c r="C71" s="66"/>
      <c r="D71" s="66"/>
      <c r="E71" s="66"/>
      <c r="F71" s="66"/>
      <c r="G71" s="66"/>
    </row>
    <row r="72" spans="1:7" s="3" customFormat="1" x14ac:dyDescent="0.25">
      <c r="A72" s="66"/>
      <c r="B72" s="66"/>
      <c r="C72" s="66"/>
      <c r="D72" s="66"/>
      <c r="E72" s="66"/>
      <c r="F72" s="66"/>
      <c r="G72" s="66"/>
    </row>
    <row r="73" spans="1:7" s="3" customFormat="1" x14ac:dyDescent="0.25">
      <c r="A73" s="66"/>
      <c r="B73" s="66"/>
      <c r="C73" s="66"/>
      <c r="D73" s="66"/>
      <c r="E73" s="66"/>
      <c r="F73" s="66"/>
      <c r="G73" s="66"/>
    </row>
    <row r="74" spans="1:7" s="3" customFormat="1" x14ac:dyDescent="0.25">
      <c r="A74" s="66"/>
      <c r="B74" s="66"/>
      <c r="C74" s="66"/>
      <c r="D74" s="66"/>
      <c r="E74" s="66"/>
      <c r="F74" s="66"/>
      <c r="G74" s="66"/>
    </row>
    <row r="75" spans="1:7" s="3" customFormat="1" x14ac:dyDescent="0.25">
      <c r="A75" s="24"/>
      <c r="B75" s="24"/>
      <c r="C75" s="24"/>
      <c r="D75" s="66"/>
      <c r="E75" s="66"/>
      <c r="F75" s="66"/>
      <c r="G75" s="66"/>
    </row>
    <row r="76" spans="1:7" s="3" customFormat="1" x14ac:dyDescent="0.25">
      <c r="A76" s="24"/>
      <c r="B76" s="24"/>
      <c r="C76" s="24"/>
      <c r="D76" s="66"/>
      <c r="E76" s="66"/>
      <c r="F76" s="66"/>
      <c r="G76" s="66"/>
    </row>
  </sheetData>
  <hyperlinks>
    <hyperlink ref="C2" r:id="rId1" display="http://aka.ms/DAULog2"/>
    <hyperlink ref="C3" r:id="rId2" display="http://aka.ms/DAULog3"/>
    <hyperlink ref="C4" r:id="rId3" display="http://aka.ms/DAULog28"/>
    <hyperlink ref="C5" r:id="rId4" display="http://aka.ms/DAULog29"/>
    <hyperlink ref="C6" r:id="rId5" display="http://aka.ms/DCMCLI11"/>
    <hyperlink ref="C7" r:id="rId6" display="http://aka.ms/DAUIA2"/>
    <hyperlink ref="E8" r:id="rId7" display="http://aka.ms/PAUIA3"/>
    <hyperlink ref="C8" r:id="rId8" display="http://aka.ms/DAUIA3"/>
    <hyperlink ref="C9" r:id="rId9" display="http://aka.ms/DAUIA4"/>
    <hyperlink ref="C13" r:id="rId10" display="http://aka.ms/DAUIA6"/>
    <hyperlink ref="E13" r:id="rId11" display="http://aka.ms/PAUIA6"/>
    <hyperlink ref="C12" r:id="rId12" display="https://aka.ms/DIA218"/>
    <hyperlink ref="C18" r:id="rId13" display="http://aka.ms/DAUIA10"/>
    <hyperlink ref="C19" r:id="rId14" display="http://aka.ms/DAUIA11"/>
    <hyperlink ref="E15" r:id="rId15" display="http://aka.ms/PAUIA7"/>
    <hyperlink ref="E16" r:id="rId16" display="http://aka.ms/PAUIA8"/>
    <hyperlink ref="E17" r:id="rId17" display="http://aka.ms/PAUIA9"/>
    <hyperlink ref="E22" r:id="rId18" display="http://aka.ms/PAUIA12"/>
    <hyperlink ref="C15" r:id="rId19" display="http://aka.ms/DAUIA7"/>
    <hyperlink ref="C16" r:id="rId20" display="http://aka.ms/DAUIA8"/>
    <hyperlink ref="C17" r:id="rId21" display="http://aka.ms/DAUIA9"/>
    <hyperlink ref="C20" r:id="rId22" display="https://aka.ms/IA241"/>
    <hyperlink ref="C21" r:id="rId23" display="https://aka.ms/IA242"/>
    <hyperlink ref="C22" r:id="rId24" display="http://aka.ms/DAUIA12"/>
    <hyperlink ref="C23" r:id="rId25" display="http://aka.ms/DAUIA14"/>
    <hyperlink ref="C24" r:id="rId26" display="http://aka.ms/DAUIA15"/>
    <hyperlink ref="C26" r:id="rId27" display="http://aka.ms/DAUIA18"/>
    <hyperlink ref="C27" r:id="rId28" display="http://aka.ms/DAUIA19"/>
    <hyperlink ref="C25" r:id="rId29" display="http://aka.ms/DAUIA17"/>
    <hyperlink ref="C14" r:id="rId30"/>
    <hyperlink ref="C11" r:id="rId31"/>
  </hyperlinks>
  <pageMargins left="0.7" right="0.7" top="0.75" bottom="0.75" header="0.3" footer="0.3"/>
  <drawing r:id="rId3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pane ySplit="1" topLeftCell="A2" activePane="bottomLeft" state="frozen"/>
      <selection pane="bottomLeft" activeCell="A2" sqref="A2"/>
    </sheetView>
  </sheetViews>
  <sheetFormatPr defaultColWidth="9.140625" defaultRowHeight="15" x14ac:dyDescent="0.25"/>
  <cols>
    <col min="1" max="1" width="10.85546875" style="1" customWidth="1"/>
    <col min="2" max="2" width="19.42578125" style="1" customWidth="1"/>
    <col min="3" max="3" width="25.5703125" style="6" customWidth="1"/>
    <col min="4" max="4" width="51.28515625" style="1" customWidth="1"/>
    <col min="5" max="5" width="26.42578125" style="1" customWidth="1"/>
    <col min="6" max="6" width="28" style="1" customWidth="1"/>
    <col min="7" max="7" width="19.5703125" style="1" customWidth="1"/>
    <col min="8" max="16384" width="9.140625" style="1"/>
  </cols>
  <sheetData>
    <row r="1" spans="1:7" x14ac:dyDescent="0.25">
      <c r="A1" s="68" t="s">
        <v>30</v>
      </c>
      <c r="B1" s="68" t="s">
        <v>0</v>
      </c>
      <c r="C1" s="68" t="s">
        <v>1</v>
      </c>
      <c r="D1" s="68" t="s">
        <v>2</v>
      </c>
      <c r="E1" s="69" t="s">
        <v>3</v>
      </c>
      <c r="F1" s="70" t="s">
        <v>276</v>
      </c>
      <c r="G1" s="71" t="s">
        <v>440</v>
      </c>
    </row>
    <row r="2" spans="1:7" ht="72.75" x14ac:dyDescent="0.25">
      <c r="A2" s="42" t="s">
        <v>149</v>
      </c>
      <c r="B2" s="43" t="s">
        <v>559</v>
      </c>
      <c r="C2" s="43" t="s">
        <v>150</v>
      </c>
      <c r="D2" s="43" t="s">
        <v>151</v>
      </c>
      <c r="E2" s="43"/>
      <c r="F2" s="43"/>
      <c r="G2" s="43"/>
    </row>
    <row r="3" spans="1:7" ht="72.75" x14ac:dyDescent="0.25">
      <c r="A3" s="46" t="s">
        <v>149</v>
      </c>
      <c r="B3" s="47" t="s">
        <v>6</v>
      </c>
      <c r="C3" s="61" t="s">
        <v>152</v>
      </c>
      <c r="D3" s="47" t="s">
        <v>416</v>
      </c>
      <c r="E3" s="61"/>
      <c r="F3" s="51"/>
      <c r="G3" s="51"/>
    </row>
    <row r="4" spans="1:7" ht="96.75" x14ac:dyDescent="0.25">
      <c r="A4" s="44" t="s">
        <v>149</v>
      </c>
      <c r="B4" s="45" t="s">
        <v>6</v>
      </c>
      <c r="C4" s="62" t="s">
        <v>154</v>
      </c>
      <c r="D4" s="45" t="s">
        <v>590</v>
      </c>
      <c r="E4" s="62"/>
      <c r="F4" s="50"/>
      <c r="G4" s="50"/>
    </row>
    <row r="5" spans="1:7" ht="108.75" x14ac:dyDescent="0.25">
      <c r="A5" s="46" t="s">
        <v>149</v>
      </c>
      <c r="B5" s="47" t="s">
        <v>6</v>
      </c>
      <c r="C5" s="61" t="s">
        <v>155</v>
      </c>
      <c r="D5" s="47" t="s">
        <v>418</v>
      </c>
      <c r="E5" s="61"/>
      <c r="F5" s="51"/>
      <c r="G5" s="51"/>
    </row>
    <row r="6" spans="1:7" ht="96.75" x14ac:dyDescent="0.25">
      <c r="A6" s="44" t="s">
        <v>149</v>
      </c>
      <c r="B6" s="45" t="s">
        <v>6</v>
      </c>
      <c r="C6" s="62" t="s">
        <v>156</v>
      </c>
      <c r="D6" s="45" t="s">
        <v>419</v>
      </c>
      <c r="E6" s="62" t="s">
        <v>157</v>
      </c>
      <c r="F6" s="50"/>
      <c r="G6" s="50"/>
    </row>
    <row r="7" spans="1:7" ht="96.75" x14ac:dyDescent="0.25">
      <c r="A7" s="46" t="s">
        <v>149</v>
      </c>
      <c r="B7" s="47" t="s">
        <v>6</v>
      </c>
      <c r="C7" s="61" t="s">
        <v>341</v>
      </c>
      <c r="D7" s="47" t="s">
        <v>420</v>
      </c>
      <c r="E7" s="61"/>
      <c r="F7" s="51"/>
      <c r="G7" s="51"/>
    </row>
    <row r="8" spans="1:7" ht="72.75" x14ac:dyDescent="0.25">
      <c r="A8" s="44" t="s">
        <v>149</v>
      </c>
      <c r="B8" s="45" t="s">
        <v>6</v>
      </c>
      <c r="C8" s="62" t="s">
        <v>457</v>
      </c>
      <c r="D8" s="45" t="s">
        <v>458</v>
      </c>
      <c r="E8" s="62"/>
      <c r="F8" s="50" t="s">
        <v>459</v>
      </c>
      <c r="G8" s="50" t="s">
        <v>460</v>
      </c>
    </row>
    <row r="9" spans="1:7" ht="96.75" x14ac:dyDescent="0.25">
      <c r="A9" s="46" t="s">
        <v>149</v>
      </c>
      <c r="B9" s="47" t="s">
        <v>6</v>
      </c>
      <c r="C9" s="61" t="s">
        <v>159</v>
      </c>
      <c r="D9" s="47" t="s">
        <v>160</v>
      </c>
      <c r="E9" s="61" t="s">
        <v>161</v>
      </c>
      <c r="F9" s="51"/>
      <c r="G9" s="51"/>
    </row>
    <row r="10" spans="1:7" ht="48.75" x14ac:dyDescent="0.25">
      <c r="A10" s="44" t="s">
        <v>149</v>
      </c>
      <c r="B10" s="45" t="s">
        <v>6</v>
      </c>
      <c r="C10" s="62" t="s">
        <v>173</v>
      </c>
      <c r="D10" s="45" t="s">
        <v>591</v>
      </c>
      <c r="E10" s="62"/>
      <c r="F10" s="50"/>
      <c r="G10" s="50"/>
    </row>
    <row r="11" spans="1:7" ht="48.75" x14ac:dyDescent="0.25">
      <c r="A11" s="46" t="s">
        <v>149</v>
      </c>
      <c r="B11" s="47" t="s">
        <v>6</v>
      </c>
      <c r="C11" s="61" t="s">
        <v>176</v>
      </c>
      <c r="D11" s="47" t="s">
        <v>592</v>
      </c>
      <c r="E11" s="61"/>
      <c r="F11" s="51"/>
      <c r="G11" s="51"/>
    </row>
    <row r="12" spans="1:7" ht="48.75" x14ac:dyDescent="0.25">
      <c r="A12" s="44" t="s">
        <v>77</v>
      </c>
      <c r="B12" s="45" t="s">
        <v>6</v>
      </c>
      <c r="C12" s="62" t="s">
        <v>87</v>
      </c>
      <c r="D12" s="45" t="s">
        <v>373</v>
      </c>
      <c r="E12" s="62"/>
      <c r="F12" s="50"/>
      <c r="G12" s="50"/>
    </row>
    <row r="13" spans="1:7" ht="96.75" x14ac:dyDescent="0.25">
      <c r="A13" s="46" t="s">
        <v>342</v>
      </c>
      <c r="B13" s="47" t="s">
        <v>11</v>
      </c>
      <c r="C13" s="61" t="s">
        <v>26</v>
      </c>
      <c r="D13" s="47" t="s">
        <v>27</v>
      </c>
      <c r="E13" s="61"/>
      <c r="F13" s="51"/>
      <c r="G13" s="51"/>
    </row>
    <row r="14" spans="1:7" ht="96.75" x14ac:dyDescent="0.25">
      <c r="A14" s="48" t="s">
        <v>77</v>
      </c>
      <c r="B14" s="49" t="s">
        <v>11</v>
      </c>
      <c r="C14" s="63" t="s">
        <v>89</v>
      </c>
      <c r="D14" s="49" t="s">
        <v>375</v>
      </c>
      <c r="E14" s="63"/>
      <c r="F14" s="52"/>
      <c r="G14" s="52"/>
    </row>
    <row r="15" spans="1:7" ht="144.75" x14ac:dyDescent="0.25">
      <c r="A15" s="46" t="s">
        <v>65</v>
      </c>
      <c r="B15" s="47" t="s">
        <v>11</v>
      </c>
      <c r="C15" s="61" t="s">
        <v>75</v>
      </c>
      <c r="D15" s="47" t="s">
        <v>363</v>
      </c>
      <c r="E15" s="61"/>
      <c r="F15" s="51" t="s">
        <v>449</v>
      </c>
      <c r="G15" s="51" t="s">
        <v>448</v>
      </c>
    </row>
    <row r="35" spans="1:1" x14ac:dyDescent="0.25">
      <c r="A35" s="1">
        <f>COUNTA(A2:A15)</f>
        <v>14</v>
      </c>
    </row>
    <row r="36" spans="1:1" x14ac:dyDescent="0.25">
      <c r="A36" s="1">
        <f>COUNTA(A2:A24)</f>
        <v>14</v>
      </c>
    </row>
  </sheetData>
  <autoFilter ref="A1:G1"/>
  <hyperlinks>
    <hyperlink ref="C15" r:id="rId1" display="http://aka.ms/DADMAC9"/>
    <hyperlink ref="C3" r:id="rId2" display="http://aka.ms/DDPATP2"/>
    <hyperlink ref="C7" r:id="rId3" display="http://aka.ms/DDPATP7"/>
    <hyperlink ref="E6" r:id="rId4" display="http://aka.ms/PDPATP6"/>
    <hyperlink ref="C4" r:id="rId5" display="http://aka.ms/DDPATP4"/>
    <hyperlink ref="C5" r:id="rId6" display="http://aka.ms/DDPATP5"/>
    <hyperlink ref="C6" r:id="rId7" display="http://aka.ms/DDPATP6"/>
    <hyperlink ref="E9" r:id="rId8" display="http://aka.ms/PDPATP9"/>
    <hyperlink ref="C8" r:id="rId9" display="http://aka.ms/DDPATP20"/>
    <hyperlink ref="C9" r:id="rId10" display="http://aka.ms/DDPATP9"/>
    <hyperlink ref="C10" r:id="rId11" display="http://aka.ms/DDPATP16"/>
    <hyperlink ref="C11" r:id="rId12" display="http://aka.ms/DDPATP18"/>
    <hyperlink ref="C13" r:id="rId13" display="http://aka.ms/DDPDR8"/>
    <hyperlink ref="C12" r:id="rId14" display="http://aka.ms/DUSRAC10"/>
    <hyperlink ref="C14" r:id="rId15" display="http://aka.ms/DUSRAC12"/>
  </hyperlinks>
  <pageMargins left="0.7" right="0.7" top="0.75" bottom="0.75" header="0.3" footer="0.3"/>
  <pageSetup orientation="portrait" horizontalDpi="4294967293" verticalDpi="4294967293" r:id="rId16"/>
  <drawing r:id="rId1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pane ySplit="1" topLeftCell="A2" activePane="bottomLeft" state="frozen"/>
      <selection pane="bottomLeft" activeCell="A2" sqref="A2"/>
    </sheetView>
  </sheetViews>
  <sheetFormatPr defaultColWidth="9.140625" defaultRowHeight="15" x14ac:dyDescent="0.25"/>
  <cols>
    <col min="1" max="1" width="12.7109375" style="1" customWidth="1"/>
    <col min="2" max="2" width="19.42578125" style="1" customWidth="1"/>
    <col min="3" max="3" width="25.28515625" style="7" customWidth="1"/>
    <col min="4" max="4" width="46.7109375" style="1" customWidth="1"/>
    <col min="5" max="5" width="26.42578125" style="1" customWidth="1"/>
    <col min="6" max="6" width="28" style="1" customWidth="1"/>
    <col min="7" max="7" width="24.85546875" style="1" customWidth="1"/>
    <col min="8" max="16384" width="9.140625" style="1"/>
  </cols>
  <sheetData>
    <row r="1" spans="1:7" ht="15.75" thickBot="1" x14ac:dyDescent="0.3">
      <c r="A1" s="9" t="s">
        <v>30</v>
      </c>
      <c r="B1" s="9" t="s">
        <v>0</v>
      </c>
      <c r="C1" s="9" t="s">
        <v>1</v>
      </c>
      <c r="D1" s="10" t="s">
        <v>2</v>
      </c>
      <c r="E1" s="11" t="s">
        <v>3</v>
      </c>
      <c r="F1" s="12" t="s">
        <v>276</v>
      </c>
      <c r="G1" s="19" t="s">
        <v>440</v>
      </c>
    </row>
    <row r="2" spans="1:7" ht="36.75" x14ac:dyDescent="0.25">
      <c r="A2" s="27" t="s">
        <v>233</v>
      </c>
      <c r="B2" s="27" t="s">
        <v>32</v>
      </c>
      <c r="C2" s="38" t="s">
        <v>564</v>
      </c>
      <c r="D2" s="27" t="s">
        <v>565</v>
      </c>
      <c r="E2" s="38"/>
      <c r="F2" s="39"/>
      <c r="G2" s="39"/>
    </row>
    <row r="3" spans="1:7" s="22" customFormat="1" ht="36.75" x14ac:dyDescent="0.25">
      <c r="A3" s="27" t="s">
        <v>233</v>
      </c>
      <c r="B3" s="27" t="s">
        <v>559</v>
      </c>
      <c r="C3" s="38" t="s">
        <v>566</v>
      </c>
      <c r="D3" s="27" t="s">
        <v>567</v>
      </c>
      <c r="E3" s="38"/>
      <c r="F3" s="39" t="s">
        <v>568</v>
      </c>
      <c r="G3" s="39"/>
    </row>
    <row r="4" spans="1:7" ht="48.75" x14ac:dyDescent="0.25">
      <c r="A4" s="27" t="s">
        <v>233</v>
      </c>
      <c r="B4" s="27" t="s">
        <v>6</v>
      </c>
      <c r="C4" s="38" t="s">
        <v>241</v>
      </c>
      <c r="D4" s="27" t="s">
        <v>428</v>
      </c>
      <c r="E4" s="38"/>
      <c r="F4" s="39"/>
      <c r="G4" s="39"/>
    </row>
    <row r="5" spans="1:7" ht="96.75" x14ac:dyDescent="0.25">
      <c r="A5" s="27" t="s">
        <v>31</v>
      </c>
      <c r="B5" s="27" t="s">
        <v>32</v>
      </c>
      <c r="C5" s="38" t="s">
        <v>33</v>
      </c>
      <c r="D5" s="27" t="s">
        <v>277</v>
      </c>
      <c r="E5" s="38" t="s">
        <v>34</v>
      </c>
      <c r="F5" s="39"/>
      <c r="G5" s="39" t="s">
        <v>278</v>
      </c>
    </row>
    <row r="6" spans="1:7" ht="192.75" x14ac:dyDescent="0.25">
      <c r="A6" s="27" t="s">
        <v>42</v>
      </c>
      <c r="B6" s="27" t="s">
        <v>6</v>
      </c>
      <c r="C6" s="38" t="s">
        <v>554</v>
      </c>
      <c r="D6" s="27" t="s">
        <v>555</v>
      </c>
      <c r="E6" s="38"/>
      <c r="F6" s="74"/>
      <c r="G6" s="39"/>
    </row>
    <row r="7" spans="1:7" ht="168.75" x14ac:dyDescent="0.25">
      <c r="A7" s="27" t="s">
        <v>42</v>
      </c>
      <c r="B7" s="27" t="s">
        <v>11</v>
      </c>
      <c r="C7" s="38" t="s">
        <v>551</v>
      </c>
      <c r="D7" s="27" t="s">
        <v>552</v>
      </c>
      <c r="E7" s="38"/>
      <c r="F7" s="74" t="s">
        <v>553</v>
      </c>
      <c r="G7" s="39" t="s">
        <v>300</v>
      </c>
    </row>
    <row r="8" spans="1:7" ht="36.75" x14ac:dyDescent="0.25">
      <c r="A8" s="27" t="s">
        <v>42</v>
      </c>
      <c r="B8" s="27" t="s">
        <v>32</v>
      </c>
      <c r="C8" s="38" t="s">
        <v>47</v>
      </c>
      <c r="D8" s="27" t="s">
        <v>347</v>
      </c>
      <c r="E8" s="38"/>
      <c r="F8" s="39"/>
      <c r="G8" s="39"/>
    </row>
    <row r="9" spans="1:7" ht="144.75" x14ac:dyDescent="0.25">
      <c r="A9" s="27" t="s">
        <v>113</v>
      </c>
      <c r="B9" s="27" t="s">
        <v>604</v>
      </c>
      <c r="C9" s="38" t="s">
        <v>615</v>
      </c>
      <c r="D9" s="27" t="s">
        <v>399</v>
      </c>
      <c r="E9" s="38"/>
      <c r="F9" s="39"/>
      <c r="G9" s="27"/>
    </row>
    <row r="10" spans="1:7" ht="144.75" x14ac:dyDescent="0.25">
      <c r="A10" s="27" t="s">
        <v>113</v>
      </c>
      <c r="B10" s="27" t="s">
        <v>604</v>
      </c>
      <c r="C10" s="38" t="s">
        <v>613</v>
      </c>
      <c r="D10" s="27" t="s">
        <v>614</v>
      </c>
      <c r="E10" s="38"/>
      <c r="F10" s="39"/>
      <c r="G10" s="27"/>
    </row>
    <row r="11" spans="1:7" ht="60.75" x14ac:dyDescent="0.25">
      <c r="A11" s="27" t="s">
        <v>342</v>
      </c>
      <c r="B11" s="27" t="s">
        <v>11</v>
      </c>
      <c r="C11" s="38" t="s">
        <v>28</v>
      </c>
      <c r="D11" s="27" t="s">
        <v>29</v>
      </c>
      <c r="E11" s="38"/>
      <c r="F11" s="39"/>
      <c r="G11" s="27"/>
    </row>
    <row r="12" spans="1:7" ht="60.75" x14ac:dyDescent="0.25">
      <c r="A12" s="27" t="s">
        <v>342</v>
      </c>
      <c r="B12" s="27" t="s">
        <v>11</v>
      </c>
      <c r="C12" s="38" t="s">
        <v>24</v>
      </c>
      <c r="D12" s="27" t="s">
        <v>25</v>
      </c>
      <c r="E12" s="38"/>
      <c r="F12" s="39"/>
      <c r="G12" s="27"/>
    </row>
    <row r="13" spans="1:7" x14ac:dyDescent="0.25">
      <c r="A13" s="24"/>
      <c r="B13" s="24"/>
      <c r="C13" s="25"/>
      <c r="D13" s="24"/>
      <c r="E13" s="25"/>
      <c r="F13" s="26"/>
      <c r="G13" s="24"/>
    </row>
    <row r="14" spans="1:7" x14ac:dyDescent="0.25">
      <c r="A14" s="24"/>
      <c r="B14" s="24"/>
      <c r="C14" s="25"/>
      <c r="D14" s="24"/>
      <c r="E14" s="25"/>
      <c r="F14" s="26"/>
      <c r="G14" s="24"/>
    </row>
    <row r="15" spans="1:7" x14ac:dyDescent="0.25">
      <c r="A15" s="24"/>
      <c r="B15" s="24"/>
      <c r="C15" s="25"/>
      <c r="D15" s="24"/>
      <c r="E15" s="25"/>
      <c r="F15" s="26"/>
      <c r="G15" s="24"/>
    </row>
    <row r="16" spans="1:7" x14ac:dyDescent="0.25">
      <c r="A16" s="24"/>
      <c r="B16" s="24"/>
      <c r="C16" s="25"/>
      <c r="D16" s="24"/>
      <c r="E16" s="25"/>
      <c r="F16" s="26"/>
      <c r="G16" s="24"/>
    </row>
    <row r="17" spans="1:7" x14ac:dyDescent="0.25">
      <c r="A17" s="24"/>
      <c r="B17" s="24"/>
      <c r="C17" s="25"/>
      <c r="D17" s="24"/>
      <c r="E17" s="25"/>
      <c r="F17" s="26"/>
      <c r="G17" s="24"/>
    </row>
    <row r="18" spans="1:7" x14ac:dyDescent="0.25">
      <c r="A18" s="24"/>
      <c r="B18" s="24"/>
      <c r="C18" s="25"/>
      <c r="D18" s="24"/>
      <c r="E18" s="25"/>
      <c r="F18" s="26"/>
      <c r="G18" s="24"/>
    </row>
    <row r="19" spans="1:7" x14ac:dyDescent="0.25">
      <c r="A19" s="24"/>
      <c r="B19" s="24"/>
      <c r="C19" s="25"/>
      <c r="D19" s="24"/>
      <c r="E19" s="25"/>
      <c r="F19" s="26"/>
      <c r="G19" s="24"/>
    </row>
    <row r="20" spans="1:7" x14ac:dyDescent="0.25">
      <c r="A20" s="72"/>
      <c r="B20" s="24"/>
      <c r="C20" s="25"/>
      <c r="D20" s="24"/>
      <c r="E20" s="25"/>
      <c r="F20" s="26"/>
      <c r="G20" s="24"/>
    </row>
    <row r="35" spans="1:1" ht="15.75" thickBot="1" x14ac:dyDescent="0.3">
      <c r="A35" s="73">
        <f>COUNTA(A2:A18)</f>
        <v>11</v>
      </c>
    </row>
    <row r="54" spans="1:1" x14ac:dyDescent="0.25">
      <c r="A54" s="1">
        <f>COUNTA(A2:A42)</f>
        <v>12</v>
      </c>
    </row>
  </sheetData>
  <hyperlinks>
    <hyperlink ref="C3" r:id="rId1" display="http://aka.ms/DDPIR13"/>
    <hyperlink ref="C2" r:id="rId2" display="http://aka.ms/DDPIR14"/>
    <hyperlink ref="C5" r:id="rId3" display="http://aka.ms/DIDIA2"/>
    <hyperlink ref="E5" r:id="rId4" display="http://aka.ms/PIDIA2"/>
    <hyperlink ref="C4" r:id="rId5" display="http://aka.ms/DDPIR4"/>
    <hyperlink ref="C6" r:id="rId6" display="https://aka.ms/IA242"/>
    <hyperlink ref="C8" r:id="rId7" display="http://aka.ms/DAUIA4"/>
    <hyperlink ref="C7" r:id="rId8" display="https://aka.ms/IA241"/>
    <hyperlink ref="C9" r:id="rId9" display="http://aka.ms/DDPEnc9"/>
    <hyperlink ref="C12" r:id="rId10" display="http://aka.ms/DDPDR7"/>
    <hyperlink ref="C11" r:id="rId11" display="http://aka.ms/DDPDR9"/>
    <hyperlink ref="C10" r:id="rId12" display="http://aka.ms/DDPEnc8"/>
  </hyperlinks>
  <pageMargins left="0.7" right="0.7" top="0.75" bottom="0.75" header="0.3" footer="0.3"/>
  <pageSetup orientation="portrait" r:id="rId13"/>
  <drawing r:id="rId14"/>
  <tableParts count="1">
    <tablePart r:id="rId1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pane ySplit="1" topLeftCell="A2" activePane="bottomLeft" state="frozen"/>
      <selection pane="bottomLeft" activeCell="A2" sqref="A2"/>
    </sheetView>
  </sheetViews>
  <sheetFormatPr defaultColWidth="9.140625" defaultRowHeight="15" x14ac:dyDescent="0.25"/>
  <cols>
    <col min="1" max="1" width="12.7109375" style="1" customWidth="1"/>
    <col min="2" max="2" width="19.42578125" style="1" customWidth="1"/>
    <col min="3" max="3" width="29.5703125" style="7" customWidth="1"/>
    <col min="4" max="4" width="48.28515625" style="1" customWidth="1"/>
    <col min="5" max="5" width="26.42578125" style="1" customWidth="1"/>
    <col min="6" max="6" width="24.42578125" style="1" customWidth="1"/>
    <col min="7" max="7" width="24.28515625" style="1" customWidth="1"/>
    <col min="8" max="16384" width="9.140625" style="1"/>
  </cols>
  <sheetData>
    <row r="1" spans="1:7" ht="15.75" thickBot="1" x14ac:dyDescent="0.3">
      <c r="A1" s="9" t="s">
        <v>30</v>
      </c>
      <c r="B1" s="9" t="s">
        <v>0</v>
      </c>
      <c r="C1" s="9" t="s">
        <v>324</v>
      </c>
      <c r="D1" s="10" t="s">
        <v>2</v>
      </c>
      <c r="E1" s="11" t="s">
        <v>3</v>
      </c>
      <c r="F1" s="12" t="s">
        <v>276</v>
      </c>
      <c r="G1" s="19" t="s">
        <v>440</v>
      </c>
    </row>
    <row r="2" spans="1:7" ht="180.75" x14ac:dyDescent="0.25">
      <c r="A2" s="27" t="s">
        <v>100</v>
      </c>
      <c r="B2" s="27" t="s">
        <v>604</v>
      </c>
      <c r="C2" s="30" t="s">
        <v>109</v>
      </c>
      <c r="D2" s="27" t="s">
        <v>619</v>
      </c>
      <c r="E2" s="30"/>
      <c r="F2" s="31"/>
      <c r="G2" s="31"/>
    </row>
    <row r="3" spans="1:7" ht="156.75" x14ac:dyDescent="0.25">
      <c r="A3" s="27" t="s">
        <v>100</v>
      </c>
      <c r="B3" s="27" t="s">
        <v>559</v>
      </c>
      <c r="C3" s="30" t="s">
        <v>447</v>
      </c>
      <c r="D3" s="27" t="s">
        <v>491</v>
      </c>
      <c r="E3" s="30"/>
      <c r="F3" s="31"/>
      <c r="G3" s="31"/>
    </row>
    <row r="4" spans="1:7" ht="144.75" x14ac:dyDescent="0.25">
      <c r="A4" s="27" t="s">
        <v>100</v>
      </c>
      <c r="B4" s="27" t="s">
        <v>559</v>
      </c>
      <c r="C4" s="30" t="s">
        <v>492</v>
      </c>
      <c r="D4" s="27" t="s">
        <v>394</v>
      </c>
      <c r="E4" s="30"/>
      <c r="F4" s="31"/>
      <c r="G4" s="31"/>
    </row>
    <row r="5" spans="1:7" ht="120.75" x14ac:dyDescent="0.25">
      <c r="A5" s="27" t="s">
        <v>257</v>
      </c>
      <c r="B5" s="27" t="s">
        <v>258</v>
      </c>
      <c r="C5" s="30" t="s">
        <v>496</v>
      </c>
      <c r="D5" s="27" t="s">
        <v>497</v>
      </c>
      <c r="E5" s="30"/>
      <c r="F5" s="31"/>
      <c r="G5" s="31"/>
    </row>
    <row r="6" spans="1:7" ht="60.75" x14ac:dyDescent="0.25">
      <c r="A6" s="27" t="s">
        <v>257</v>
      </c>
      <c r="B6" s="27" t="s">
        <v>258</v>
      </c>
      <c r="C6" s="30" t="s">
        <v>506</v>
      </c>
      <c r="D6" s="27" t="s">
        <v>577</v>
      </c>
      <c r="E6" s="30"/>
      <c r="F6" s="31"/>
      <c r="G6" s="31"/>
    </row>
    <row r="7" spans="1:7" ht="36.75" x14ac:dyDescent="0.25">
      <c r="A7" s="27" t="s">
        <v>233</v>
      </c>
      <c r="B7" s="27" t="s">
        <v>559</v>
      </c>
      <c r="C7" s="30" t="s">
        <v>566</v>
      </c>
      <c r="D7" s="27" t="s">
        <v>567</v>
      </c>
      <c r="E7" s="30"/>
      <c r="F7" s="31" t="s">
        <v>568</v>
      </c>
      <c r="G7" s="31"/>
    </row>
    <row r="8" spans="1:7" ht="84.75" x14ac:dyDescent="0.25">
      <c r="A8" s="27" t="s">
        <v>42</v>
      </c>
      <c r="B8" s="27" t="s">
        <v>559</v>
      </c>
      <c r="C8" s="30" t="s">
        <v>539</v>
      </c>
      <c r="D8" s="27" t="s">
        <v>540</v>
      </c>
      <c r="E8" s="30"/>
      <c r="F8" s="31"/>
      <c r="G8" s="31"/>
    </row>
    <row r="9" spans="1:7" ht="192.75" x14ac:dyDescent="0.25">
      <c r="A9" s="27" t="s">
        <v>42</v>
      </c>
      <c r="B9" s="27" t="s">
        <v>6</v>
      </c>
      <c r="C9" s="30" t="s">
        <v>554</v>
      </c>
      <c r="D9" s="27" t="s">
        <v>555</v>
      </c>
      <c r="E9" s="30"/>
      <c r="F9" s="31"/>
      <c r="G9" s="31"/>
    </row>
    <row r="10" spans="1:7" ht="144.75" x14ac:dyDescent="0.25">
      <c r="A10" s="27" t="s">
        <v>113</v>
      </c>
      <c r="B10" s="27" t="s">
        <v>604</v>
      </c>
      <c r="C10" s="30" t="s">
        <v>615</v>
      </c>
      <c r="D10" s="27" t="s">
        <v>399</v>
      </c>
      <c r="E10" s="30"/>
      <c r="F10" s="31"/>
      <c r="G10" s="31"/>
    </row>
    <row r="11" spans="1:7" ht="144.75" x14ac:dyDescent="0.25">
      <c r="A11" s="27" t="s">
        <v>113</v>
      </c>
      <c r="B11" s="27" t="s">
        <v>604</v>
      </c>
      <c r="C11" s="30" t="s">
        <v>613</v>
      </c>
      <c r="D11" s="27" t="s">
        <v>614</v>
      </c>
      <c r="E11" s="30"/>
      <c r="F11" s="31"/>
      <c r="G11" s="31"/>
    </row>
    <row r="12" spans="1:7" x14ac:dyDescent="0.25">
      <c r="A12" s="27"/>
      <c r="B12" s="27"/>
      <c r="C12" s="30"/>
      <c r="D12" s="27"/>
      <c r="E12" s="30"/>
      <c r="F12" s="31"/>
      <c r="G12" s="31"/>
    </row>
    <row r="13" spans="1:7" x14ac:dyDescent="0.25">
      <c r="A13" s="27"/>
      <c r="B13" s="27"/>
      <c r="C13" s="30"/>
      <c r="D13" s="27"/>
      <c r="E13" s="30"/>
      <c r="F13" s="31"/>
      <c r="G13" s="31"/>
    </row>
    <row r="14" spans="1:7" x14ac:dyDescent="0.25">
      <c r="A14" s="27"/>
      <c r="B14" s="27"/>
      <c r="C14" s="30"/>
      <c r="D14" s="27"/>
      <c r="E14" s="30"/>
      <c r="F14" s="31"/>
      <c r="G14" s="31"/>
    </row>
    <row r="15" spans="1:7" x14ac:dyDescent="0.25">
      <c r="A15" s="27"/>
      <c r="B15" s="27"/>
      <c r="C15" s="30"/>
      <c r="D15" s="27"/>
      <c r="E15" s="30"/>
      <c r="F15" s="31"/>
      <c r="G15" s="31"/>
    </row>
    <row r="16" spans="1:7" x14ac:dyDescent="0.25">
      <c r="A16" s="27"/>
      <c r="B16" s="27"/>
      <c r="C16" s="30"/>
      <c r="D16" s="27"/>
      <c r="E16" s="30"/>
      <c r="F16" s="31"/>
      <c r="G16" s="31"/>
    </row>
    <row r="17" spans="1:7" x14ac:dyDescent="0.25">
      <c r="A17" s="27"/>
      <c r="B17" s="27"/>
      <c r="C17" s="30"/>
      <c r="D17" s="27"/>
      <c r="E17" s="30"/>
      <c r="F17" s="31"/>
      <c r="G17" s="31"/>
    </row>
    <row r="18" spans="1:7" x14ac:dyDescent="0.25">
      <c r="A18" s="27"/>
      <c r="B18" s="27"/>
      <c r="C18" s="30"/>
      <c r="D18" s="27"/>
      <c r="E18" s="30"/>
      <c r="F18" s="31"/>
      <c r="G18" s="31"/>
    </row>
    <row r="19" spans="1:7" x14ac:dyDescent="0.25">
      <c r="A19" s="27"/>
      <c r="B19" s="27"/>
      <c r="C19" s="30"/>
      <c r="D19" s="27"/>
      <c r="E19" s="30"/>
      <c r="F19" s="31"/>
      <c r="G19" s="31"/>
    </row>
    <row r="20" spans="1:7" x14ac:dyDescent="0.25">
      <c r="A20" s="27"/>
      <c r="B20" s="27"/>
      <c r="C20" s="30"/>
      <c r="D20" s="27"/>
      <c r="E20" s="30"/>
      <c r="F20" s="31"/>
      <c r="G20" s="31"/>
    </row>
    <row r="21" spans="1:7" s="127" customFormat="1" x14ac:dyDescent="0.25">
      <c r="A21" s="124"/>
      <c r="B21" s="124"/>
      <c r="C21" s="125"/>
      <c r="D21" s="124"/>
      <c r="E21" s="125"/>
      <c r="F21" s="126"/>
      <c r="G21" s="126"/>
    </row>
    <row r="22" spans="1:7" s="127" customFormat="1" x14ac:dyDescent="0.25">
      <c r="A22" s="124"/>
      <c r="B22" s="124"/>
      <c r="C22" s="125"/>
      <c r="D22" s="124"/>
      <c r="E22" s="125"/>
      <c r="F22" s="126"/>
      <c r="G22" s="126"/>
    </row>
    <row r="23" spans="1:7" s="127" customFormat="1" x14ac:dyDescent="0.25">
      <c r="A23" s="124"/>
      <c r="B23" s="124"/>
      <c r="C23" s="125"/>
      <c r="D23" s="124"/>
      <c r="E23" s="125"/>
      <c r="F23" s="126"/>
      <c r="G23" s="126"/>
    </row>
    <row r="24" spans="1:7" s="127" customFormat="1" x14ac:dyDescent="0.25">
      <c r="A24" s="124"/>
      <c r="B24" s="124"/>
      <c r="C24" s="125"/>
      <c r="D24" s="124"/>
      <c r="E24" s="125"/>
      <c r="F24" s="126"/>
      <c r="G24" s="126"/>
    </row>
    <row r="25" spans="1:7" s="127" customFormat="1" x14ac:dyDescent="0.25">
      <c r="A25" s="124"/>
      <c r="B25" s="124"/>
      <c r="C25" s="125"/>
      <c r="D25" s="124"/>
      <c r="E25" s="125"/>
      <c r="F25" s="126"/>
      <c r="G25" s="126"/>
    </row>
    <row r="61" spans="1:1" x14ac:dyDescent="0.25">
      <c r="A61" s="1">
        <f>COUNTA(A2:A49)</f>
        <v>10</v>
      </c>
    </row>
  </sheetData>
  <hyperlinks>
    <hyperlink ref="C3" r:id="rId1" display="http://aka.ms/DAULog33"/>
    <hyperlink ref="C4" r:id="rId2" display="http://aka.ms/DAULog26"/>
    <hyperlink ref="C2" r:id="rId3" display="http://aka.ms/DAULog25"/>
    <hyperlink ref="C5" r:id="rId4" display="http://aka.ms/dcmcli27"/>
    <hyperlink ref="C6" r:id="rId5" display="https://aka.ms/DCM1423"/>
    <hyperlink ref="C7" r:id="rId6" display="http://aka.ms/DDPIR13"/>
    <hyperlink ref="C8" r:id="rId7" display="https://aka.ms/dia201"/>
    <hyperlink ref="C9" r:id="rId8" display="https://aka.ms/IA242"/>
    <hyperlink ref="C10" r:id="rId9" display="http://aka.ms/DDPEnc9"/>
    <hyperlink ref="C11" r:id="rId10" display="http://aka.ms/DDPEnc8"/>
  </hyperlinks>
  <pageMargins left="0.7" right="0.7" top="0.75" bottom="0.75" header="0.3" footer="0.3"/>
  <pageSetup orientation="portrait" r:id="rId11"/>
  <drawing r:id="rId12"/>
  <tableParts count="1">
    <tablePart r:id="rId1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pane ySplit="1" topLeftCell="A2" activePane="bottomLeft" state="frozen"/>
      <selection pane="bottomLeft" activeCell="A2" sqref="A2"/>
    </sheetView>
  </sheetViews>
  <sheetFormatPr defaultColWidth="9.140625" defaultRowHeight="15" x14ac:dyDescent="0.25"/>
  <cols>
    <col min="1" max="1" width="12.7109375" style="1" customWidth="1"/>
    <col min="2" max="2" width="19.42578125" style="1" customWidth="1"/>
    <col min="3" max="3" width="29.5703125" style="7" customWidth="1"/>
    <col min="4" max="4" width="48.28515625" style="1" customWidth="1"/>
    <col min="5" max="5" width="21.140625" style="1" customWidth="1"/>
    <col min="6" max="6" width="23.42578125" style="1" customWidth="1"/>
    <col min="7" max="7" width="29.28515625" style="1" customWidth="1"/>
    <col min="8" max="16384" width="9.140625" style="1"/>
  </cols>
  <sheetData>
    <row r="1" spans="1:7" x14ac:dyDescent="0.25">
      <c r="A1" s="33" t="s">
        <v>30</v>
      </c>
      <c r="B1" s="33" t="s">
        <v>0</v>
      </c>
      <c r="C1" s="33" t="s">
        <v>575</v>
      </c>
      <c r="D1" s="33" t="s">
        <v>2</v>
      </c>
      <c r="E1" s="33" t="s">
        <v>576</v>
      </c>
      <c r="F1" s="33" t="s">
        <v>276</v>
      </c>
      <c r="G1" s="33" t="s">
        <v>440</v>
      </c>
    </row>
    <row r="2" spans="1:7" ht="84.75" x14ac:dyDescent="0.25">
      <c r="A2" s="33" t="s">
        <v>77</v>
      </c>
      <c r="B2" s="33" t="s">
        <v>6</v>
      </c>
      <c r="C2" s="75" t="s">
        <v>82</v>
      </c>
      <c r="D2" s="33" t="s">
        <v>367</v>
      </c>
      <c r="E2" s="75" t="s">
        <v>83</v>
      </c>
      <c r="F2" s="60" t="s">
        <v>294</v>
      </c>
      <c r="G2" s="60" t="s">
        <v>295</v>
      </c>
    </row>
    <row r="3" spans="1:7" ht="84.75" x14ac:dyDescent="0.25">
      <c r="A3" s="33" t="s">
        <v>77</v>
      </c>
      <c r="B3" s="33" t="s">
        <v>6</v>
      </c>
      <c r="C3" s="75" t="s">
        <v>574</v>
      </c>
      <c r="D3" s="33" t="s">
        <v>366</v>
      </c>
      <c r="E3" s="75"/>
      <c r="F3" s="60"/>
      <c r="G3" s="60" t="s">
        <v>293</v>
      </c>
    </row>
    <row r="4" spans="1:7" ht="39" customHeight="1" x14ac:dyDescent="0.25">
      <c r="A4" s="33" t="s">
        <v>31</v>
      </c>
      <c r="B4" s="33" t="s">
        <v>32</v>
      </c>
      <c r="C4" s="128" t="s">
        <v>35</v>
      </c>
      <c r="D4" s="33" t="s">
        <v>279</v>
      </c>
      <c r="E4" s="75" t="s">
        <v>36</v>
      </c>
      <c r="F4" s="60"/>
      <c r="G4" s="60" t="s">
        <v>280</v>
      </c>
    </row>
    <row r="5" spans="1:7" ht="84.75" x14ac:dyDescent="0.25">
      <c r="A5" s="33" t="s">
        <v>31</v>
      </c>
      <c r="B5" s="33" t="s">
        <v>32</v>
      </c>
      <c r="C5" s="75" t="s">
        <v>33</v>
      </c>
      <c r="D5" s="33" t="s">
        <v>277</v>
      </c>
      <c r="E5" s="75" t="s">
        <v>34</v>
      </c>
      <c r="F5" s="60"/>
      <c r="G5" s="60" t="s">
        <v>278</v>
      </c>
    </row>
    <row r="6" spans="1:7" ht="192.75" x14ac:dyDescent="0.25">
      <c r="A6" s="33" t="s">
        <v>42</v>
      </c>
      <c r="B6" s="33" t="s">
        <v>32</v>
      </c>
      <c r="C6" s="75" t="s">
        <v>547</v>
      </c>
      <c r="D6" s="33" t="s">
        <v>548</v>
      </c>
      <c r="E6" s="75"/>
      <c r="F6" s="60"/>
      <c r="G6" s="60"/>
    </row>
    <row r="7" spans="1:7" ht="24.75" x14ac:dyDescent="0.25">
      <c r="A7" s="33" t="s">
        <v>42</v>
      </c>
      <c r="B7" s="33" t="s">
        <v>32</v>
      </c>
      <c r="C7" s="128" t="s">
        <v>541</v>
      </c>
      <c r="D7" s="33" t="s">
        <v>542</v>
      </c>
      <c r="E7" s="75"/>
      <c r="F7" s="60"/>
      <c r="G7" s="60"/>
    </row>
    <row r="8" spans="1:7" ht="84.75" x14ac:dyDescent="0.25">
      <c r="A8" s="33" t="s">
        <v>42</v>
      </c>
      <c r="B8" s="33" t="s">
        <v>559</v>
      </c>
      <c r="C8" s="75" t="s">
        <v>539</v>
      </c>
      <c r="D8" s="33" t="s">
        <v>540</v>
      </c>
      <c r="E8" s="75"/>
      <c r="F8" s="60"/>
      <c r="G8" s="60"/>
    </row>
    <row r="9" spans="1:7" s="22" customFormat="1" ht="144.75" x14ac:dyDescent="0.25">
      <c r="A9" s="33" t="s">
        <v>113</v>
      </c>
      <c r="B9" s="33" t="s">
        <v>604</v>
      </c>
      <c r="C9" s="75" t="s">
        <v>116</v>
      </c>
      <c r="D9" s="33" t="s">
        <v>609</v>
      </c>
      <c r="E9" s="75"/>
      <c r="F9" s="60"/>
      <c r="G9" s="60"/>
    </row>
    <row r="10" spans="1:7" ht="120.75" x14ac:dyDescent="0.25">
      <c r="A10" s="33" t="s">
        <v>257</v>
      </c>
      <c r="B10" s="33" t="s">
        <v>258</v>
      </c>
      <c r="C10" s="75" t="s">
        <v>496</v>
      </c>
      <c r="D10" s="33" t="s">
        <v>497</v>
      </c>
      <c r="E10" s="75"/>
      <c r="F10" s="60"/>
      <c r="G10" s="60"/>
    </row>
    <row r="11" spans="1:7" ht="96.75" x14ac:dyDescent="0.25">
      <c r="A11" s="33" t="s">
        <v>100</v>
      </c>
      <c r="B11" s="33" t="s">
        <v>559</v>
      </c>
      <c r="C11" s="75" t="s">
        <v>494</v>
      </c>
      <c r="D11" s="33" t="s">
        <v>495</v>
      </c>
      <c r="E11" s="75"/>
      <c r="F11" s="60"/>
      <c r="G11" s="60"/>
    </row>
    <row r="12" spans="1:7" ht="144.75" x14ac:dyDescent="0.25">
      <c r="A12" s="33" t="s">
        <v>100</v>
      </c>
      <c r="B12" s="33" t="s">
        <v>559</v>
      </c>
      <c r="C12" s="75" t="s">
        <v>492</v>
      </c>
      <c r="D12" s="33" t="s">
        <v>394</v>
      </c>
      <c r="E12" s="75"/>
      <c r="F12" s="60"/>
      <c r="G12" s="60"/>
    </row>
    <row r="13" spans="1:7" ht="156.75" x14ac:dyDescent="0.25">
      <c r="A13" s="33" t="s">
        <v>100</v>
      </c>
      <c r="B13" s="33" t="s">
        <v>559</v>
      </c>
      <c r="C13" s="75" t="s">
        <v>447</v>
      </c>
      <c r="D13" s="33" t="s">
        <v>491</v>
      </c>
      <c r="E13" s="75"/>
      <c r="F13" s="60"/>
      <c r="G13" s="60"/>
    </row>
    <row r="14" spans="1:7" ht="168.75" x14ac:dyDescent="0.25">
      <c r="A14" s="33" t="s">
        <v>100</v>
      </c>
      <c r="B14" s="33" t="s">
        <v>604</v>
      </c>
      <c r="C14" s="75" t="s">
        <v>108</v>
      </c>
      <c r="D14" s="33" t="s">
        <v>618</v>
      </c>
      <c r="E14" s="75"/>
      <c r="F14" s="60"/>
      <c r="G14" s="60"/>
    </row>
    <row r="15" spans="1:7" ht="409.6" x14ac:dyDescent="0.25">
      <c r="A15" s="33" t="s">
        <v>100</v>
      </c>
      <c r="B15" s="33" t="s">
        <v>604</v>
      </c>
      <c r="C15" s="75" t="s">
        <v>616</v>
      </c>
      <c r="D15" s="33" t="s">
        <v>617</v>
      </c>
      <c r="E15" s="75"/>
      <c r="F15" s="60" t="s">
        <v>312</v>
      </c>
      <c r="G15" s="60" t="s">
        <v>313</v>
      </c>
    </row>
    <row r="16" spans="1:7" ht="36.75" x14ac:dyDescent="0.25">
      <c r="A16" s="33" t="s">
        <v>100</v>
      </c>
      <c r="B16" s="33" t="s">
        <v>11</v>
      </c>
      <c r="C16" s="75" t="s">
        <v>337</v>
      </c>
      <c r="D16" s="33" t="s">
        <v>393</v>
      </c>
      <c r="E16" s="75"/>
      <c r="F16" s="60"/>
      <c r="G16" s="60"/>
    </row>
    <row r="17" spans="1:7" ht="84.75" x14ac:dyDescent="0.25">
      <c r="A17" s="33" t="s">
        <v>100</v>
      </c>
      <c r="B17" s="33" t="s">
        <v>11</v>
      </c>
      <c r="C17" s="30" t="s">
        <v>487</v>
      </c>
      <c r="D17" s="33" t="s">
        <v>488</v>
      </c>
      <c r="E17" s="75"/>
      <c r="F17" s="60" t="s">
        <v>310</v>
      </c>
      <c r="G17" s="60" t="s">
        <v>311</v>
      </c>
    </row>
    <row r="18" spans="1:7" ht="132.75" x14ac:dyDescent="0.25">
      <c r="A18" s="33" t="s">
        <v>100</v>
      </c>
      <c r="B18" s="33" t="s">
        <v>11</v>
      </c>
      <c r="C18" s="30" t="s">
        <v>486</v>
      </c>
      <c r="D18" s="33" t="s">
        <v>598</v>
      </c>
      <c r="E18" s="75"/>
      <c r="F18" s="60" t="s">
        <v>310</v>
      </c>
      <c r="G18" s="60" t="s">
        <v>311</v>
      </c>
    </row>
    <row r="19" spans="1:7" ht="84.75" x14ac:dyDescent="0.25">
      <c r="A19" s="33" t="s">
        <v>100</v>
      </c>
      <c r="B19" s="33" t="s">
        <v>11</v>
      </c>
      <c r="C19" s="75" t="s">
        <v>485</v>
      </c>
      <c r="D19" s="33" t="s">
        <v>597</v>
      </c>
      <c r="E19" s="75"/>
      <c r="F19" s="60" t="s">
        <v>310</v>
      </c>
      <c r="G19" s="60" t="s">
        <v>311</v>
      </c>
    </row>
    <row r="20" spans="1:7" ht="24.75" x14ac:dyDescent="0.25">
      <c r="A20" s="33" t="s">
        <v>100</v>
      </c>
      <c r="B20" s="33" t="s">
        <v>32</v>
      </c>
      <c r="C20" s="75" t="s">
        <v>467</v>
      </c>
      <c r="D20" s="33" t="s">
        <v>468</v>
      </c>
      <c r="E20" s="75"/>
      <c r="F20" s="60"/>
      <c r="G20" s="60"/>
    </row>
    <row r="21" spans="1:7" ht="60.75" x14ac:dyDescent="0.25">
      <c r="A21" s="33" t="s">
        <v>100</v>
      </c>
      <c r="B21" s="33" t="s">
        <v>32</v>
      </c>
      <c r="C21" s="75" t="s">
        <v>465</v>
      </c>
      <c r="D21" s="33" t="s">
        <v>466</v>
      </c>
      <c r="E21" s="75"/>
      <c r="F21" s="60"/>
      <c r="G21" s="60"/>
    </row>
    <row r="22" spans="1:7" ht="36.75" x14ac:dyDescent="0.25">
      <c r="A22" s="33" t="s">
        <v>100</v>
      </c>
      <c r="B22" s="33" t="s">
        <v>32</v>
      </c>
      <c r="C22" s="75" t="s">
        <v>463</v>
      </c>
      <c r="D22" s="33" t="s">
        <v>464</v>
      </c>
      <c r="E22" s="75"/>
      <c r="F22" s="60"/>
      <c r="G22" s="60"/>
    </row>
    <row r="23" spans="1:7" ht="60.75" x14ac:dyDescent="0.25">
      <c r="A23" s="33" t="s">
        <v>100</v>
      </c>
      <c r="B23" s="33" t="s">
        <v>32</v>
      </c>
      <c r="C23" s="75" t="s">
        <v>461</v>
      </c>
      <c r="D23" s="33" t="s">
        <v>462</v>
      </c>
      <c r="E23" s="75"/>
      <c r="F23" s="60"/>
      <c r="G23" s="60"/>
    </row>
    <row r="24" spans="1:7" ht="48.75" x14ac:dyDescent="0.25">
      <c r="A24" s="33" t="s">
        <v>149</v>
      </c>
      <c r="B24" s="33" t="s">
        <v>6</v>
      </c>
      <c r="C24" s="75" t="s">
        <v>171</v>
      </c>
      <c r="D24" s="33" t="s">
        <v>172</v>
      </c>
      <c r="E24" s="75"/>
      <c r="F24" s="60"/>
      <c r="G24" s="60"/>
    </row>
    <row r="25" spans="1:7" x14ac:dyDescent="0.25">
      <c r="A25" s="33"/>
      <c r="B25" s="33"/>
      <c r="C25" s="75"/>
      <c r="D25" s="33"/>
      <c r="E25" s="75"/>
      <c r="F25" s="60"/>
      <c r="G25" s="60"/>
    </row>
    <row r="26" spans="1:7" x14ac:dyDescent="0.25">
      <c r="A26" s="33"/>
      <c r="B26" s="33"/>
      <c r="C26" s="75"/>
      <c r="D26" s="33"/>
      <c r="E26" s="75"/>
      <c r="F26" s="60"/>
      <c r="G26" s="60"/>
    </row>
    <row r="27" spans="1:7" x14ac:dyDescent="0.25">
      <c r="A27" s="33"/>
      <c r="B27" s="33"/>
      <c r="C27" s="75"/>
      <c r="D27" s="33"/>
      <c r="E27" s="75"/>
      <c r="F27" s="60"/>
      <c r="G27" s="60"/>
    </row>
    <row r="58" spans="1:1" x14ac:dyDescent="0.25">
      <c r="A58" s="1">
        <f>COUNTA(A2:A46)</f>
        <v>23</v>
      </c>
    </row>
  </sheetData>
  <hyperlinks>
    <hyperlink ref="E2" r:id="rId1" display="http://aka.ms/PUSRAC4"/>
    <hyperlink ref="C2" r:id="rId2" display="http://aka.ms/DUSRAC4"/>
    <hyperlink ref="C5" r:id="rId3" display="http://aka.ms/DIDIA2"/>
    <hyperlink ref="E5" r:id="rId4" display="http://aka.ms/PIDIA2"/>
    <hyperlink ref="E4" r:id="rId5" display="http://aka.ms/PIDIA3"/>
    <hyperlink ref="C6" r:id="rId6" display="https://aka.ms/DIA218"/>
    <hyperlink ref="C3" r:id="rId7" display="http://aka.ms/DUSRAC3"/>
    <hyperlink ref="C8" r:id="rId8" display="https://aka.ms/dia201"/>
    <hyperlink ref="C9" r:id="rId9" display="http://aka.ms/DDPEnc4"/>
    <hyperlink ref="C12" r:id="rId10" display="http://aka.ms/DAULog26"/>
    <hyperlink ref="C11" r:id="rId11" display="http://aka.ms/DAU600"/>
    <hyperlink ref="C10" r:id="rId12" display="http://aka.ms/dcmcli27"/>
    <hyperlink ref="C13" r:id="rId13" display="http://aka.ms/DAULog33"/>
    <hyperlink ref="C14" r:id="rId14" display="http://aka.ms/DAULog24"/>
    <hyperlink ref="C15" r:id="rId15" display="http://aka.ms/DAULog23"/>
    <hyperlink ref="C16" r:id="rId16" display="http://aka.ms/DAULog21"/>
    <hyperlink ref="C19" r:id="rId17"/>
    <hyperlink ref="C20" r:id="rId18" display="http://aka.ms/daulog37"/>
    <hyperlink ref="C21" r:id="rId19" display="http://aka.ms/daulog36"/>
    <hyperlink ref="C22" r:id="rId20" display="http://aka.ms/daulog35"/>
    <hyperlink ref="C24" r:id="rId21" display="http://aka.ms/DDPATP15"/>
    <hyperlink ref="C23" r:id="rId22" display="http://aka.ms/daulog34"/>
    <hyperlink ref="C17" r:id="rId23" display="https://aka.ms/daulog46"/>
    <hyperlink ref="C18" r:id="rId24" display="https://aka.ms/daulog45"/>
  </hyperlinks>
  <pageMargins left="0.7" right="0.7" top="0.75" bottom="0.75" header="0.3" footer="0.3"/>
  <pageSetup orientation="portrait" horizontalDpi="4294967293" verticalDpi="4294967293" r:id="rId25"/>
  <drawing r:id="rId26"/>
  <tableParts count="1">
    <tablePart r:id="rId27"/>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zoomScaleNormal="100" workbookViewId="0">
      <pane ySplit="1" topLeftCell="A2" activePane="bottomLeft" state="frozen"/>
      <selection pane="bottomLeft" activeCell="A2" sqref="A2"/>
    </sheetView>
  </sheetViews>
  <sheetFormatPr defaultColWidth="9.140625" defaultRowHeight="15" x14ac:dyDescent="0.25"/>
  <cols>
    <col min="1" max="1" width="12.7109375" style="8" customWidth="1"/>
    <col min="2" max="2" width="19.42578125" style="8" customWidth="1"/>
    <col min="3" max="3" width="25.28515625" style="77" customWidth="1"/>
    <col min="4" max="4" width="46.7109375" style="8" customWidth="1"/>
    <col min="5" max="5" width="26.42578125" style="8" customWidth="1"/>
    <col min="6" max="6" width="28" style="8" customWidth="1"/>
    <col min="7" max="7" width="18.7109375" style="8" customWidth="1"/>
    <col min="8" max="16384" width="9.140625" style="22"/>
  </cols>
  <sheetData>
    <row r="1" spans="1:7" x14ac:dyDescent="0.25">
      <c r="A1" s="27" t="s">
        <v>30</v>
      </c>
      <c r="B1" s="27" t="s">
        <v>0</v>
      </c>
      <c r="C1" s="27" t="s">
        <v>575</v>
      </c>
      <c r="D1" s="27" t="s">
        <v>2</v>
      </c>
      <c r="E1" s="27" t="s">
        <v>576</v>
      </c>
      <c r="F1" s="27" t="s">
        <v>276</v>
      </c>
      <c r="G1" s="27" t="s">
        <v>440</v>
      </c>
    </row>
    <row r="2" spans="1:7" ht="84.75" x14ac:dyDescent="0.25">
      <c r="A2" s="28" t="s">
        <v>149</v>
      </c>
      <c r="B2" s="28" t="s">
        <v>559</v>
      </c>
      <c r="C2" s="28" t="s">
        <v>150</v>
      </c>
      <c r="D2" s="28" t="s">
        <v>151</v>
      </c>
      <c r="E2" s="29"/>
      <c r="F2" s="29"/>
      <c r="G2" s="29"/>
    </row>
    <row r="3" spans="1:7" ht="84.75" x14ac:dyDescent="0.25">
      <c r="A3" s="27" t="s">
        <v>149</v>
      </c>
      <c r="B3" s="27" t="s">
        <v>6</v>
      </c>
      <c r="C3" s="30" t="s">
        <v>152</v>
      </c>
      <c r="D3" s="27" t="s">
        <v>416</v>
      </c>
      <c r="E3" s="30"/>
      <c r="F3" s="31"/>
      <c r="G3" s="31"/>
    </row>
    <row r="4" spans="1:7" ht="144.75" x14ac:dyDescent="0.25">
      <c r="A4" s="27" t="s">
        <v>149</v>
      </c>
      <c r="B4" s="27" t="s">
        <v>6</v>
      </c>
      <c r="C4" s="30" t="s">
        <v>153</v>
      </c>
      <c r="D4" s="27" t="s">
        <v>417</v>
      </c>
      <c r="E4" s="30"/>
      <c r="F4" s="31"/>
      <c r="G4" s="31"/>
    </row>
    <row r="5" spans="1:7" ht="96.75" x14ac:dyDescent="0.25">
      <c r="A5" s="27" t="s">
        <v>149</v>
      </c>
      <c r="B5" s="27" t="s">
        <v>6</v>
      </c>
      <c r="C5" s="30" t="s">
        <v>154</v>
      </c>
      <c r="D5" s="27" t="s">
        <v>590</v>
      </c>
      <c r="E5" s="30"/>
      <c r="F5" s="31"/>
      <c r="G5" s="31"/>
    </row>
    <row r="6" spans="1:7" ht="96.75" x14ac:dyDescent="0.25">
      <c r="A6" s="27" t="s">
        <v>149</v>
      </c>
      <c r="B6" s="27" t="s">
        <v>6</v>
      </c>
      <c r="C6" s="30" t="s">
        <v>156</v>
      </c>
      <c r="D6" s="27" t="s">
        <v>419</v>
      </c>
      <c r="E6" s="30" t="s">
        <v>157</v>
      </c>
      <c r="F6" s="31"/>
      <c r="G6" s="31"/>
    </row>
    <row r="7" spans="1:7" ht="108.75" x14ac:dyDescent="0.25">
      <c r="A7" s="27" t="s">
        <v>149</v>
      </c>
      <c r="B7" s="27" t="s">
        <v>6</v>
      </c>
      <c r="C7" s="30" t="s">
        <v>341</v>
      </c>
      <c r="D7" s="27" t="s">
        <v>420</v>
      </c>
      <c r="E7" s="30"/>
      <c r="F7" s="31"/>
      <c r="G7" s="31"/>
    </row>
    <row r="8" spans="1:7" ht="96.75" x14ac:dyDescent="0.25">
      <c r="A8" s="27" t="s">
        <v>149</v>
      </c>
      <c r="B8" s="27" t="s">
        <v>6</v>
      </c>
      <c r="C8" s="30" t="s">
        <v>158</v>
      </c>
      <c r="D8" s="27" t="s">
        <v>421</v>
      </c>
      <c r="E8" s="30"/>
      <c r="F8" s="31"/>
      <c r="G8" s="31"/>
    </row>
    <row r="9" spans="1:7" ht="72.75" x14ac:dyDescent="0.25">
      <c r="A9" s="27" t="s">
        <v>149</v>
      </c>
      <c r="B9" s="27" t="s">
        <v>6</v>
      </c>
      <c r="C9" s="30" t="s">
        <v>457</v>
      </c>
      <c r="D9" s="27" t="s">
        <v>458</v>
      </c>
      <c r="E9" s="30"/>
      <c r="F9" s="31" t="s">
        <v>459</v>
      </c>
      <c r="G9" s="31" t="s">
        <v>460</v>
      </c>
    </row>
    <row r="10" spans="1:7" ht="108.75" x14ac:dyDescent="0.25">
      <c r="A10" s="27" t="s">
        <v>149</v>
      </c>
      <c r="B10" s="27" t="s">
        <v>6</v>
      </c>
      <c r="C10" s="30" t="s">
        <v>159</v>
      </c>
      <c r="D10" s="27" t="s">
        <v>160</v>
      </c>
      <c r="E10" s="30" t="s">
        <v>161</v>
      </c>
      <c r="F10" s="31"/>
      <c r="G10" s="31"/>
    </row>
    <row r="11" spans="1:7" ht="132.75" x14ac:dyDescent="0.25">
      <c r="A11" s="27" t="s">
        <v>149</v>
      </c>
      <c r="B11" s="27" t="s">
        <v>6</v>
      </c>
      <c r="C11" s="30" t="s">
        <v>162</v>
      </c>
      <c r="D11" s="27" t="s">
        <v>422</v>
      </c>
      <c r="E11" s="30" t="s">
        <v>163</v>
      </c>
      <c r="F11" s="31"/>
      <c r="G11" s="31"/>
    </row>
    <row r="12" spans="1:7" ht="84.75" x14ac:dyDescent="0.25">
      <c r="A12" s="27" t="s">
        <v>149</v>
      </c>
      <c r="B12" s="27" t="s">
        <v>6</v>
      </c>
      <c r="C12" s="30" t="s">
        <v>164</v>
      </c>
      <c r="D12" s="27" t="s">
        <v>165</v>
      </c>
      <c r="E12" s="30" t="s">
        <v>438</v>
      </c>
      <c r="F12" s="31"/>
      <c r="G12" s="31"/>
    </row>
    <row r="13" spans="1:7" ht="60.75" x14ac:dyDescent="0.25">
      <c r="A13" s="27" t="s">
        <v>149</v>
      </c>
      <c r="B13" s="27" t="s">
        <v>6</v>
      </c>
      <c r="C13" s="30" t="s">
        <v>166</v>
      </c>
      <c r="D13" s="27" t="s">
        <v>167</v>
      </c>
      <c r="E13" s="30" t="s">
        <v>438</v>
      </c>
      <c r="F13" s="31"/>
      <c r="G13" s="31"/>
    </row>
    <row r="14" spans="1:7" ht="96.75" x14ac:dyDescent="0.25">
      <c r="A14" s="27" t="s">
        <v>149</v>
      </c>
      <c r="B14" s="27" t="s">
        <v>6</v>
      </c>
      <c r="C14" s="30" t="s">
        <v>168</v>
      </c>
      <c r="D14" s="27" t="s">
        <v>169</v>
      </c>
      <c r="E14" s="30"/>
      <c r="F14" s="31"/>
      <c r="G14" s="31"/>
    </row>
    <row r="15" spans="1:7" ht="60.75" x14ac:dyDescent="0.25">
      <c r="A15" s="27" t="s">
        <v>149</v>
      </c>
      <c r="B15" s="27" t="s">
        <v>6</v>
      </c>
      <c r="C15" s="30" t="s">
        <v>170</v>
      </c>
      <c r="D15" s="27" t="s">
        <v>423</v>
      </c>
      <c r="E15" s="30"/>
      <c r="F15" s="31"/>
      <c r="G15" s="31"/>
    </row>
    <row r="16" spans="1:7" ht="48.75" x14ac:dyDescent="0.25">
      <c r="A16" s="27" t="s">
        <v>149</v>
      </c>
      <c r="B16" s="27" t="s">
        <v>6</v>
      </c>
      <c r="C16" s="30" t="s">
        <v>171</v>
      </c>
      <c r="D16" s="27" t="s">
        <v>172</v>
      </c>
      <c r="E16" s="30"/>
      <c r="F16" s="31"/>
      <c r="G16" s="31"/>
    </row>
    <row r="17" spans="1:7" ht="60.75" x14ac:dyDescent="0.25">
      <c r="A17" s="27" t="s">
        <v>149</v>
      </c>
      <c r="B17" s="27" t="s">
        <v>6</v>
      </c>
      <c r="C17" s="30" t="s">
        <v>173</v>
      </c>
      <c r="D17" s="27" t="s">
        <v>591</v>
      </c>
      <c r="E17" s="30"/>
      <c r="F17" s="31"/>
      <c r="G17" s="31"/>
    </row>
    <row r="18" spans="1:7" ht="36.75" x14ac:dyDescent="0.25">
      <c r="A18" s="27" t="s">
        <v>149</v>
      </c>
      <c r="B18" s="27" t="s">
        <v>6</v>
      </c>
      <c r="C18" s="30" t="s">
        <v>174</v>
      </c>
      <c r="D18" s="27" t="s">
        <v>175</v>
      </c>
      <c r="E18" s="30" t="s">
        <v>439</v>
      </c>
      <c r="F18" s="31"/>
      <c r="G18" s="31"/>
    </row>
    <row r="19" spans="1:7" ht="60.75" x14ac:dyDescent="0.25">
      <c r="A19" s="27" t="s">
        <v>149</v>
      </c>
      <c r="B19" s="27" t="s">
        <v>6</v>
      </c>
      <c r="C19" s="30" t="s">
        <v>176</v>
      </c>
      <c r="D19" s="27" t="s">
        <v>592</v>
      </c>
      <c r="E19" s="30"/>
      <c r="F19" s="31"/>
      <c r="G19" s="31"/>
    </row>
    <row r="20" spans="1:7" ht="36.75" x14ac:dyDescent="0.25">
      <c r="A20" s="27" t="s">
        <v>149</v>
      </c>
      <c r="B20" s="27" t="s">
        <v>6</v>
      </c>
      <c r="C20" s="30" t="s">
        <v>593</v>
      </c>
      <c r="D20" s="27" t="s">
        <v>424</v>
      </c>
      <c r="E20" s="30"/>
      <c r="F20" s="31"/>
      <c r="G20" s="31"/>
    </row>
    <row r="64" spans="1:1" x14ac:dyDescent="0.25">
      <c r="A64" s="8">
        <f>COUNTA(A2:A52)</f>
        <v>19</v>
      </c>
    </row>
  </sheetData>
  <hyperlinks>
    <hyperlink ref="C3" r:id="rId1" display="http://aka.ms/DDPATP2"/>
    <hyperlink ref="C4" r:id="rId2" display="http://aka.ms/DDPATP3"/>
    <hyperlink ref="C5" r:id="rId3" display="http://aka.ms/DDPATP4"/>
    <hyperlink ref="C7" r:id="rId4" display="http://aka.ms/DDPATP7"/>
    <hyperlink ref="C18" r:id="rId5" display="http://aka.ms/DDPATP17"/>
    <hyperlink ref="C19" r:id="rId6" display="http://aka.ms/DDPATP18"/>
    <hyperlink ref="C20" r:id="rId7" display="http://aka.ms/DDPATP19"/>
    <hyperlink ref="E6" r:id="rId8" display="http://aka.ms/PDPATP6"/>
    <hyperlink ref="E10" r:id="rId9" display="http://aka.ms/PDPATP9"/>
    <hyperlink ref="E11" r:id="rId10" display="http://aka.ms/PDPATP10"/>
    <hyperlink ref="E12" r:id="rId11" display="http://aka.ms/PDPATP11"/>
    <hyperlink ref="E13" r:id="rId12" display="http://aka.ms/PDPATP12"/>
    <hyperlink ref="E18" r:id="rId13" display="http://aka.ms/PDPATP17"/>
    <hyperlink ref="C6" r:id="rId14" display="http://aka.ms/DDPATP6"/>
    <hyperlink ref="C8" r:id="rId15" display="http://aka.ms/DDPATP8"/>
    <hyperlink ref="C9" r:id="rId16" display="http://aka.ms/DDPATP20"/>
    <hyperlink ref="C10" r:id="rId17" display="http://aka.ms/DDPATP9"/>
    <hyperlink ref="C11" r:id="rId18" display="http://aka.ms/DDPATP10"/>
    <hyperlink ref="C12" r:id="rId19" display="http://aka.ms/DDPATP11"/>
    <hyperlink ref="C13" r:id="rId20" display="http://aka.ms/DDPATP12"/>
    <hyperlink ref="C14" r:id="rId21" display="http://aka.ms/DDPATP13"/>
    <hyperlink ref="C15" r:id="rId22" display="http://aka.ms/DDPATP14"/>
    <hyperlink ref="C16" r:id="rId23" display="http://aka.ms/DDPATP15"/>
    <hyperlink ref="C17" r:id="rId24" display="http://aka.ms/DDPATP16"/>
  </hyperlinks>
  <pageMargins left="0.7" right="0.7" top="0.75" bottom="0.75" header="0.3" footer="0.3"/>
  <pageSetup orientation="portrait" r:id="rId25"/>
  <drawing r:id="rId26"/>
  <tableParts count="1">
    <tablePart r:id="rId2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zoomScaleNormal="100" workbookViewId="0">
      <pane ySplit="1" topLeftCell="A2" activePane="bottomLeft" state="frozen"/>
      <selection pane="bottomLeft" activeCell="A2" sqref="A2"/>
    </sheetView>
  </sheetViews>
  <sheetFormatPr defaultColWidth="9.140625" defaultRowHeight="15" x14ac:dyDescent="0.25"/>
  <cols>
    <col min="1" max="1" width="12.7109375" style="8" customWidth="1"/>
    <col min="2" max="2" width="19.42578125" style="8" customWidth="1"/>
    <col min="3" max="3" width="25.28515625" style="77" customWidth="1"/>
    <col min="4" max="4" width="46.7109375" style="8" customWidth="1"/>
    <col min="5" max="5" width="26.42578125" style="8" customWidth="1"/>
    <col min="6" max="6" width="28" style="8" customWidth="1"/>
    <col min="7" max="7" width="18.7109375" style="8" customWidth="1"/>
    <col min="8" max="16384" width="9.140625" style="1"/>
  </cols>
  <sheetData>
    <row r="1" spans="1:7" ht="15.75" thickBot="1" x14ac:dyDescent="0.3">
      <c r="A1" s="9" t="s">
        <v>30</v>
      </c>
      <c r="B1" s="9" t="s">
        <v>0</v>
      </c>
      <c r="C1" s="9" t="s">
        <v>1</v>
      </c>
      <c r="D1" s="10" t="s">
        <v>2</v>
      </c>
      <c r="E1" s="11" t="s">
        <v>3</v>
      </c>
      <c r="F1" s="76" t="s">
        <v>276</v>
      </c>
      <c r="G1" s="19" t="s">
        <v>440</v>
      </c>
    </row>
    <row r="2" spans="1:7" ht="228.75" x14ac:dyDescent="0.25">
      <c r="A2" s="27" t="s">
        <v>65</v>
      </c>
      <c r="B2" s="27" t="s">
        <v>559</v>
      </c>
      <c r="C2" s="38" t="s">
        <v>76</v>
      </c>
      <c r="D2" s="113" t="s">
        <v>365</v>
      </c>
      <c r="E2" s="38"/>
      <c r="F2" s="39"/>
      <c r="G2" s="39"/>
    </row>
    <row r="3" spans="1:7" ht="144.75" x14ac:dyDescent="0.25">
      <c r="A3" s="27" t="s">
        <v>100</v>
      </c>
      <c r="B3" s="27" t="s">
        <v>6</v>
      </c>
      <c r="C3" s="38" t="s">
        <v>472</v>
      </c>
      <c r="D3" s="27" t="s">
        <v>389</v>
      </c>
      <c r="E3" s="38"/>
      <c r="F3" s="39"/>
      <c r="G3" s="39" t="s">
        <v>309</v>
      </c>
    </row>
    <row r="4" spans="1:7" ht="144.75" x14ac:dyDescent="0.25">
      <c r="A4" s="27" t="s">
        <v>100</v>
      </c>
      <c r="B4" s="27" t="s">
        <v>559</v>
      </c>
      <c r="C4" s="38" t="s">
        <v>492</v>
      </c>
      <c r="D4" s="27" t="s">
        <v>394</v>
      </c>
      <c r="E4" s="38"/>
      <c r="F4" s="39"/>
      <c r="G4" s="39"/>
    </row>
    <row r="5" spans="1:7" ht="180.75" x14ac:dyDescent="0.25">
      <c r="A5" s="27" t="s">
        <v>100</v>
      </c>
      <c r="B5" s="27" t="s">
        <v>604</v>
      </c>
      <c r="C5" s="38" t="s">
        <v>109</v>
      </c>
      <c r="D5" s="27" t="s">
        <v>619</v>
      </c>
      <c r="E5" s="38"/>
      <c r="F5" s="39"/>
      <c r="G5" s="39"/>
    </row>
    <row r="6" spans="1:7" s="22" customFormat="1" ht="156.75" x14ac:dyDescent="0.25">
      <c r="A6" s="27" t="s">
        <v>100</v>
      </c>
      <c r="B6" s="27" t="s">
        <v>559</v>
      </c>
      <c r="C6" s="38" t="s">
        <v>447</v>
      </c>
      <c r="D6" s="27" t="s">
        <v>491</v>
      </c>
      <c r="E6" s="38"/>
      <c r="F6" s="39"/>
      <c r="G6" s="39"/>
    </row>
    <row r="7" spans="1:7" ht="48.75" x14ac:dyDescent="0.25">
      <c r="A7" s="27" t="s">
        <v>100</v>
      </c>
      <c r="B7" s="27" t="s">
        <v>559</v>
      </c>
      <c r="C7" s="38" t="s">
        <v>444</v>
      </c>
      <c r="D7" s="27" t="s">
        <v>493</v>
      </c>
      <c r="E7" s="38"/>
      <c r="F7" s="39"/>
      <c r="G7" s="39"/>
    </row>
    <row r="8" spans="1:7" ht="48.75" x14ac:dyDescent="0.25">
      <c r="A8" s="27" t="s">
        <v>100</v>
      </c>
      <c r="B8" s="27" t="s">
        <v>559</v>
      </c>
      <c r="C8" s="38" t="s">
        <v>445</v>
      </c>
      <c r="D8" s="27" t="s">
        <v>446</v>
      </c>
      <c r="E8" s="38"/>
      <c r="F8" s="39"/>
      <c r="G8" s="39"/>
    </row>
    <row r="9" spans="1:7" ht="264.75" x14ac:dyDescent="0.25">
      <c r="A9" s="27" t="s">
        <v>113</v>
      </c>
      <c r="B9" s="27" t="s">
        <v>604</v>
      </c>
      <c r="C9" s="38" t="s">
        <v>118</v>
      </c>
      <c r="D9" s="27" t="s">
        <v>610</v>
      </c>
      <c r="E9" s="38"/>
      <c r="F9" s="39"/>
      <c r="G9" s="39"/>
    </row>
    <row r="53" spans="1:1" x14ac:dyDescent="0.25">
      <c r="A53" s="8">
        <f>COUNTA(A2:A41)</f>
        <v>8</v>
      </c>
    </row>
  </sheetData>
  <hyperlinks>
    <hyperlink ref="C2" r:id="rId1" display="http://aka.ms/DADMAC11"/>
    <hyperlink ref="C3" r:id="rId2" display="http://aka.ms/DAULog10"/>
    <hyperlink ref="C6" r:id="rId3" display="http://aka.ms/DAULog33"/>
    <hyperlink ref="C4" r:id="rId4" display="http://aka.ms/DAULog26"/>
    <hyperlink ref="C5" r:id="rId5" display="http://aka.ms/DAULog25"/>
    <hyperlink ref="C7" r:id="rId6" display="http://aka.ms/DAULog31"/>
    <hyperlink ref="C8" r:id="rId7" display="http://aka.ms/DAulog32"/>
    <hyperlink ref="C9" r:id="rId8" display="http://aka.ms/DDPEnc6"/>
  </hyperlinks>
  <pageMargins left="0.7" right="0.7" top="0.75" bottom="0.75" header="0.3" footer="0.3"/>
  <pageSetup orientation="portrait" r:id="rId9"/>
  <drawing r:id="rId10"/>
  <tableParts count="1">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2" ma:contentTypeDescription="Create a new document." ma:contentTypeScope="" ma:versionID="b1de70e632c26c2e08780ef85f0badb5">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97d7b88304a2cb4acb4be8b50babb56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ca55d802-efb2-4083-b9cf-c0fa3fbeae2f">
      <UserInfo>
        <DisplayName>Gary Danoys</DisplayName>
        <AccountId>73</AccountId>
        <AccountType/>
      </UserInfo>
      <UserInfo>
        <DisplayName>Rochelle Eichner</DisplayName>
        <AccountId>75</AccountId>
        <AccountType/>
      </UserInfo>
      <UserInfo>
        <DisplayName>Andrey Sheremetinskiy</DisplayName>
        <AccountId>172</AccountId>
        <AccountType/>
      </UserInfo>
      <UserInfo>
        <DisplayName>Arnaud Jumelet</DisplayName>
        <AccountId>173</AccountId>
        <AccountType/>
      </UserInfo>
      <UserInfo>
        <DisplayName>Chandler Bootchk</DisplayName>
        <AccountId>174</AccountId>
        <AccountType/>
      </UserInfo>
      <UserInfo>
        <DisplayName>Christian Hesse</DisplayName>
        <AccountId>72</AccountId>
        <AccountType/>
      </UserInfo>
      <UserInfo>
        <DisplayName>Christoph Bollig</DisplayName>
        <AccountId>175</AccountId>
        <AccountType/>
      </UserInfo>
      <UserInfo>
        <DisplayName>Claude Richard</DisplayName>
        <AccountId>71</AccountId>
        <AccountType/>
      </UserInfo>
      <UserInfo>
        <DisplayName>Dean Suzuki</DisplayName>
        <AccountId>176</AccountId>
        <AccountType/>
      </UserInfo>
      <UserInfo>
        <DisplayName>Dominik Runggaldier</DisplayName>
        <AccountId>177</AccountId>
        <AccountType/>
      </UserInfo>
      <UserInfo>
        <DisplayName>Fareed Muhammad Khan</DisplayName>
        <AccountId>178</AccountId>
        <AccountType/>
      </UserInfo>
      <UserInfo>
        <DisplayName>Floriana L'Arco</DisplayName>
        <AccountId>179</AccountId>
        <AccountType/>
      </UserInfo>
      <UserInfo>
        <DisplayName>Geoffrey Edge</DisplayName>
        <AccountId>180</AccountId>
        <AccountType/>
      </UserInfo>
      <UserInfo>
        <DisplayName>Jeanne Paschang</DisplayName>
        <AccountId>181</AccountId>
        <AccountType/>
      </UserInfo>
      <UserInfo>
        <DisplayName>Julian Suarez</DisplayName>
        <AccountId>182</AccountId>
        <AccountType/>
      </UserInfo>
      <UserInfo>
        <DisplayName>Kayode Akomolafe</DisplayName>
        <AccountId>183</AccountId>
        <AccountType/>
      </UserInfo>
      <UserInfo>
        <DisplayName>Luciane Pizzaia</DisplayName>
        <AccountId>184</AccountId>
        <AccountType/>
      </UserInfo>
      <UserInfo>
        <DisplayName>Luís João</DisplayName>
        <AccountId>185</AccountId>
        <AccountType/>
      </UserInfo>
      <UserInfo>
        <DisplayName>Manfred Sommerer</DisplayName>
        <AccountId>186</AccountId>
        <AccountType/>
      </UserInfo>
      <UserInfo>
        <DisplayName>Matt Bremer</DisplayName>
        <AccountId>187</AccountId>
        <AccountType/>
      </UserInfo>
      <UserInfo>
        <DisplayName>Michael O'Donovan (EPG)</DisplayName>
        <AccountId>188</AccountId>
        <AccountType/>
      </UserInfo>
      <UserInfo>
        <DisplayName>Michael Richards</DisplayName>
        <AccountId>189</AccountId>
        <AccountType/>
      </UserInfo>
      <UserInfo>
        <DisplayName>Mike Brooks</DisplayName>
        <AccountId>190</AccountId>
        <AccountType/>
      </UserInfo>
      <UserInfo>
        <DisplayName>Patrick O'Horo</DisplayName>
        <AccountId>191</AccountId>
        <AccountType/>
      </UserInfo>
      <UserInfo>
        <DisplayName>Porfirio Fuentes Martinez</DisplayName>
        <AccountId>192</AccountId>
        <AccountType/>
      </UserInfo>
      <UserInfo>
        <DisplayName>Pradeep Bethi</DisplayName>
        <AccountId>113</AccountId>
        <AccountType/>
      </UserInfo>
      <UserInfo>
        <DisplayName>Rafal Rumian</DisplayName>
        <AccountId>193</AccountId>
        <AccountType/>
      </UserInfo>
      <UserInfo>
        <DisplayName>Romana Konvickova</DisplayName>
        <AccountId>194</AccountId>
        <AccountType/>
      </UserInfo>
      <UserInfo>
        <DisplayName>Sameer Sitaram</DisplayName>
        <AccountId>35</AccountId>
        <AccountType/>
      </UserInfo>
      <UserInfo>
        <DisplayName>Sanjeev Nair</DisplayName>
        <AccountId>195</AccountId>
        <AccountType/>
      </UserInfo>
      <UserInfo>
        <DisplayName>Simon Kaye</DisplayName>
        <AccountId>196</AccountId>
        <AccountType/>
      </UserInfo>
      <UserInfo>
        <DisplayName>Stefan Simon</DisplayName>
        <AccountId>197</AccountId>
        <AccountType/>
      </UserInfo>
      <UserInfo>
        <DisplayName>Steve Caravajal</DisplayName>
        <AccountId>198</AccountId>
        <AccountType/>
      </UserInfo>
      <UserInfo>
        <DisplayName>Tom Moen</DisplayName>
        <AccountId>199</AccountId>
        <AccountType/>
      </UserInfo>
      <UserInfo>
        <DisplayName>Anuj Surma</DisplayName>
        <AccountId>200</AccountId>
        <AccountType/>
      </UserInfo>
      <UserInfo>
        <DisplayName>Curtis Sawin</DisplayName>
        <AccountId>201</AccountId>
        <AccountType/>
      </UserInfo>
      <UserInfo>
        <DisplayName>Ferla Geckin</DisplayName>
        <AccountId>202</AccountId>
        <AccountType/>
      </UserInfo>
      <UserInfo>
        <DisplayName>Goichiro Yaginuma</DisplayName>
        <AccountId>203</AccountId>
        <AccountType/>
      </UserInfo>
      <UserInfo>
        <DisplayName>Michael Mahoney (EPG)</DisplayName>
        <AccountId>204</AccountId>
        <AccountType/>
      </UserInfo>
      <UserInfo>
        <DisplayName>Kerry O'Day</DisplayName>
        <AccountId>205</AccountId>
        <AccountType/>
      </UserInfo>
      <UserInfo>
        <DisplayName>Nathan Winters</DisplayName>
        <AccountId>206</AccountId>
        <AccountType/>
      </UserInfo>
      <UserInfo>
        <DisplayName>Olaf Koestner</DisplayName>
        <AccountId>207</AccountId>
        <AccountType/>
      </UserInfo>
      <UserInfo>
        <DisplayName>Ram Muthukaruppan</DisplayName>
        <AccountId>208</AccountId>
        <AccountType/>
      </UserInfo>
      <UserInfo>
        <DisplayName>Tim Bosinius</DisplayName>
        <AccountId>209</AccountId>
        <AccountType/>
      </UserInfo>
      <UserInfo>
        <DisplayName>Antti Kiviniemi</DisplayName>
        <AccountId>210</AccountId>
        <AccountType/>
      </UserInfo>
      <UserInfo>
        <DisplayName>Astrid McClean</DisplayName>
        <AccountId>211</AccountId>
        <AccountType/>
      </UserInfo>
      <UserInfo>
        <DisplayName>Asaf Kashi</DisplayName>
        <AccountId>212</AccountId>
        <AccountType/>
      </UserInfo>
      <UserInfo>
        <DisplayName>Ben Appleby</DisplayName>
        <AccountId>213</AccountId>
        <AccountType/>
      </UserInfo>
      <UserInfo>
        <DisplayName>Brandon Koeller</DisplayName>
        <AccountId>78</AccountId>
        <AccountType/>
      </UserInfo>
      <UserInfo>
        <DisplayName>Joel Hendrickson</DisplayName>
        <AccountId>43</AccountId>
        <AccountType/>
      </UserInfo>
      <UserInfo>
        <DisplayName>Kamal Janardhan</DisplayName>
        <AccountId>214</AccountId>
        <AccountType/>
      </UserInfo>
      <UserInfo>
        <DisplayName>Julian Zbogar-Smith</DisplayName>
        <AccountId>215</AccountId>
        <AccountType/>
      </UserInfo>
      <UserInfo>
        <DisplayName>Jason Bolstad</DisplayName>
        <AccountId>216</AccountId>
        <AccountType/>
      </UserInfo>
      <UserInfo>
        <DisplayName>Mike Monarch</DisplayName>
        <AccountId>217</AccountId>
        <AccountType/>
      </UserInfo>
      <UserInfo>
        <DisplayName>Alexs Pena</DisplayName>
        <AccountId>126</AccountId>
        <AccountType/>
      </UserInfo>
      <UserInfo>
        <DisplayName>Dave Chiu</DisplayName>
        <AccountId>137</AccountId>
        <AccountType/>
      </UserInfo>
      <UserInfo>
        <DisplayName>Levon Esibov</DisplayName>
        <AccountId>218</AccountId>
        <AccountType/>
      </UserInfo>
      <UserInfo>
        <DisplayName>Jon Nordström</DisplayName>
        <AccountId>19</AccountId>
        <AccountType/>
      </UserInfo>
      <UserInfo>
        <DisplayName>Vikas Malhotra</DisplayName>
        <AccountId>9</AccountId>
        <AccountType/>
      </UserInfo>
      <UserInfo>
        <DisplayName>Om Vaiti</DisplayName>
        <AccountId>13</AccountId>
        <AccountType/>
      </UserInfo>
      <UserInfo>
        <DisplayName>Peter Satchwell</DisplayName>
        <AccountId>15</AccountId>
        <AccountType/>
      </UserInfo>
      <UserInfo>
        <DisplayName>Robert Dring</DisplayName>
        <AccountId>20</AccountId>
        <AccountType/>
      </UserInfo>
      <UserInfo>
        <DisplayName>Scott Schnoll</DisplayName>
        <AccountId>34</AccountId>
        <AccountType/>
      </UserInfo>
      <UserInfo>
        <DisplayName>Ori Kashi</DisplayName>
        <AccountId>219</AccountId>
        <AccountType/>
      </UserInfo>
      <UserInfo>
        <DisplayName>Dominick Crispo</DisplayName>
        <AccountId>228</AccountId>
        <AccountType/>
      </UserInfo>
    </SharedWithUsers>
    <Status xmlns="7b9f577f-5543-45a6-ab73-9794943e6d6d">Select One</Status>
  </documentManagement>
</p:properties>
</file>

<file path=customXml/item4.xml>��
</file>

<file path=customXml/itemProps1.xml><?xml version="1.0" encoding="utf-8"?>
<ds:datastoreItem xmlns:ds="http://schemas.openxmlformats.org/officeDocument/2006/customXml" ds:itemID="{6F895A60-30C4-4A84-8879-BA373556EAE4}">
  <ds:schemaRefs>
    <ds:schemaRef ds:uri="http://schemas.microsoft.com/sharepoint/v3/contenttype/forms"/>
  </ds:schemaRefs>
</ds:datastoreItem>
</file>

<file path=customXml/itemProps2.xml><?xml version="1.0" encoding="utf-8"?>
<ds:datastoreItem xmlns:ds="http://schemas.openxmlformats.org/officeDocument/2006/customXml" ds:itemID="{07239464-874C-4BAA-B70B-1770E59806B5}"/>
</file>

<file path=customXml/itemProps3.xml><?xml version="1.0" encoding="utf-8"?>
<ds:datastoreItem xmlns:ds="http://schemas.openxmlformats.org/officeDocument/2006/customXml" ds:itemID="{6003E84D-2558-4EFD-AD37-64BE758120AE}">
  <ds:schemaRefs>
    <ds:schemaRef ds:uri="http://purl.org/dc/dcmitype/"/>
    <ds:schemaRef ds:uri="http://schemas.microsoft.com/office/2006/metadata/properties"/>
    <ds:schemaRef ds:uri="http://www.w3.org/XML/1998/namespace"/>
    <ds:schemaRef ds:uri="http://purl.org/dc/terms/"/>
    <ds:schemaRef ds:uri="http://schemas.openxmlformats.org/package/2006/metadata/core-properties"/>
    <ds:schemaRef ds:uri="http://schemas.microsoft.com/office/infopath/2007/PartnerControls"/>
    <ds:schemaRef ds:uri="42166384-078b-40df-8833-c6c41cfd2e0d"/>
    <ds:schemaRef ds:uri="http://schemas.microsoft.com/office/2006/documentManagement/types"/>
    <ds:schemaRef ds:uri="http://purl.org/dc/elements/1.1/"/>
  </ds:schemaRefs>
</ds:datastoreItem>
</file>

<file path=customXml/itemProps4.xml><?xml version="1.0" encoding="utf-8"?>
<ds:datastoreItem xmlns:ds="http://schemas.openxmlformats.org/officeDocument/2006/customXml" ds:itemID="{C0C74EE1-CAB8-487C-BD74-41A6DA51EE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Main</vt:lpstr>
      <vt:lpstr>Data resiliency</vt:lpstr>
      <vt:lpstr>Access Control</vt:lpstr>
      <vt:lpstr>Data Leakage</vt:lpstr>
      <vt:lpstr>Security &amp; Compliance</vt:lpstr>
      <vt:lpstr>Incident Response</vt:lpstr>
      <vt:lpstr>ALL</vt:lpstr>
      <vt:lpstr>Malicious Admin</vt:lpstr>
      <vt:lpstr>Credential Theft</vt:lpstr>
      <vt:lpstr>Malware</vt:lpstr>
      <vt:lpstr>Former Employee</vt:lpstr>
      <vt:lpstr>Compromised Device</vt:lpstr>
      <vt:lpstr>Attacker Foothold</vt:lpstr>
      <vt:lpstr>Phishing</vt:lpstr>
      <vt:lpstr>Microsoft Operators</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Office 365 Customer Security Considerations Workbook</dc:title>
  <dc:creator>MIcrosoft Corporation</dc:creator>
  <cp:keywords>cloud; security</cp:keywords>
  <cp:lastModifiedBy>Keith Crawford</cp:lastModifiedBy>
  <cp:lastPrinted>2015-10-27T13:38:27Z</cp:lastPrinted>
  <dcterms:created xsi:type="dcterms:W3CDTF">2015-09-25T21:23:33Z</dcterms:created>
  <dcterms:modified xsi:type="dcterms:W3CDTF">2018-12-05T15:49:05Z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
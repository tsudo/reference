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NIST/NIST CSF/GapAssessment/"/>
    </mc:Choice>
  </mc:AlternateContent>
  <xr:revisionPtr revIDLastSave="1545" documentId="8_{43BA68D8-50EC-4FC0-B73B-697AA921E28B}" xr6:coauthVersionLast="47" xr6:coauthVersionMax="47" xr10:uidLastSave="{DD46C2B6-AFFC-4ACD-B495-4E834D4304B1}"/>
  <bookViews>
    <workbookView xWindow="-120" yWindow="-120" windowWidth="29040" windowHeight="15840" activeTab="6" xr2:uid="{00000000-000D-0000-FFFF-FFFF00000000}"/>
  </bookViews>
  <sheets>
    <sheet name="COVER" sheetId="13" r:id="rId1"/>
    <sheet name="Assessment" sheetId="4" r:id="rId2"/>
    <sheet name="Scoring" sheetId="10" r:id="rId3"/>
    <sheet name="Summary" sheetId="12" r:id="rId4"/>
    <sheet name="Charts" sheetId="11" r:id="rId5"/>
    <sheet name="CSF Overview" sheetId="9" r:id="rId6"/>
    <sheet name="KEY" sheetId="6" r:id="rId7"/>
  </sheets>
  <externalReferences>
    <externalReference r:id="rId8"/>
  </externalReferences>
  <definedNames>
    <definedName name="KEY_Pri" localSheetId="0">[1]KEY!$D$3:$D$6</definedName>
    <definedName name="KEY_Pri">KEY!$D$3:$D$6</definedName>
    <definedName name="KEY_Tier" localSheetId="0">[1]KEY!$A$3:$A$7</definedName>
    <definedName name="KEY_Tier">KEY!$A$3:$A$7</definedName>
    <definedName name="TargetMaturityTier" localSheetId="0">COVER!$F$13</definedName>
    <definedName name="TargetMaturityTier">COVER!$F$13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 i="10" l="1"/>
  <c r="D2" i="10"/>
  <c r="F3"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4" i="10"/>
  <c r="F5" i="10"/>
  <c r="F6" i="10"/>
  <c r="F7" i="10"/>
  <c r="F8" i="10"/>
  <c r="F9" i="10"/>
  <c r="F10" i="10"/>
  <c r="F11" i="10"/>
  <c r="F12" i="10"/>
  <c r="F13" i="10"/>
  <c r="F14" i="10"/>
  <c r="F15" i="10"/>
  <c r="F16" i="10"/>
  <c r="F17" i="10"/>
  <c r="F18" i="10"/>
  <c r="F19" i="10"/>
  <c r="D32" i="12"/>
  <c r="D31" i="12"/>
  <c r="D30" i="12"/>
  <c r="D29" i="12"/>
  <c r="D28" i="12"/>
  <c r="D27" i="12"/>
  <c r="D26" i="12"/>
  <c r="D25" i="12"/>
  <c r="D24" i="12"/>
  <c r="D23" i="12"/>
  <c r="D22" i="12"/>
  <c r="D21" i="12"/>
  <c r="D20" i="12"/>
  <c r="D19" i="12"/>
  <c r="D18" i="12"/>
  <c r="D17" i="12"/>
  <c r="D16" i="12"/>
  <c r="D15" i="12"/>
  <c r="D14" i="12"/>
  <c r="D13" i="12"/>
  <c r="D12" i="12"/>
  <c r="D11" i="12"/>
  <c r="D10" i="12"/>
  <c r="D7" i="12"/>
  <c r="D6" i="12"/>
  <c r="D5" i="12"/>
  <c r="D4" i="12"/>
  <c r="D3" i="12"/>
  <c r="D8" i="10" l="1"/>
  <c r="C11" i="12" s="1"/>
  <c r="C10" i="12"/>
  <c r="B104" i="10" l="1"/>
  <c r="C7" i="12" s="1"/>
  <c r="B88" i="10"/>
  <c r="C6" i="12" s="1"/>
  <c r="B70" i="10"/>
  <c r="C5" i="12" s="1"/>
  <c r="B31" i="10"/>
  <c r="C4" i="12" s="1"/>
  <c r="B2" i="10"/>
  <c r="C3" i="12" s="1"/>
  <c r="D107" i="10"/>
  <c r="C32" i="12" s="1"/>
  <c r="D105" i="10"/>
  <c r="C31" i="12" s="1"/>
  <c r="D104" i="10"/>
  <c r="C30" i="12" s="1"/>
  <c r="D102" i="10"/>
  <c r="C29" i="12" s="1"/>
  <c r="D99" i="10"/>
  <c r="C28" i="12" s="1"/>
  <c r="D94" i="10"/>
  <c r="C27" i="12" s="1"/>
  <c r="D89" i="10"/>
  <c r="C26" i="12" s="1"/>
  <c r="D88" i="10"/>
  <c r="C25" i="12" s="1"/>
  <c r="D83" i="10"/>
  <c r="C24" i="12" s="1"/>
  <c r="D75" i="10"/>
  <c r="C23" i="12" s="1"/>
  <c r="D70" i="10"/>
  <c r="C22" i="12" s="1"/>
  <c r="D65" i="10"/>
  <c r="C21" i="12" s="1"/>
  <c r="D63" i="10"/>
  <c r="C20" i="12" s="1"/>
  <c r="D51" i="10"/>
  <c r="C19" i="12" s="1"/>
  <c r="D43" i="10"/>
  <c r="C18" i="12" s="1"/>
  <c r="D38" i="10"/>
  <c r="C17" i="12" s="1"/>
  <c r="D31" i="10"/>
  <c r="C16" i="12" s="1"/>
  <c r="D26" i="10"/>
  <c r="C15" i="12" s="1"/>
  <c r="D23" i="10"/>
  <c r="C14" i="12" s="1"/>
  <c r="D17" i="10"/>
  <c r="C13" i="12" s="1"/>
  <c r="D13" i="10"/>
  <c r="C12" i="12" s="1"/>
</calcChain>
</file>

<file path=xl/sharedStrings.xml><?xml version="1.0" encoding="utf-8"?>
<sst xmlns="http://schemas.openxmlformats.org/spreadsheetml/2006/main" count="1807" uniqueCount="958">
  <si>
    <t>Sort</t>
  </si>
  <si>
    <t>NIST CSF GAP ASSESSMENT</t>
  </si>
  <si>
    <t>Function</t>
  </si>
  <si>
    <t>Category</t>
  </si>
  <si>
    <t>Category Desc.</t>
  </si>
  <si>
    <t>SubCategory Desc.</t>
  </si>
  <si>
    <t>Discussion Elements</t>
  </si>
  <si>
    <t>Assessor Notes</t>
  </si>
  <si>
    <t>Priority</t>
  </si>
  <si>
    <t>1.1.1</t>
  </si>
  <si>
    <t>AM</t>
  </si>
  <si>
    <t>Asset Management (ID.AM):
The data, personnel, devices, systems, and facilities that enable the organization to achieve business purposes are identified and managed consistent with their relative importance to organizational objectives and the organization’s risk strategy.</t>
  </si>
  <si>
    <t>ID.AM-1</t>
  </si>
  <si>
    <t>Physical devices and systems within the organization are inventoried</t>
  </si>
  <si>
    <t>AD, *IX, Network Devices, IoT (Printers)</t>
  </si>
  <si>
    <t>Infrastructure</t>
  </si>
  <si>
    <t>Tier 1: Partial</t>
  </si>
  <si>
    <t>While the CLIENT has key monitoring and management software (e.g., ManageEngine, PRTG, vCenter) that contains elements of inventory management, these systems are not leveraged in an intentional manner to ensure a comprehensive inventory is maintained.</t>
  </si>
  <si>
    <t>Medium</t>
  </si>
  <si>
    <t>1.1.2</t>
  </si>
  <si>
    <t>ID.AM-2</t>
  </si>
  <si>
    <t>Software platforms and applications within the organization are inventoried</t>
  </si>
  <si>
    <t>Tier 2: Risk Informed</t>
  </si>
  <si>
    <t>The CLIENT leverages ManageEngine and vCenter to provide appropriate visibility to software platforms and applications. Specific software can be polled and patches can be deployed.</t>
  </si>
  <si>
    <t>1.1.3</t>
  </si>
  <si>
    <t>ID.AM-3</t>
  </si>
  <si>
    <t>Organizational communication and data flows are mapped</t>
  </si>
  <si>
    <t>GRC</t>
  </si>
  <si>
    <t>No Network Diagrams, Data Flows, or Organizational contact sheets exist. An org chart was recently updated (Jan 2021) but it is not distributed to the organization and some members were note aware of its existence.</t>
  </si>
  <si>
    <t>High</t>
  </si>
  <si>
    <t>1.1.4</t>
  </si>
  <si>
    <t>ID.AM-4</t>
  </si>
  <si>
    <t>External information systems are catalogued</t>
  </si>
  <si>
    <t>Hosted and Cloud Public Facing</t>
  </si>
  <si>
    <t>The CLIENT does have a technical document that lists key SAAS/Cloud Vendors. The location was not readily known and there are not process to ensure that it is comprehensive and maintained.</t>
  </si>
  <si>
    <t>Low</t>
  </si>
  <si>
    <t>1.1.5</t>
  </si>
  <si>
    <t>ID.AM-5</t>
  </si>
  <si>
    <t xml:space="preserve">Resources (e.g., hardware, devices, data, time, personnel, and software) are prioritized based on their classification, criticality, and business value </t>
  </si>
  <si>
    <t>Critical Services</t>
  </si>
  <si>
    <t xml:space="preserve">Critical services are not defined and there has been no identifiable effort to label or document assets that support their services. </t>
  </si>
  <si>
    <t>1.1.6</t>
  </si>
  <si>
    <t>ID.AM-6</t>
  </si>
  <si>
    <t>Cybersecurity roles and responsibilities for the entire workforce and third-party stakeholders (e.g., suppliers, customers, partners) are established</t>
  </si>
  <si>
    <t>BAAs</t>
  </si>
  <si>
    <t>Roles and responsibilities for Third-Parties are expressed  contractually via BAAs. No roles and responsibilities for employees exist.</t>
  </si>
  <si>
    <t>1.2.1</t>
  </si>
  <si>
    <t>BE</t>
  </si>
  <si>
    <t>Business Environment (ID.BE):
The organization’s mission, objectives, stakeholders, and activities are understood and prioritized; this information is used to inform cybersecurity roles, responsibilities, and risk management decisions.</t>
  </si>
  <si>
    <t>ID.BE-1</t>
  </si>
  <si>
    <t>The organization’s role in the supply chain is identified and communicated</t>
  </si>
  <si>
    <t xml:space="preserve">Vendor Risk Management </t>
  </si>
  <si>
    <t>They do have BAAs on file. However, there is little process to ensure that a BAA is initiated. There is NO process to perform initial risk assessments or ongoing risk reviews.</t>
  </si>
  <si>
    <t>1.2.2</t>
  </si>
  <si>
    <t>ID.BE-2</t>
  </si>
  <si>
    <t>The organization’s place in critical infrastructure and its industry sector is identified and communicated</t>
  </si>
  <si>
    <t>The CLIENT has situational awareness of their place in critical infrastructure. However, there is a lack of using this knowledge to inform their Risk Management processes.</t>
  </si>
  <si>
    <t>1.2.3</t>
  </si>
  <si>
    <t>ID.BE-3</t>
  </si>
  <si>
    <t>Priorities for organizational mission, objectives, and activities are established and communicated</t>
  </si>
  <si>
    <t>Steering Committees</t>
  </si>
  <si>
    <t>The CLIENT's overall mission, goals, and objectives are established by Executive Team and communicated with Directors, and then to Sr. Staff.</t>
  </si>
  <si>
    <t>1.2.4</t>
  </si>
  <si>
    <t>ID.BE-4</t>
  </si>
  <si>
    <t>Dependencies and critical functions for delivery of critical services are established</t>
  </si>
  <si>
    <t>Data</t>
  </si>
  <si>
    <t xml:space="preserve">Critical services and functions have not been defined. </t>
  </si>
  <si>
    <t>1.2.5</t>
  </si>
  <si>
    <t>ID.BE-5</t>
  </si>
  <si>
    <t>Resilience requirements to support delivery of critical services are established for all operating states (e.g. under duress/attack, during recovery, normal operations)</t>
  </si>
  <si>
    <t>Resilience requirements and/or thresholds have not been determined. This increases the risk of an ill-suited response during a continuity or security event.</t>
  </si>
  <si>
    <t>1.3.1</t>
  </si>
  <si>
    <t>GV</t>
  </si>
  <si>
    <t>Governance (ID.GV):
The policies, procedures, and processes to manage and monitor the organization’s regulatory, legal, risk, environmental, and operational requirements are understood and inform the management of cybersecurity risk.</t>
  </si>
  <si>
    <t>ID.GV-1</t>
  </si>
  <si>
    <t>Organizational cybersecurity policy is established and communicated</t>
  </si>
  <si>
    <t>The CLIENT's Information Security Policy is woefully out dated, not maintained, and not disseminated for education.</t>
  </si>
  <si>
    <t>1.3.2</t>
  </si>
  <si>
    <t>ID.GV-2</t>
  </si>
  <si>
    <t>Cybersecurity roles and responsibilities are coordinated and aligned with internal roles and external partners</t>
  </si>
  <si>
    <t>The CLIENT does utilize an IT/Security Partner to response to Security Incidents. However, this is not outlined in an IR Plan or codified via contract. There are no roles and responsibilities for IS Program Management or Risk Assessment defined.</t>
  </si>
  <si>
    <t>1.3.3</t>
  </si>
  <si>
    <t>ID.GV-3</t>
  </si>
  <si>
    <t>Legal and regulatory requirements regarding cybersecurity, including privacy and civil liberties obligations, are understood and managed</t>
  </si>
  <si>
    <t>Compliance</t>
  </si>
  <si>
    <t>1.3.4</t>
  </si>
  <si>
    <t>ID.GV-4</t>
  </si>
  <si>
    <t>Governance and risk management processes address cybersecurity risks</t>
  </si>
  <si>
    <t>Risk Management</t>
  </si>
  <si>
    <t>1.4.1</t>
  </si>
  <si>
    <t>RA</t>
  </si>
  <si>
    <t>Risk Assessment (ID.RA):
The organization understands the cybersecurity risk to organizational operations (including mission, functions, image, or reputation), organizational assets, and individuals.</t>
  </si>
  <si>
    <t>ID.RA-1</t>
  </si>
  <si>
    <t>Asset vulnerabilities are identified and documented</t>
  </si>
  <si>
    <t xml:space="preserve">Vulnerability Scanning
Formal Asset List/Type </t>
  </si>
  <si>
    <t>Security Controls</t>
  </si>
  <si>
    <t>1.4.2</t>
  </si>
  <si>
    <t>ID.RA-2</t>
  </si>
  <si>
    <t>Cyber threat intelligence is received from information sharing forums and sources.</t>
  </si>
  <si>
    <t>1.4.3</t>
  </si>
  <si>
    <t>ID.RA-3</t>
  </si>
  <si>
    <t>Threats, both internal and external, are identified and documented</t>
  </si>
  <si>
    <t>Pentesting</t>
  </si>
  <si>
    <t>1.4.4</t>
  </si>
  <si>
    <t>ID.RA-4</t>
  </si>
  <si>
    <t>Potential business impacts and likelihoods are identified</t>
  </si>
  <si>
    <t>1.4.5</t>
  </si>
  <si>
    <t>ID.RA-5</t>
  </si>
  <si>
    <t>Threats, vulnerabilities, likelihoods, and impacts are used to determine risk</t>
  </si>
  <si>
    <t>1.4.6</t>
  </si>
  <si>
    <t>ID.RA-6</t>
  </si>
  <si>
    <t>Risk responses are identified and prioritized</t>
  </si>
  <si>
    <t>1.5.1</t>
  </si>
  <si>
    <t>RM</t>
  </si>
  <si>
    <t>Risk Management Strategy (ID.RM):
The organization’s priorities, constraints, risk tolerances, and assumptions are established and used to support operational risk decisions.</t>
  </si>
  <si>
    <t>ID.RM-1</t>
  </si>
  <si>
    <t>Risk management processes are established, managed, and agreed to by organizational stakeholders</t>
  </si>
  <si>
    <t>1.5.2</t>
  </si>
  <si>
    <t>ID.RM-2</t>
  </si>
  <si>
    <t>Organizational risk tolerance is determined and clearly expressed</t>
  </si>
  <si>
    <t>1.5.3</t>
  </si>
  <si>
    <t>ID.RM-3</t>
  </si>
  <si>
    <t>The organization’s determination of risk tolerance is informed by its role in critical infrastructure and sector specific risk analysis</t>
  </si>
  <si>
    <t>1.6.1</t>
  </si>
  <si>
    <t>SC</t>
  </si>
  <si>
    <t>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</si>
  <si>
    <t>ID.SC-1</t>
  </si>
  <si>
    <t>Cyber supply chain risk management processes are identified, established, assessed, managed, and agreed to by organizational stakeholders</t>
  </si>
  <si>
    <t>1.6.2</t>
  </si>
  <si>
    <t>ID.SC-2</t>
  </si>
  <si>
    <t xml:space="preserve">Suppliers and third party partners of information systems, components, and services are identified, prioritized, and assessed using a cyber supply chain risk assessment process </t>
  </si>
  <si>
    <t>1.6.3</t>
  </si>
  <si>
    <t>ID.SC-3</t>
  </si>
  <si>
    <t>Contracts with suppliers and third-party partners are used to implement appropriate measures designed to meet the objectives of an organization’s cybersecurity program and Cyber Supply Chain Risk Management Plan.</t>
  </si>
  <si>
    <t>Vendor Risk Assessments</t>
  </si>
  <si>
    <t>1.6.4</t>
  </si>
  <si>
    <t>ID.SC-4</t>
  </si>
  <si>
    <t>Suppliers and third-party partners are routinely assessed using audits, test results, or other forms of evaluations to confirm they are meeting their contractual obligations.</t>
  </si>
  <si>
    <t>Attestations of Compliance</t>
  </si>
  <si>
    <t>1.6.5</t>
  </si>
  <si>
    <t>ID.SC-5</t>
  </si>
  <si>
    <t>Response and recovery planning and testing are conducted with suppliers and third-party providers</t>
  </si>
  <si>
    <t>2.1.1</t>
  </si>
  <si>
    <t>AC</t>
  </si>
  <si>
    <t>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</si>
  <si>
    <t>PR.AC-1</t>
  </si>
  <si>
    <t>Identities and credentials are issued, managed, verified, revoked, and audited for authorized devices, users and processes</t>
  </si>
  <si>
    <t>2.1.2</t>
  </si>
  <si>
    <t>PR.AC-2</t>
  </si>
  <si>
    <t>Physical access to assets is managed and protected</t>
  </si>
  <si>
    <t>Network closets, Data Centers, Security Guards</t>
  </si>
  <si>
    <t>2.1.3</t>
  </si>
  <si>
    <t>PR.AC-3</t>
  </si>
  <si>
    <t>Remote access is managed</t>
  </si>
  <si>
    <t>2.1.4</t>
  </si>
  <si>
    <t>PR.AC-4</t>
  </si>
  <si>
    <t>Access permissions and authorizations are managed, incorporating the principles of least privilege and separation of duties</t>
  </si>
  <si>
    <t>2.1.5</t>
  </si>
  <si>
    <t>PR.AC-5</t>
  </si>
  <si>
    <t>Network integrity is protected (e.g., network segregation, network segmentation)</t>
  </si>
  <si>
    <t>Segmentation, Guest Wi-Fi</t>
  </si>
  <si>
    <t>2.1.6</t>
  </si>
  <si>
    <t>PR.AC-6</t>
  </si>
  <si>
    <t>Identities are proofed and bound to credentials and asserted in interactions</t>
  </si>
  <si>
    <t>Unique User Accounts</t>
  </si>
  <si>
    <t>2.1.7</t>
  </si>
  <si>
    <t>PR.AC-7</t>
  </si>
  <si>
    <t>Users, devices, and other assets are authenticated (e.g., single-factor, multi-factor) commensurate with the risk of the transaction (e.g., individuals’ security and privacy risks and other organizational risks)</t>
  </si>
  <si>
    <t>Local accounts (Sys, Net)
MFA (VPN, Cloud)</t>
  </si>
  <si>
    <t>2.2.1</t>
  </si>
  <si>
    <t>PR.AT-1</t>
  </si>
  <si>
    <t xml:space="preserve">All users are informed and trained </t>
  </si>
  <si>
    <t>Security Awareness</t>
  </si>
  <si>
    <t>2.2.2</t>
  </si>
  <si>
    <t>PR.AT-2</t>
  </si>
  <si>
    <t xml:space="preserve">Privileged users understand their roles and responsibilities </t>
  </si>
  <si>
    <t>Access Controls, Admin Account Use for Daily Tasks</t>
  </si>
  <si>
    <t>2.2.3</t>
  </si>
  <si>
    <t>PR.AT-3</t>
  </si>
  <si>
    <t xml:space="preserve">Third-party stakeholders (e.g., suppliers, customers, partners) understand their roles and responsibilities </t>
  </si>
  <si>
    <t>Vendor Management</t>
  </si>
  <si>
    <t>2.2.4</t>
  </si>
  <si>
    <t>PR.AT-4</t>
  </si>
  <si>
    <t xml:space="preserve">Senior executives understand their roles and responsibilities </t>
  </si>
  <si>
    <t>2.2.5</t>
  </si>
  <si>
    <t>PR.AT-5</t>
  </si>
  <si>
    <t xml:space="preserve">Physical and cybersecurity personnel understand their roles and responsibilities </t>
  </si>
  <si>
    <t>2.3.1</t>
  </si>
  <si>
    <t>PR.DS-1</t>
  </si>
  <si>
    <t>Data-at-rest is protected</t>
  </si>
  <si>
    <t>Laptop Encryption
Mobile Device Management</t>
  </si>
  <si>
    <t>2.3.2</t>
  </si>
  <si>
    <t>PR.DS-2</t>
  </si>
  <si>
    <t>Data-in-transit is protected</t>
  </si>
  <si>
    <t>TLS on Public Facing Systems, SSH (SFTP)
Email Encryption</t>
  </si>
  <si>
    <t>2.3.3</t>
  </si>
  <si>
    <t>PR.DS-3</t>
  </si>
  <si>
    <t>Assets are formally managed throughout removal, transfers, and disposition</t>
  </si>
  <si>
    <t>2.3.4</t>
  </si>
  <si>
    <t>PR.DS-4</t>
  </si>
  <si>
    <t>Adequate capacity to ensure availability is maintained</t>
  </si>
  <si>
    <t>2.3.5</t>
  </si>
  <si>
    <t>PR.DS-5</t>
  </si>
  <si>
    <t>Protections against data leaks are implemented</t>
  </si>
  <si>
    <t>DLP
M365</t>
  </si>
  <si>
    <t>2.3.6</t>
  </si>
  <si>
    <t>PR.DS-6</t>
  </si>
  <si>
    <t>Integrity checking mechanisms are used to verify software, firmware, and information integrity</t>
  </si>
  <si>
    <t>AV
EDR
FIM</t>
  </si>
  <si>
    <t>2.3.7</t>
  </si>
  <si>
    <t>PR.DS-7</t>
  </si>
  <si>
    <t>The development and testing environment(s) are separate from the production environment</t>
  </si>
  <si>
    <t xml:space="preserve"> </t>
  </si>
  <si>
    <t>2.3.8</t>
  </si>
  <si>
    <t>PR.DS-8</t>
  </si>
  <si>
    <t>Integrity checking mechanisms are used to verify hardware integrity</t>
  </si>
  <si>
    <t>AV/EDR (USB Detection), Tamper Resistant</t>
  </si>
  <si>
    <t>2.4.01</t>
  </si>
  <si>
    <t>PR.IP-1</t>
  </si>
  <si>
    <t>A baseline configuration of information technology/industrial control systems is created and maintained incorporating security principles (e.g. concept of least functionality)</t>
  </si>
  <si>
    <t>Standard Image, System Checklist</t>
  </si>
  <si>
    <t>2.4.02</t>
  </si>
  <si>
    <t>PR.IP-2</t>
  </si>
  <si>
    <t>A System Development Life Cycle to manage systems is implemented</t>
  </si>
  <si>
    <t>2.4.03</t>
  </si>
  <si>
    <t>PR.IP-3</t>
  </si>
  <si>
    <t>Configuration change control processes are in place</t>
  </si>
  <si>
    <t>Change Management</t>
  </si>
  <si>
    <t>2.4.04</t>
  </si>
  <si>
    <t>PR.IP-4</t>
  </si>
  <si>
    <t xml:space="preserve">Backups of information are conducted, maintained, and tested </t>
  </si>
  <si>
    <t>2.4.05</t>
  </si>
  <si>
    <t>PR.IP-5</t>
  </si>
  <si>
    <t>Policy and regulations regarding the physical operating environment for organizational assets are met</t>
  </si>
  <si>
    <t>2.4.06</t>
  </si>
  <si>
    <t>PR.IP-6</t>
  </si>
  <si>
    <t>Data is destroyed according to policy</t>
  </si>
  <si>
    <t>2.4.07</t>
  </si>
  <si>
    <t>PR.IP-7</t>
  </si>
  <si>
    <t>Protection processes are improved</t>
  </si>
  <si>
    <t>2.4.08</t>
  </si>
  <si>
    <t>PR.IP-8</t>
  </si>
  <si>
    <t xml:space="preserve">Effectiveness of protection technologies is shared </t>
  </si>
  <si>
    <t>2.4.09</t>
  </si>
  <si>
    <t>PR.IP-9</t>
  </si>
  <si>
    <t>Response plans (Incident Response and Business Continuity) and recovery plans (Incident Recovery and Disaster Recovery) are in place and managed</t>
  </si>
  <si>
    <t>2.4.10</t>
  </si>
  <si>
    <t>PR.IP-10</t>
  </si>
  <si>
    <t>Response and recovery plans are tested</t>
  </si>
  <si>
    <t>2.4.11</t>
  </si>
  <si>
    <t>PR.IP-11</t>
  </si>
  <si>
    <t>Cybersecurity is included in human resources practices (e.g., deprovisioning, personnel screening)</t>
  </si>
  <si>
    <t>Background Checks</t>
  </si>
  <si>
    <t>2.4.12</t>
  </si>
  <si>
    <t>PR.IP-12</t>
  </si>
  <si>
    <t>A vulnerability management plan is developed and implemented</t>
  </si>
  <si>
    <t>2.5.1</t>
  </si>
  <si>
    <t>PR.MA-1</t>
  </si>
  <si>
    <t>Maintenance and repair of organizational assets are performed and logged, with approved and controlled tools</t>
  </si>
  <si>
    <t>Visitor Policy</t>
  </si>
  <si>
    <t>2.5.2</t>
  </si>
  <si>
    <t>PR.MA-2</t>
  </si>
  <si>
    <t>Remote maintenance of organizational assets is approved, logged, and performed in a manner that prevents unauthorized access</t>
  </si>
  <si>
    <t>SSH, RDP</t>
  </si>
  <si>
    <t>2.6.1</t>
  </si>
  <si>
    <t>PR.PT-1</t>
  </si>
  <si>
    <t>Audit/log records are determined, documented, implemented, and reviewed in accordance with policy</t>
  </si>
  <si>
    <t>2.6.2</t>
  </si>
  <si>
    <t>PR.PT-2</t>
  </si>
  <si>
    <t>Removable media is protected and its use restricted according to policy</t>
  </si>
  <si>
    <t>2.6.3</t>
  </si>
  <si>
    <t>PR.PT-3</t>
  </si>
  <si>
    <t>The principle of least functionality is incorporated by configuring systems to provide only essential capabilities</t>
  </si>
  <si>
    <t>Local Admin Privileges</t>
  </si>
  <si>
    <t>2.6.4</t>
  </si>
  <si>
    <t>PR.PT-4</t>
  </si>
  <si>
    <t>Communications and control networks are protected</t>
  </si>
  <si>
    <t>NGFW</t>
  </si>
  <si>
    <t>2.6.5</t>
  </si>
  <si>
    <t>PR.PT-5</t>
  </si>
  <si>
    <t>Mechanisms (e.g., failsafe, load balancing, hot swap) are implemented to achieve resilience requirements in normal and adverse situations</t>
  </si>
  <si>
    <t>3.1.1</t>
  </si>
  <si>
    <t>AE</t>
  </si>
  <si>
    <t>Anomalies and Events (DE.AE):
Anomalous activity is detected and the potential impact of events is understood.</t>
  </si>
  <si>
    <t>DE.AE-1</t>
  </si>
  <si>
    <t>A baseline of network operations and expected data flows for users and systems is established and managed</t>
  </si>
  <si>
    <t>Monitoring solution
NGFW
Microsoft 365</t>
  </si>
  <si>
    <t>3.1.2</t>
  </si>
  <si>
    <t>DE.AE-2</t>
  </si>
  <si>
    <t>Detected events are analyzed to understand attack targets and methods</t>
  </si>
  <si>
    <t>AV
NGFW
Microsoft 365</t>
  </si>
  <si>
    <t>3.1.3</t>
  </si>
  <si>
    <t>DE.AE-3</t>
  </si>
  <si>
    <t>Event data are collected and correlated from multiple sources and sensors</t>
  </si>
  <si>
    <t>SIEM</t>
  </si>
  <si>
    <t>3.1.4</t>
  </si>
  <si>
    <t>DE.AE-4</t>
  </si>
  <si>
    <t>Impact of events is determined</t>
  </si>
  <si>
    <t>SIEM/SOC</t>
  </si>
  <si>
    <t>3.1.5</t>
  </si>
  <si>
    <t>DE.AE-5</t>
  </si>
  <si>
    <t>Incident alert thresholds are established</t>
  </si>
  <si>
    <t>3.2.1</t>
  </si>
  <si>
    <t>CM</t>
  </si>
  <si>
    <t>Security Continuous Monitoring (DE.CM):
The information system and assets are monitored to identify cybersecurity events and verify the effectiveness of protective measures.</t>
  </si>
  <si>
    <t>DE.CM-1</t>
  </si>
  <si>
    <t>The network is monitored to detect potential cybersecurity events</t>
  </si>
  <si>
    <t>NGFW
SIEM/SOC</t>
  </si>
  <si>
    <t>3.2.2</t>
  </si>
  <si>
    <t>DE.CM-2</t>
  </si>
  <si>
    <t>The physical environment is monitored to detect potential cybersecurity events</t>
  </si>
  <si>
    <t>3.2.3</t>
  </si>
  <si>
    <t>DE.CM-3</t>
  </si>
  <si>
    <t>Personnel activity is monitored to detect potential cybersecurity events</t>
  </si>
  <si>
    <t>Microsoft 365</t>
  </si>
  <si>
    <t>3.2.4</t>
  </si>
  <si>
    <t>DE.CM-4</t>
  </si>
  <si>
    <t>Malicious code is detected</t>
  </si>
  <si>
    <t>AV/EDR, MDR</t>
  </si>
  <si>
    <t>3.2.5</t>
  </si>
  <si>
    <t>DE.CM-5</t>
  </si>
  <si>
    <t>Unauthorized mobile code is detected</t>
  </si>
  <si>
    <t xml:space="preserve">AV coverage over malicious code from external sources such as USB </t>
  </si>
  <si>
    <t>3.2.6</t>
  </si>
  <si>
    <t>DE.CM-6</t>
  </si>
  <si>
    <t>External service provider activity is monitored to detect potential cybersecurity events</t>
  </si>
  <si>
    <t xml:space="preserve">SIEM/SOC
i.e. Printer Support, cameras, Edafio </t>
  </si>
  <si>
    <t>3.2.7</t>
  </si>
  <si>
    <t>DE.CM-7</t>
  </si>
  <si>
    <t>Monitoring for unauthorized personnel, connections, devices, and software is performed</t>
  </si>
  <si>
    <t>3.2.8</t>
  </si>
  <si>
    <t>DE.CM-8</t>
  </si>
  <si>
    <t>Vulnerability scans are performed</t>
  </si>
  <si>
    <t>Internal
External</t>
  </si>
  <si>
    <t>3.3.1</t>
  </si>
  <si>
    <t>DP</t>
  </si>
  <si>
    <t>Detection Processes (DE.DP):
Detection processes and procedures are maintained and tested to ensure awareness of anomalous events.</t>
  </si>
  <si>
    <t>DE.DP-1</t>
  </si>
  <si>
    <t>Roles and responsibilities for detection are well defined to ensure accountability</t>
  </si>
  <si>
    <t>3.3.2</t>
  </si>
  <si>
    <t>DE.DP-2</t>
  </si>
  <si>
    <t>Detection activities comply with all applicable requirements</t>
  </si>
  <si>
    <t>N/A</t>
  </si>
  <si>
    <t>3.3.3</t>
  </si>
  <si>
    <t>DE.DP-3</t>
  </si>
  <si>
    <t>Detection processes are tested</t>
  </si>
  <si>
    <t>Simulated phishing test</t>
  </si>
  <si>
    <t>3.3.4</t>
  </si>
  <si>
    <t>DE.DP-4</t>
  </si>
  <si>
    <t>Event detection information is communicated</t>
  </si>
  <si>
    <t>3.3.5</t>
  </si>
  <si>
    <t>DE.DP-5</t>
  </si>
  <si>
    <t>Detection processes are continuously improved</t>
  </si>
  <si>
    <t>4.1.1</t>
  </si>
  <si>
    <t>RP</t>
  </si>
  <si>
    <t>Response Planning (RS.RP):
Response processes and procedures are executed and maintained, to ensure response to detected cybersecurity incidents.</t>
  </si>
  <si>
    <t>RS.RP-1</t>
  </si>
  <si>
    <t>Response plan is executed during or after an incident</t>
  </si>
  <si>
    <t>4.2.1</t>
  </si>
  <si>
    <t>CO</t>
  </si>
  <si>
    <t>Communications (RS.CO):
Response activities are coordinated with internal and external stakeholders (e.g. external support from law enforcement agencies).</t>
  </si>
  <si>
    <t>RS.CO-1</t>
  </si>
  <si>
    <t>Personnel know their roles and order of operations when a response is needed</t>
  </si>
  <si>
    <t>4.2.2</t>
  </si>
  <si>
    <t>RS.CO-2</t>
  </si>
  <si>
    <t>Incidents are reported consistent with established criteria</t>
  </si>
  <si>
    <t>4.2.3</t>
  </si>
  <si>
    <t>RS.CO-3</t>
  </si>
  <si>
    <t>Information is shared consistent with response plans</t>
  </si>
  <si>
    <t>4.2.4</t>
  </si>
  <si>
    <t>RS.CO-4</t>
  </si>
  <si>
    <t>Coordination with stakeholders occurs consistent with response plans</t>
  </si>
  <si>
    <t>4.2.5</t>
  </si>
  <si>
    <t>RS.CO-5</t>
  </si>
  <si>
    <t xml:space="preserve">Voluntary information sharing occurs with external stakeholders to achieve broader cybersecurity situational awareness </t>
  </si>
  <si>
    <t>4.3.1</t>
  </si>
  <si>
    <t>AN</t>
  </si>
  <si>
    <t>Analysis (RS.AN):
Analysis is conducted to ensure effective response and support recovery activities.</t>
  </si>
  <si>
    <t>RS.AN-1</t>
  </si>
  <si>
    <t>Notifications from detection systems are investigated </t>
  </si>
  <si>
    <t>4.3.2</t>
  </si>
  <si>
    <t>RS.AN-2</t>
  </si>
  <si>
    <t>The impact of the incident is understood</t>
  </si>
  <si>
    <t>4.3.3</t>
  </si>
  <si>
    <t>RS.AN-3</t>
  </si>
  <si>
    <t>Forensics are performed</t>
  </si>
  <si>
    <t>4.3.4</t>
  </si>
  <si>
    <t>RS.AN-4</t>
  </si>
  <si>
    <t>Incidents are categorized consistent with response plans</t>
  </si>
  <si>
    <t>4.3.5</t>
  </si>
  <si>
    <t>RS.AN-5</t>
  </si>
  <si>
    <t>Processes are established to receive, analyze and respond to vulnerabilities disclosed to the organization from internal and external sources (e.g. internal testing, security bulletins, or security researchers)</t>
  </si>
  <si>
    <t>4.4.1</t>
  </si>
  <si>
    <t>MI</t>
  </si>
  <si>
    <t>Mitigation (RS.MI):
Activities are performed to prevent expansion of an event, mitigate its effects, and resolve the incident.</t>
  </si>
  <si>
    <t>RS.MI-1</t>
  </si>
  <si>
    <t>Incidents are contained</t>
  </si>
  <si>
    <t>4.4.2</t>
  </si>
  <si>
    <t>RS.MI-2</t>
  </si>
  <si>
    <t>Incidents are mitigated</t>
  </si>
  <si>
    <t>4.4.3</t>
  </si>
  <si>
    <t>RS.MI-3</t>
  </si>
  <si>
    <t>Newly identified vulnerabilities are mitigated or documented as accepted risks</t>
  </si>
  <si>
    <t>4.5.1</t>
  </si>
  <si>
    <t>IM</t>
  </si>
  <si>
    <t>Improvements (RS.IM):
Organizational response activities are improved by incorporating lessons learned from current and previous detection/response activities.</t>
  </si>
  <si>
    <t>RS.IM-1</t>
  </si>
  <si>
    <t>Response plans incorporate lessons learned</t>
  </si>
  <si>
    <t>4.5.2</t>
  </si>
  <si>
    <t>RS.IM-2</t>
  </si>
  <si>
    <t>Response strategies are updated</t>
  </si>
  <si>
    <t>5.1.1</t>
  </si>
  <si>
    <t>Recovery Planning (RC.RP):
Recovery processes and procedures are executed and maintained to ensure restoration of systems or assets affected by cybersecurity incidents.</t>
  </si>
  <si>
    <t>RC.RP-1</t>
  </si>
  <si>
    <t xml:space="preserve">Recovery plan is executed during or after a cybersecurity incident </t>
  </si>
  <si>
    <t>Backup Documentation</t>
  </si>
  <si>
    <t>5.2.1</t>
  </si>
  <si>
    <t>Improvements (RC.IM):
Recovery planning and processes are improved by incorporating lessons learned into future activities.</t>
  </si>
  <si>
    <t>RC.IM-1</t>
  </si>
  <si>
    <t>Recovery plans incorporate lessons learned</t>
  </si>
  <si>
    <t>5.2.2</t>
  </si>
  <si>
    <t>RC.IM-2</t>
  </si>
  <si>
    <t>Recovery strategies are updated</t>
  </si>
  <si>
    <t>5.3.1</t>
  </si>
  <si>
    <t>Communications (RC.CO):
Restoration activities are coordinated with internal and external parties (e.g.  coordinating centers, Internet Service Providers, owners of attacking systems, victims, other CSIRTs, and vendors).</t>
  </si>
  <si>
    <t>RC.CO-1</t>
  </si>
  <si>
    <t>Public relations are managed</t>
  </si>
  <si>
    <t>5.3.2</t>
  </si>
  <si>
    <t>RC.CO-2</t>
  </si>
  <si>
    <t xml:space="preserve">Reputation is repaired after an incident </t>
  </si>
  <si>
    <t>5.3.3</t>
  </si>
  <si>
    <t>RC.CO-3</t>
  </si>
  <si>
    <t>Recovery activities are communicated to internal and external stakeholders as well as executive and management teams</t>
  </si>
  <si>
    <t>Subcategory</t>
  </si>
  <si>
    <t>Function Desc.</t>
  </si>
  <si>
    <t>Identify</t>
  </si>
  <si>
    <t>ID</t>
  </si>
  <si>
    <t>Protect</t>
  </si>
  <si>
    <t>PR</t>
  </si>
  <si>
    <t>DE</t>
  </si>
  <si>
    <t>Detect</t>
  </si>
  <si>
    <t>RS</t>
  </si>
  <si>
    <t>Respond</t>
  </si>
  <si>
    <t>RC</t>
  </si>
  <si>
    <t>Recover</t>
  </si>
  <si>
    <t>Interview Grouping</t>
  </si>
  <si>
    <t>Finding</t>
  </si>
  <si>
    <t>Assessed Tier</t>
  </si>
  <si>
    <t>Tier</t>
  </si>
  <si>
    <t>Desc.</t>
  </si>
  <si>
    <t>Partial</t>
  </si>
  <si>
    <t>Adaptable</t>
  </si>
  <si>
    <t>Critical</t>
  </si>
  <si>
    <t>Tier 3: Repeatable</t>
  </si>
  <si>
    <t>Tier 4: Adaptable</t>
  </si>
  <si>
    <t>Risk Management Process – Organizational cybersecurity risk management practices are not formalized, and risk is managed in an ad hoc and sometimes reactive manner. Prioritization of cybersecurity activities may not be directly informed by organizational risk objectives, the threat environment, or business/mission requirements. 
Integrated Risk Management Program – There is limited awareness of cybersecurity risk at the organizational level. The organization implements cybersecurity risk management on an irregular, case-by-case basis due to varied experience or information gained from outside sources. The organization may not have processes that enable cybersecurity information to be shared within the organization.
External Participation – The organization does not understand its role in the larger ecosystem with respect to either its dependencies or dependents. The organization does not collaborate with or receive information (e.g., threat intelligence, best practices, technologies) from other entities (e.g., buyers, suppliers, dependencies, dependents, ISAOs, researchers, governments), nor does it share information. The organization is generally unaware of the cyber supply chain risks of the products and services it provides and that it uses.</t>
  </si>
  <si>
    <t>Risk Management Process – Risk management practices are approved by management but may not be established as organizational-wide policy. Prioritization of cybersecurity activities and protection needs is directly informed by organizational risk objectives, the threat environment, or business/mission requirements.
Integrated Risk Management Program – There is an awareness of cybersecurity risk at the organizational level, but an organization-wide approach to managing cybersecurity risk has not been established. Cybersecurity information is shared within the organization on an informal basis. Consideration of cybersecurity in organizational objectives and programs may occur at some but not all levels of the organization. Cyber risk assessment of organizational and external assets occurs, but is not typically repeatable or reoccurring.
External Participation – Generally, the organization understands its role in the larger ecosystem with respect to either its own dependencies or dependents, but not both. The organization collaborates with and receives some information from other entities and generates some of its own information, but may not share information with others. Additionally, the organization is aware of the cyber supply chain risks associated with the products and services it provides and uses, but does not act consistently or formally upon those risks.</t>
  </si>
  <si>
    <t>Risk Management Process – The organization’s risk management practices are formally approved and expressed as policy. Organizational cybersecurity practices are regularly updated based on the application of risk management processes to changes in business/mission requirements and a changing threat and technology landscape.
Integrated Risk Management Program – There is an organization-wide approach to manage cybersecurity risk. Risk-informed policies, processes, and procedures are defined, implemented as intended, and reviewed. Consistent methods are in place to respond effectively to changes in risk. Personnel possess the knowledge and skills to perform their appointed roles and responsibilities. The organization consistently and accurately monitors cybersecurity risk of organizational assets. Senior cybersecurity and non-cybersecurity executives communicate regularly regarding cybersecurity risk.  Senior executives ensure consideration of cybersecurity through all lines of operation in the organization.
External Participation – The organization understands its role, dependencies, and dependents in the larger ecosystem and may contribute to the community’s broader understanding of risks. It collaborates with and receives information from other entities regularly that complements internally generated information, and shares information with other entities. The organization is aware of the cyber supply chain risks associated with the products and services it provides and that it uses. Additionally, it usually acts formally upon those risks, including mechanisms such as written agreements to communicate baseline requirements, governance structures (e.g., risk councils), and policy implementation and monitoring.</t>
  </si>
  <si>
    <t>Risk Management Process – The organization adapts its cybersecurity practices based on previous and current cybersecurity activities, including lessons learned and predictive indicators. Through a process of continuous improvement incorporating advanced cybersecurity technologies and practices, the organization actively adapts to a changing threat and technology landscape and responds in a timely and effective manner to evolving, sophisticated threats.
Integrated Risk Management Program – There is an organization-wide approach to managing cybersecurity risk that uses risk-informed policies, processes, and procedures to address potential cybersecurity events. The relationship between cybersecurity risk and organizational objectives is clearly understood and considered when making decisions. Senior executives monitor cybersecurity risk in the same context as financial risk and other organizational risks. The organizational budget is based on an understanding of the current and predicted risk environment and risk tolerance. Business units implement executive vision and analyze system-level risks in the context of the organizational risk tolerances. Cybersecurity risk management is part of the organizational culture and evolves from an awareness of previous activities and continuous awareness of activities on their systems and networks. The organization can quickly and efficiently account for changes to business/mission objectives in how risk is approached and communicated.
External Participation – The organization understands its role, dependencies, and dependents in the larger ecosystem and contributes to the community’s broader understanding of risks. It receives, generates, and reviews prioritized information that informs continuous analysis of its risks as the threat and technology landscapes evolve. The organization shares that information internally and externally with other collaborators. The organization uses real-time or near real-time information to understand and consistently act upon cyber supply chain risks associated with the products and services it provides and that it uses. Additionally, it communicates proactively, using formal (e.g. agreements) and informal mechanisms to develop and maintain strong supply chain relationships.</t>
  </si>
  <si>
    <t>CIS CSC 1</t>
  </si>
  <si>
    <t>CIS CSC 2</t>
  </si>
  <si>
    <t>CIS CSC 12</t>
  </si>
  <si>
    <t>CIS CSC 13, 14</t>
  </si>
  <si>
    <t>CIS CSC 17, 19</t>
  </si>
  <si>
    <t>CIS CSC 19</t>
  </si>
  <si>
    <t>CIS CSC 4</t>
  </si>
  <si>
    <t>CIS CSC 19, 20</t>
  </si>
  <si>
    <t>CIS CSC 1, 5, 15, 16</t>
  </si>
  <si>
    <t xml:space="preserve">CIS CSC 3, 5, 12, 14, 15, 16, 18 </t>
  </si>
  <si>
    <t>CIS CSC 9, 14, 15, 18</t>
  </si>
  <si>
    <t>CIS CSC, 16</t>
  </si>
  <si>
    <t>CIS CSC 1, 12, 15, 16</t>
  </si>
  <si>
    <t>CIS CSC 17, 18</t>
  </si>
  <si>
    <t xml:space="preserve">CIS CSC 5, 17, 18 </t>
  </si>
  <si>
    <t>CIS CSC 17</t>
  </si>
  <si>
    <t>CIS CSC 1, 2, 13</t>
  </si>
  <si>
    <t>CIS CSC 13</t>
  </si>
  <si>
    <t>CIS CSC 2, 3</t>
  </si>
  <si>
    <t>CIS CSC 18, 20</t>
  </si>
  <si>
    <t>CIS CSC 3, 9, 11</t>
  </si>
  <si>
    <t>CIS CSC 18</t>
  </si>
  <si>
    <t>CIS CSC 3, 11</t>
  </si>
  <si>
    <t>CIS CSC 10</t>
  </si>
  <si>
    <t>CIS CSC 5, 16</t>
  </si>
  <si>
    <t>CIS CSC 4, 18, 20</t>
  </si>
  <si>
    <t>CIS CSC 3, 5</t>
  </si>
  <si>
    <t>CIS CSC 1, 3, 5, 6, 14, 15, 16</t>
  </si>
  <si>
    <t>CIS CSC 8, 13</t>
  </si>
  <si>
    <t>CIS CSC 3, 11, 14</t>
  </si>
  <si>
    <t>CIS CSC 8, 12, 15</t>
  </si>
  <si>
    <t>CIS CSC 1, 4, 6, 12, 13, 15, 16</t>
  </si>
  <si>
    <t>CIS CSC 3, 6, 13, 15</t>
  </si>
  <si>
    <t>CIS CSC 1, 3, 4, 5, 6, 7, 8, 11, 12, 13, 14, 15, 16</t>
  </si>
  <si>
    <t>CIS CSC 4, 6</t>
  </si>
  <si>
    <t>CIS CSC 6, 19</t>
  </si>
  <si>
    <t>CIS CSC 1, 7, 8, 12, 13, 15, 16</t>
  </si>
  <si>
    <t>CIS CSC 5, 7, 14, 16</t>
  </si>
  <si>
    <t>CIS CSC 4, 7, 8, 12</t>
  </si>
  <si>
    <t>CIS CSC 7, 8</t>
  </si>
  <si>
    <t>CIS CSC 1, 2, 3, 5, 9, 12, 13, 15, 16</t>
  </si>
  <si>
    <t>CIS CSC 4, 20</t>
  </si>
  <si>
    <t>CIS CSC 4, 6, 8, 19</t>
  </si>
  <si>
    <t>CIS CSC 4, 19</t>
  </si>
  <si>
    <t>CM-8, PM-5</t>
  </si>
  <si>
    <t xml:space="preserve"> CM-8, PM-5</t>
  </si>
  <si>
    <t xml:space="preserve"> AC-4, CA-3, CA-9, PL-8</t>
  </si>
  <si>
    <t xml:space="preserve"> AC-20, SA-9</t>
  </si>
  <si>
    <t xml:space="preserve"> CP-2, RA-2, SA-14, SC-6</t>
  </si>
  <si>
    <t xml:space="preserve"> CP-2, PS-7, PM-11</t>
  </si>
  <si>
    <t xml:space="preserve"> CP-2, SA-12</t>
  </si>
  <si>
    <t xml:space="preserve"> PM-8</t>
  </si>
  <si>
    <t xml:space="preserve"> PM-11, SA-14</t>
  </si>
  <si>
    <t xml:space="preserve"> CP-8, PE-9, PE-11, PM-8, SA-14</t>
  </si>
  <si>
    <t xml:space="preserve"> CP-2, CP-11, SA-13, SA-14</t>
  </si>
  <si>
    <t xml:space="preserve"> -1 controls from all security control families </t>
  </si>
  <si>
    <t xml:space="preserve"> PS-7, PM-1, PM-2</t>
  </si>
  <si>
    <t xml:space="preserve"> -1 controls from all security control families</t>
  </si>
  <si>
    <t xml:space="preserve"> SA-2, PM-3, PM-7, PM-9, PM-10, PM-11</t>
  </si>
  <si>
    <t xml:space="preserve"> CA-2, CA-7, CA-8, RA-3, RA-5, SA-5, SA-11, SI-2, SI-4, SI-5</t>
  </si>
  <si>
    <t xml:space="preserve"> SI-5, PM-15, PM-16</t>
  </si>
  <si>
    <t xml:space="preserve"> RA-3, SI-5, PM-12, PM-16</t>
  </si>
  <si>
    <t xml:space="preserve"> RA-2, RA-3, SA-14, PM-9, PM-11</t>
  </si>
  <si>
    <t xml:space="preserve"> RA-2, RA-3, PM-16</t>
  </si>
  <si>
    <t xml:space="preserve"> PM-4, PM-9</t>
  </si>
  <si>
    <t xml:space="preserve"> PM-9</t>
  </si>
  <si>
    <t xml:space="preserve"> SA-14, PM-8, PM-9, PM-11</t>
  </si>
  <si>
    <t xml:space="preserve"> SA-9, SA-12, PM-9</t>
  </si>
  <si>
    <t xml:space="preserve"> RA-2, RA-3, SA-12, SA-14, SA-15, PM-9</t>
  </si>
  <si>
    <t xml:space="preserve"> SA-9, SA-11, SA-12, PM-9</t>
  </si>
  <si>
    <t xml:space="preserve"> AU-2, AU-6, AU-12, AU-16, PS-7, SA-9, SA-12</t>
  </si>
  <si>
    <t xml:space="preserve"> CP-2, CP-4, IR-3, IR-4, IR-6, IR-8, IR-9</t>
  </si>
  <si>
    <t xml:space="preserve"> AC-1, AC-2, IA-1, IA-2, IA-3, IA-4, IA-5, IA-6, IA-7, IA-8, IA-9, IA-10, IA-11 </t>
  </si>
  <si>
    <t xml:space="preserve"> PE-2, PE-3, PE-4, PE-5, PE-6, PE-8</t>
  </si>
  <si>
    <t xml:space="preserve"> AC-1, AC-17, AC-19, AC-20, SC-15</t>
  </si>
  <si>
    <t xml:space="preserve"> AC-1, AC-2, AC-3, AC-5, AC-6, AC-14, AC-16, AC-24</t>
  </si>
  <si>
    <t xml:space="preserve"> AC-4, AC-10, SC-7</t>
  </si>
  <si>
    <t xml:space="preserve"> AC-1, AC-2, AC-3,  AC-16, AC-19, AC-24, IA-1, IA-2, IA-4, IA-5, IA-8, PE-2, PS-3</t>
  </si>
  <si>
    <t xml:space="preserve"> AC-7, AC-8, AC-9, AC-11, AC-12, AC-14, IA-1, IA-2, IA-3, IA-4, IA-5, IA-8, IA-9, IA-10, IA-11</t>
  </si>
  <si>
    <t xml:space="preserve"> AT-2, PM-13</t>
  </si>
  <si>
    <t xml:space="preserve"> AT-3, PM-13</t>
  </si>
  <si>
    <t xml:space="preserve"> PS-7, SA-9, SA-16</t>
  </si>
  <si>
    <t xml:space="preserve"> AT-3, IR-2, PM-13</t>
  </si>
  <si>
    <t xml:space="preserve"> MP-8, SC-12, SC-28</t>
  </si>
  <si>
    <t xml:space="preserve"> SC-8, SC-11, SC-12</t>
  </si>
  <si>
    <t xml:space="preserve"> CM-8, MP-6, PE-16</t>
  </si>
  <si>
    <t xml:space="preserve"> AU-4, CP-2, SC-5</t>
  </si>
  <si>
    <t xml:space="preserve"> AC-4, AC-5, AC-6, PE-19, PS-3, PS-6, SC-7, SC-8, SC-13, SC-31, SI-4</t>
  </si>
  <si>
    <t xml:space="preserve"> SC-16, SI-7</t>
  </si>
  <si>
    <t xml:space="preserve"> CM-2</t>
  </si>
  <si>
    <t xml:space="preserve"> SA-10, SI-7</t>
  </si>
  <si>
    <t xml:space="preserve"> CM-2, CM-3, CM-4, CM-5, CM-6, CM-7, CM-9, SA-10</t>
  </si>
  <si>
    <t xml:space="preserve"> PL-8, SA-3, SA-4, SA-8, SA-10, SA-11, SA-12, SA-15, SA-17, SI-12, SI-13, SI-14, SI-16, SI-17 </t>
  </si>
  <si>
    <t xml:space="preserve"> CM-3, CM-4, SA-10</t>
  </si>
  <si>
    <t xml:space="preserve"> CP-4, CP-6, CP-9</t>
  </si>
  <si>
    <t xml:space="preserve"> PE-10, PE-12, PE-13, PE-14, PE-15, PE-18</t>
  </si>
  <si>
    <t xml:space="preserve"> MP-6</t>
  </si>
  <si>
    <t xml:space="preserve"> CA-2, CA-7, CP-2, IR-8, PL-2, PM-6</t>
  </si>
  <si>
    <t xml:space="preserve"> AC-21, CA-7, SI-4</t>
  </si>
  <si>
    <t xml:space="preserve"> CP-2, CP-7, CP-12, CP-13, IR-7, IR-8, IR-9, PE-17</t>
  </si>
  <si>
    <t xml:space="preserve"> CP-4, IR-3, PM-14</t>
  </si>
  <si>
    <t xml:space="preserve"> PS-1, PS-2, PS-3, PS-4, PS-5, PS-6, PS-7, PS-8, SA-21 </t>
  </si>
  <si>
    <t xml:space="preserve"> RA-3, RA-5, SI-2</t>
  </si>
  <si>
    <t xml:space="preserve"> MA-2, MA-3, MA-5, MA-6</t>
  </si>
  <si>
    <t xml:space="preserve"> MA-4</t>
  </si>
  <si>
    <t xml:space="preserve"> AU Family</t>
  </si>
  <si>
    <t xml:space="preserve"> MP-2, MP-3, MP-4, MP-5, MP-7, MP-8</t>
  </si>
  <si>
    <t xml:space="preserve"> AC-3, CM-7</t>
  </si>
  <si>
    <t xml:space="preserve"> AC-4, AC-17, AC-18, CP-8, SC-7, SC-19, SC-20, SC-21, SC-22, SC-23, SC-24, SC-25, SC-29, SC-32, SC-36, SC-37, SC-38, SC-39, SC-40, SC-41, SC-43</t>
  </si>
  <si>
    <t xml:space="preserve"> CP-7, CP-8, CP-11, CP-13, PL-8, SA-14, SC-6</t>
  </si>
  <si>
    <t xml:space="preserve"> AC-4, CA-3, CM-2, SI-4</t>
  </si>
  <si>
    <t xml:space="preserve"> AU-6, CA-7, IR-4, SI-4</t>
  </si>
  <si>
    <t xml:space="preserve"> AU-6, CA-7, IR-4, IR-5, IR-8, SI-4</t>
  </si>
  <si>
    <t xml:space="preserve"> CP-2, IR-4, RA-3, SI-4</t>
  </si>
  <si>
    <t xml:space="preserve"> IR-4, IR-5, IR-8</t>
  </si>
  <si>
    <t xml:space="preserve"> AC-2, AU-12, CA-7, CM-3, SC-5, SC-7, SI-4</t>
  </si>
  <si>
    <t xml:space="preserve"> CA-7, PE-3, PE-6, PE-20</t>
  </si>
  <si>
    <t xml:space="preserve"> AC-2, AU-12, AU-13, CA-7, CM-10, CM-11</t>
  </si>
  <si>
    <t xml:space="preserve"> SI-3, SI-8</t>
  </si>
  <si>
    <t xml:space="preserve"> SC-18, SI-4, SC-44</t>
  </si>
  <si>
    <t xml:space="preserve"> CA-7, PS-7, SA-4, SA-9, SI-4</t>
  </si>
  <si>
    <t xml:space="preserve"> AU-12, CA-7, CM-3, CM-8, PE-3, PE-6, PE-20, SI-4</t>
  </si>
  <si>
    <t xml:space="preserve"> RA-5</t>
  </si>
  <si>
    <t xml:space="preserve"> CA-2, CA-7, PM-14</t>
  </si>
  <si>
    <t xml:space="preserve"> AC-25, CA-2, CA-7, SA-18, SI-4, PM-14</t>
  </si>
  <si>
    <t xml:space="preserve"> CA-2, CA-7, PE-3, SI-3, SI-4, PM-14</t>
  </si>
  <si>
    <t xml:space="preserve"> AU-6, CA-2, CA-7,  RA-5, SI-4</t>
  </si>
  <si>
    <t>, CA-2, CA-7, PL-2, RA-5, SI-4, PM-14</t>
  </si>
  <si>
    <t xml:space="preserve"> CP-2, CP-10, IR-4, IR-8 </t>
  </si>
  <si>
    <t xml:space="preserve"> CP-2, CP-3, IR-3, IR-8</t>
  </si>
  <si>
    <t xml:space="preserve"> AU-6, IR-6, IR-8</t>
  </si>
  <si>
    <t xml:space="preserve"> CA-2, CA-7, CP-2, IR-4, IR-8, PE-6, RA-5, SI-4 </t>
  </si>
  <si>
    <t xml:space="preserve"> CP-2, IR-4, IR-8</t>
  </si>
  <si>
    <t xml:space="preserve"> SI-5, PM-15</t>
  </si>
  <si>
    <t xml:space="preserve"> AU-6, CA-7, IR-4, IR-5, PE-6, SI-4 </t>
  </si>
  <si>
    <t xml:space="preserve"> CP-2, IR-4</t>
  </si>
  <si>
    <t xml:space="preserve"> AU-7, IR-4</t>
  </si>
  <si>
    <t xml:space="preserve"> CP-2, IR-4, IR-5, IR-8</t>
  </si>
  <si>
    <t xml:space="preserve"> IR-4</t>
  </si>
  <si>
    <t xml:space="preserve"> CA-7, RA-3, RA-5</t>
  </si>
  <si>
    <t xml:space="preserve"> CP-10, IR-4, IR-8</t>
  </si>
  <si>
    <t xml:space="preserve"> CP-2, IR-4 </t>
  </si>
  <si>
    <t>Ref: HITRUST</t>
  </si>
  <si>
    <t>A.8.1.1, A.8.1.2</t>
  </si>
  <si>
    <t>A.13.2.1</t>
  </si>
  <si>
    <t>A.11.2.6</t>
  </si>
  <si>
    <t>A.8.2.1</t>
  </si>
  <si>
    <t>A.6.1.1</t>
  </si>
  <si>
    <t>A.15.1.3, A.15.2.1, A.15.2.2</t>
  </si>
  <si>
    <t>A.11.2.2, A.11.2.3, A.12.1.3</t>
  </si>
  <si>
    <t>A.11.1.4, A.17.1.1, A.17.1.2, A.17.2.1</t>
  </si>
  <si>
    <t>A.5.1.1</t>
  </si>
  <si>
    <t>A.6.1.1, A.7.2.1</t>
  </si>
  <si>
    <t>A.18.1</t>
  </si>
  <si>
    <t>A.12.6.1, A.18.2.3</t>
  </si>
  <si>
    <t>A.6.1.4</t>
  </si>
  <si>
    <t>A.12.6.1</t>
  </si>
  <si>
    <t>A.9.2.1, A.9.2.2, A.9.2.4, A.9.3.1, A.9.4.2, A.9.4.3</t>
  </si>
  <si>
    <t>A.11.1.1, A.11.1.2, A.11.1.4, A.11.1.6, A.11.2.3</t>
  </si>
  <si>
    <t>A.6.2.2, A.13.1.1, A.13.2.1</t>
  </si>
  <si>
    <t>A.6.1.2, A.9.1.2, A.9.2.3, A.9.4.1, A.9.4.4</t>
  </si>
  <si>
    <t>A.13.1.1, A.13.1.3, A.13.2.1</t>
  </si>
  <si>
    <t>A.7.2.2</t>
  </si>
  <si>
    <t>A.6.1.1, A.7.2.2</t>
  </si>
  <si>
    <t>A.6.1.1, A.7.2.2,</t>
  </si>
  <si>
    <t>A.8.2.3</t>
  </si>
  <si>
    <t>A.8.2.3, A.13.1.1, A.13.2.1, A.13.2.3, A.14.1.2, A.14.1.3</t>
  </si>
  <si>
    <t>A.8.2.3, A.8.3.1, A.8.3.2, A.8.3.3, A.11.2.7</t>
  </si>
  <si>
    <t>A.12.3.1</t>
  </si>
  <si>
    <t>A.6.1.2, A.7.1.1, A.7.1.2, A.7.3.1, A.8.2.2, A.8.2.3, A.9.1.1, A.9.1.2, A.9.2.3, A.9.4.1, A.9.4.4, A.9.4.5, A.13.1.3, A.13.2.1, A.13.2.3, A.13.2.4, A.14.1.2, A.14.1.3</t>
  </si>
  <si>
    <t>A.12.2.1, A.12.5.1, A.14.1.2, A.14.1.3</t>
  </si>
  <si>
    <t>A.12.1.4</t>
  </si>
  <si>
    <t>A.12.1.2, A.12.5.1, A.12.6.2, A.14.2.2, A.14.2.3, A.14.2.4</t>
  </si>
  <si>
    <t>A.6.1.5, A.14.1.1, A.14.2.1, A.14.2.5</t>
  </si>
  <si>
    <t>A.12.3.1, A.17.1.2A.17.1.3, A.18.1.3</t>
  </si>
  <si>
    <t>A.11.1.4, A.11.2.1, A.11.2.2, A.11.2.3</t>
  </si>
  <si>
    <t>A.8.2.3, A.8.3.1, A.8.3.2, A.11.2.7</t>
  </si>
  <si>
    <t>A.16.1.6</t>
  </si>
  <si>
    <t>A.16.1.1, A.17.1.1, A.17.1.2</t>
  </si>
  <si>
    <t>A.17.1.3</t>
  </si>
  <si>
    <t>A.7.1.1, A.7.3.1, A.8.1.4</t>
  </si>
  <si>
    <t>A.12.6.1, A.18.2.2</t>
  </si>
  <si>
    <t>A.11.1.2, A.11.2.4, A.11.2.5</t>
  </si>
  <si>
    <t>A.11.2.4, A.15.1.1, A.15.2.1</t>
  </si>
  <si>
    <t>A.12.4.1, A.12.4.2, A.12.4.3, A.12.4.4, A.12.7.1</t>
  </si>
  <si>
    <t>A.8.2.2, A.8.2.3, A.8.3.1, A.8.3.3, A.11.2.9</t>
  </si>
  <si>
    <t>A.9.1.2</t>
  </si>
  <si>
    <t>A.13.1.1, A.13.2.1</t>
  </si>
  <si>
    <t>A.16.1.1, A.16.1.4</t>
  </si>
  <si>
    <t>A.12.4.1</t>
  </si>
  <si>
    <t>A.12.2.1</t>
  </si>
  <si>
    <t>A.12.5.1</t>
  </si>
  <si>
    <t>A.14.2.7, A.15.2.1</t>
  </si>
  <si>
    <t>A.18.1.4</t>
  </si>
  <si>
    <t>A.14.2.8</t>
  </si>
  <si>
    <t>A.16.1.2</t>
  </si>
  <si>
    <t>A.16.1.5</t>
  </si>
  <si>
    <t>A.6.1.1, A.16.1.1</t>
  </si>
  <si>
    <t>A.6.1.3, A.16.1.2</t>
  </si>
  <si>
    <t>A.12.4.1, A.12.4.3, A.16.1.5</t>
  </si>
  <si>
    <t>A.16.1.7</t>
  </si>
  <si>
    <t>A.16.1.4</t>
  </si>
  <si>
    <t>A.12.2.1, A.16.1.5</t>
  </si>
  <si>
    <t>BAI09.01, BAI09.02</t>
  </si>
  <si>
    <t>BAI09.01, BAI09.02, BAI09.05</t>
  </si>
  <si>
    <t>DSS05.02</t>
  </si>
  <si>
    <t>APO02.02</t>
  </si>
  <si>
    <t>APO03.03, APO03.04, BAI09.02</t>
  </si>
  <si>
    <t>APO01.02, DSS06.03</t>
  </si>
  <si>
    <t>APO08.04, APO08.05, APO10.03, APO10.04, APO10.05</t>
  </si>
  <si>
    <t>APO02.06, APO03.01</t>
  </si>
  <si>
    <t>APO02.01, APO02.06, APO03.01</t>
  </si>
  <si>
    <t>DSS04.02</t>
  </si>
  <si>
    <t>APO01.03, EDM01.01, EDM01.02</t>
  </si>
  <si>
    <t>APO13.12</t>
  </si>
  <si>
    <t>MEA03.01, MEA03.04</t>
  </si>
  <si>
    <t>APO12.01, APO12.02, APO12.03, APO12.04</t>
  </si>
  <si>
    <t>APO12.02</t>
  </si>
  <si>
    <t>APO12.05, APO13.02</t>
  </si>
  <si>
    <t>APO12.04, APO12.05, APO13.02, BAI02.03, BAI04.02</t>
  </si>
  <si>
    <t>APO12.06</t>
  </si>
  <si>
    <t>DSS05.04, DSS06.03</t>
  </si>
  <si>
    <t>DSS01.04, DSS05.05</t>
  </si>
  <si>
    <t>APO13.01, DSS01.04, DSS05.03</t>
  </si>
  <si>
    <t>APO07.03, BAI05.07</t>
  </si>
  <si>
    <t>APO07.02, DSS06.03</t>
  </si>
  <si>
    <t>APO07.03, APO10.04, APO10.05</t>
  </si>
  <si>
    <t>APO07.03</t>
  </si>
  <si>
    <t>APO01.06, BAI02.01, BAI06.01, DSS06.06</t>
  </si>
  <si>
    <t>APO01.06, DSS06.06</t>
  </si>
  <si>
    <t>BAI09.03</t>
  </si>
  <si>
    <t>APO13.01</t>
  </si>
  <si>
    <t>APO01.06</t>
  </si>
  <si>
    <t>BAI07.04</t>
  </si>
  <si>
    <t>BAI10.01, BAI10.02, BAI10.03, BAI10.05</t>
  </si>
  <si>
    <t>BAI06.01, BAI01.06</t>
  </si>
  <si>
    <t>APO11.06, DSS04.05</t>
  </si>
  <si>
    <t>DSS04.03</t>
  </si>
  <si>
    <t>APO07.01, APO07.02, APO07.03, APO07.04, APO07.05</t>
  </si>
  <si>
    <t>DSS05.04</t>
  </si>
  <si>
    <t>APO11.04</t>
  </si>
  <si>
    <t>DSS05.02, APO13.01</t>
  </si>
  <si>
    <t>DSS03.01</t>
  </si>
  <si>
    <t>DSS05.07</t>
  </si>
  <si>
    <t>DSS05.01</t>
  </si>
  <si>
    <t>APO07.06</t>
  </si>
  <si>
    <t>BAI03.10</t>
  </si>
  <si>
    <t>APO13.02</t>
  </si>
  <si>
    <t>BAI01.10</t>
  </si>
  <si>
    <t>DSS02.07</t>
  </si>
  <si>
    <t>BAI01.13</t>
  </si>
  <si>
    <t>DSS02.05, DSS03.04</t>
  </si>
  <si>
    <t>BAI05.07</t>
  </si>
  <si>
    <t>BAI07.08</t>
  </si>
  <si>
    <t>EDM03.02</t>
  </si>
  <si>
    <t>MEA03.02</t>
  </si>
  <si>
    <t>45 C.F.R. §§
164.308(a)(1)(ii)(A), 164.310(a)(2)(ii),
164.310(d)</t>
  </si>
  <si>
    <t>45 C.F.R. §§
164.308(a)(1)(ii)(A), 164.308(a)(7)(ii)(E )</t>
  </si>
  <si>
    <t>Ref:
CIS</t>
  </si>
  <si>
    <t>Ref:
ISO</t>
  </si>
  <si>
    <t>Ref:
HIPAA</t>
  </si>
  <si>
    <t>Ref:
COBIT 5</t>
  </si>
  <si>
    <t>45 C.F.R. §§
164.308(a)(1)(ii)(A), 164.308(a)(3)(ii)(A),
164.308(a)(8), 164.310(d)</t>
  </si>
  <si>
    <t xml:space="preserve"> 45 C.F.R. §§ 164.308(a)(4)(ii)(A), 164.308(b), 164.314(a)(1), 164.314(a)(2)(i)(B), 164.314(a)(2)(ii), 164.316(b)(2)</t>
  </si>
  <si>
    <t>45 C.F.R. § 164.308(a)(7)(ii)(E )</t>
  </si>
  <si>
    <t>45 C.F.R. §§ 164.308(a)(2), 164.308(a)(3), 164.308(a)(4), 164.308(b)(1), 164.314</t>
  </si>
  <si>
    <t>45 C.F.R. §§ 164.308(a)(1)(ii)(A), 164.308(a)(4)(ii), 164.308(a)(7)(ii)(C), 164.308(a)(7)(ii)(E), 164.308(a)(8), 164.310(a)(2)(i), 164.314, 164.316</t>
  </si>
  <si>
    <t>Organization Charts, Network Diagrams, Data Flor Charts</t>
  </si>
  <si>
    <t>Risk Informed (Thought about it)</t>
  </si>
  <si>
    <t>Repeatable (Considered and Codified)</t>
  </si>
  <si>
    <t>The CLIENT does understand its HIPAA regulatory obligations and have made significant progress in recent months to enhance its understanding and compliance. However, significant obligations are note met or managed at this time.</t>
  </si>
  <si>
    <t>The CLIENT does not have any formalized plan or process for risk management. It is ad-hoc and reactive in nature.</t>
  </si>
  <si>
    <t>Vulnerabilities related to Microsoft OS are identified and addressed via ManageEngine. No vulnerability scanning, reporting, or documentation is present.</t>
  </si>
  <si>
    <t>Threat intelligence is received by the CLIENT's IT partner and via a CIO peer group. There is not an intentional or sustained effort to receive alerts via supply chain or authorities.</t>
  </si>
  <si>
    <t>Risk assessments have been limited in scope and performed irregularly. There is a lack of documented follow-through of any risks identified outside IT operational tickets.</t>
  </si>
  <si>
    <t>Risks assessments have been limited in scope and performed irregularly. There is not a risk management process to assess these risks for likelihood/impact.</t>
  </si>
  <si>
    <t>Risks assessments have been limited in scope and performed irregularly. There is no intentional risk management facility to assess risk.</t>
  </si>
  <si>
    <t>There is not documentation regarding risk management.</t>
  </si>
  <si>
    <t>There is no risk management process defined.</t>
  </si>
  <si>
    <t>There is no risk tolerance determined or expressed in policy or via informal understanding.</t>
  </si>
  <si>
    <t xml:space="preserve">Processes are informal at best. There is evidence that Implementation Team does consider risk of major vendors during acquisition process. </t>
  </si>
  <si>
    <t>There is no sustained or document SCRM process, either in implementation or ongoing review.</t>
  </si>
  <si>
    <t>The CLIENT does use BAAs as part of vendor contracts. These BAAs do reference HIPAA security expectations. There is little evidence of contractual review as it relates to the CLIENTS cybersecurity program or controls.</t>
  </si>
  <si>
    <t>No ongoing vendor review process is in place.</t>
  </si>
  <si>
    <t>Response/Recovery Planning is part of the expectations with the CLIENT'S IT provider. However, a test has not been performed and expecations are not formalized via contracts.</t>
  </si>
  <si>
    <t>Strong implementation of unique users in both AD and EHR. Role based permissions are established based on Job Role. User Reviews are not defined or performed.</t>
  </si>
  <si>
    <t>Sensitive equipment is physically secured behind locked doors and enclosures. There is not an audit process to ensure access controls are maintained.</t>
  </si>
  <si>
    <t>RBAC is implemented via AD. Users do not have local administrator permissions.</t>
  </si>
  <si>
    <t>Network is segmented via Firewalls, VLANs, and L3 ACLs. The Data VLAN is not segmented by Servers, Telemetry, Facility. There is not policy or procedure to set expectations.</t>
  </si>
  <si>
    <t>MFA is implemented in cloud, mail, vpn. Built in domain admin is disabled. Service accounts are not appropriately labeled / secured.</t>
  </si>
  <si>
    <t>There is a brief security training as part of onboarding and informal topics are covered in meetings on an ad-hoc basis. There is no formal security training on an ongoing basis. Including education regarding IS policy.</t>
  </si>
  <si>
    <t xml:space="preserve">BAAs outline third-party responsibilities. </t>
  </si>
  <si>
    <t>Senior executives do understand their roles and there is increasing knowledge of their responsibilities. Roles are not documented in IS policy.</t>
  </si>
  <si>
    <t>Physical security responsibilities are not well understood. IT personnel understand the escalation of potential security events to management. No roles and responsibilities are defined within policy.</t>
  </si>
  <si>
    <t>Laptops are encrypted via Bitlocker. 365 enforces encryption for mailbox access. Desktops are note encrypted. No policy or audit protocol is present.</t>
  </si>
  <si>
    <t>Admin accounts are not used for daily tasks. Good understanding of the appropriate usage of user accounts.No policy or audit protocol is present.</t>
  </si>
  <si>
    <t>Unique user accounts are created in AD and EHR. No policy or audit protocol is present.</t>
  </si>
  <si>
    <t>Remote Access is managed via Group Membership and requires documented approval (ticket). No policy or audit protocol is present.</t>
  </si>
  <si>
    <t>Encrytion is configured for data-in-transit, especially via public networks. Certificates for VPN (Checkpoint), 365 TLS and encrypted email. Telnet is used internally. No policy or audit protocol is present.</t>
  </si>
  <si>
    <t>Assets are physically secured and disposition is performed by certified vendor. Certificates of "Recycling" are received and saved via email. No policy or audit protocol is present.</t>
  </si>
  <si>
    <t>Capacity reporting is performed via ManageEngine and NAS automated reports. No policy or audit protocol is present.</t>
  </si>
  <si>
    <t xml:space="preserve">365 DLP solution is in place to scan emails for PHI content. If found the user and IT are notified. </t>
  </si>
  <si>
    <t>Windows Defender is the primary software verification software. It is not monitored, and No policy or audit protocol is present.</t>
  </si>
  <si>
    <t>The environments are not seperated but testing is performed on low-priority virtual servers to ensure compatability.</t>
  </si>
  <si>
    <t>No monitoring is currently established to look for "case open" or unrecognized USBs.</t>
  </si>
  <si>
    <t>A configuration checklistis used to deploy computers that includes security hardening items. No policy or audit protocol is present.</t>
  </si>
  <si>
    <t>A preference and static budget item is present to handle system replacement. No formal life-cycle plan is established.</t>
  </si>
  <si>
    <t>Change control processes are in place and documented via ticket. Approvals are done informally. No policy or audit protocol is present.</t>
  </si>
  <si>
    <t>Backups are routinely performed, with some critical servers replicated offsite. Failure and Success Notifications are sent via email. No testing, policy, or audit protocol is present.</t>
  </si>
  <si>
    <t>Physical security/compliance is performed but there is No policy or audit protocol is present.</t>
  </si>
  <si>
    <t>Disposition practice with vendor seems appropriate. Retention processes are informed by regulations. No policy or audit protocol is present. No structured purge process.</t>
  </si>
  <si>
    <t>Client is migrating to new EPP solution (Checkpoint). Changes to protection based on detections and best practices are expected by the CLIENT'S IT provider. No audit protocol is in place.</t>
  </si>
  <si>
    <t>Client is migrating to new EPP solution (Checkpoint). No reporting or audit protocol is in place.</t>
  </si>
  <si>
    <t>No plans are in place or managed.</t>
  </si>
  <si>
    <t>Partial data restore tests are performed on an ad-hoc basis. No formal testing routine is defined or executed.</t>
  </si>
  <si>
    <t xml:space="preserve">Employee background checks are conducted. Strong collabration between IT and HR on provisioning, voluntary termination, and involuntary termination. No policy or audit protocol is present. </t>
  </si>
  <si>
    <t>Microsoft patch management is routinely executed. Reporting is available via ManageEngine and is reviewed on an ad-hoc basis. A comprehensive vulnerability management program is not in place. No policy or audit protocol is present.</t>
  </si>
  <si>
    <t>Maintenance visits may be tracked via ticket or sign-in sheet but there is low confidence in its consistent execution. No policy or audit protocol is present.</t>
  </si>
  <si>
    <t>Remote Maintenance is performed via VPN/ScreenConnect. Activity is logged but retention is not known. No policy or audit protocol is present.</t>
  </si>
  <si>
    <t>Audit logs are largely left to default settings. PRTG does log syslog and retain for 30. No policy, determination process, or audit protocol is present.</t>
  </si>
  <si>
    <t>Removable Media controls/standards have not been considered or implemented. No policy or audit protocol is present.</t>
  </si>
  <si>
    <t>Most users do not have local admin permissions. Exceptions were noted but not documented. System hardening would be done via config checklist. No policy or audit protocol is present.</t>
  </si>
  <si>
    <t xml:space="preserve">NextGen FW, VPN concentrators, VPN tunnels, and Gateway AV/IDS are implemented. </t>
  </si>
  <si>
    <t xml:space="preserve">The virtual infrastructure does have failover capacity available. Resilence requirements are not defined. </t>
  </si>
  <si>
    <t xml:space="preserve">PRTG does show reporting on traffic/utilization, however alerting is limited to up/down. 365 does alert on unusual file deletion. </t>
  </si>
  <si>
    <t>Alerting is limited to Account Lockouts and 365 alerts. Alerts are sent primarily via email. IT staff routinely investigates. Key alerts are absent, documentation is inconsistent, no policy or audit protocol is present.</t>
  </si>
  <si>
    <t>Manual correlation may occur but it is not systematically collected and correlated.</t>
  </si>
  <si>
    <t>The impact of an event would be part of the IT investigation or escalated to their IT/Security vendor for further investigation.</t>
  </si>
  <si>
    <t>Alert thresholds are established but very limited (Account Lockouts).</t>
  </si>
  <si>
    <t>Monitoring is very limited. Account lockouts and UPS login alerts were identified.</t>
  </si>
  <si>
    <t>Surveillance
Alarm Systems</t>
  </si>
  <si>
    <t>Surveillance and alarm systems are in place.</t>
  </si>
  <si>
    <t>Some alerting is enabled via 365. No broader risk informed plan for alerting is present.</t>
  </si>
  <si>
    <t>Malicious code is checked at NGFW and EPP. However, alerting and detection is not being used.</t>
  </si>
  <si>
    <t xml:space="preserve">EPP (Defender) does scan for malicious code on USB devices. </t>
  </si>
  <si>
    <t>External provider activity is not monitored or reviewed.</t>
  </si>
  <si>
    <t>Unused ports are disabled. No alerts for unknown devices or software is in place.</t>
  </si>
  <si>
    <t>No.</t>
  </si>
  <si>
    <t>Understood as part of typical IT investigation processes but not defined. Lack of documentation would make review and accountability challenging. No policy or audit protocol is present.</t>
  </si>
  <si>
    <t>low</t>
  </si>
  <si>
    <t>No. There are specific regulatory requirements that are not met as part of detection activities.</t>
  </si>
  <si>
    <t>No detection processes are tested beyond the intial configuraiton of alerting.</t>
  </si>
  <si>
    <t>If an event is detected and reported it is communicated. No policy or audit protocol is present.</t>
  </si>
  <si>
    <t>As of the time of assessment detection processes are not routinely improved. However, the client's pending migraiton to a new EPP is evidence of increasing detection.</t>
  </si>
  <si>
    <t>There is not IR plan. An informal process that involves, and relies heavily upon the CLIENT's IT vendor is in place.</t>
  </si>
  <si>
    <t>There is informal understanding of involving the CLIENT's IT/Security partner. There is no IR plan, playbook, or thresholds.</t>
  </si>
  <si>
    <t>Incidents are reported to authorities based upon criteria. Incident reporting internally is informal.</t>
  </si>
  <si>
    <t>Information is shared with CLIENT't IT/SECURITY vendor, legal counsel, and insurance companies. This is not defined by an IR plan.</t>
  </si>
  <si>
    <t>Coordination with third-parties is done but it is informal. No IR plan exists.</t>
  </si>
  <si>
    <t>Information sharing does take place with a small peer group. Reporting to authorities or industry groups has not been considered.</t>
  </si>
  <si>
    <t>Notifications are delivered via email to the team and seen via ad-hoc review by one IT person. Investigation takes place according to standard IT processes. Documentation is inconsistent. No policy or audit protocol is present.</t>
  </si>
  <si>
    <t>The CLIENT collaborates with outside vendors and legal counsels to understand the impact of an event. No IR policy, plan, or thresholds are defined.</t>
  </si>
  <si>
    <t>The CLIENT engages outside parties to perform forensic analysis.</t>
  </si>
  <si>
    <t>Incident categorization is not established or used.</t>
  </si>
  <si>
    <t>Informal, ad-hoc, processes for information recipt are in place. Analyzing and responsding are part of normal IT processes. No policy, documentation, or audit protocol is present.</t>
  </si>
  <si>
    <t>Incidents are contained by IT staff or with the assisstance of outside parties. Containment priorities are not documented via policy or process. No policy or audit protocol is present.</t>
  </si>
  <si>
    <t>Incidents are mitigated by IT staff or with the assistance of outside parties. Mitigation standards are not documented via policy or process. No policy or audit protocol is present.</t>
  </si>
  <si>
    <t>Identified vulnerabilities would be reviewed by IT staff and acted upon. However, this is done on an ad-hoc basis with little documentation, except for operational tickets.</t>
  </si>
  <si>
    <t>No IR plan is present. There is evidence based on past incidents of improvements that can be made to organization security. However, this does not seem to include improving response procedures/plans.</t>
  </si>
  <si>
    <t>Response strategies do evolve based on experience.</t>
  </si>
  <si>
    <t>No IR/BCDR plan exists. Recovery processes to restore data are in place.</t>
  </si>
  <si>
    <t>Recovery activities are reported verbally to internal stakeholders. It is not formally defined or expected.</t>
  </si>
  <si>
    <t>Reputation restoration/communications are considered.</t>
  </si>
  <si>
    <t>Public relations are considered.</t>
  </si>
  <si>
    <t xml:space="preserve">Recovery strategy is not formalized or documented. </t>
  </si>
  <si>
    <t>Informally.</t>
  </si>
  <si>
    <t>45 C.F.R. §§ 164.308(a)(7)(ii)(B), 164.308(a)(7)(ii)(C), 164.308(a)(7)(ii)(D),164.308(a)(7)(ii)(E), 164.310(a)(2)(i), 164.316</t>
  </si>
  <si>
    <t>45 C.F.R. §§ 164.308(a)(7)(i), 164.308.(a)(7)(ii)(E), 164.310(a)(2)(i), 164.312(a)(2)(ii), 164.314(a)(1), 164.314(b)(2)(i)</t>
  </si>
  <si>
    <t>45 C.F.R. §§ 164.308(a)(1)(ii)(B), 164.308(a)(6)(ii), 164.308(a)(7), 164.308(a)(8), 164.310(a)(2)(i), 164.312(a)(2)(ii), 164.314(b)(2)(i)</t>
  </si>
  <si>
    <t>45 C.F.R. §§ 164.308(a)(1)(i), 164.316</t>
  </si>
  <si>
    <t>45 C.F.R. §§ 164.308(a)(1)(i), 164.308(a)(2), 164.308(a)(3), 164.308(a)(4), 164.308(b), 164.314</t>
  </si>
  <si>
    <t>45 C.F.R. §§ 164.306, 164.308, 164.310, 164.312, 164.314, 164.316</t>
  </si>
  <si>
    <t>45 C.F.R. §§ 164.308(a)(1), 164.308(b)</t>
  </si>
  <si>
    <t>45 C.F.R. §§ 164.308(a)(1)(ii)(A), 164.308(a)(7)(ii)(E), 164.308(a)(8), 164.310(a)(1), 164.312(a)(1), 164.316(b)(2)(iii)</t>
  </si>
  <si>
    <t>45 C.F.R. §§ 164.308(a)(1)(ii)(A),164.308(a)(1)(ii)(D), 164.308(a)(3), 164.308(a)(4), 164.308(a)(5)(ii)(A),164.310(a)(1), 164.310(a)(2)(iii), 164.312(a)(1), 164.312(c), 164.312(e), 164.314, 164.316</t>
  </si>
  <si>
    <t>45 C.F.R. §§ 164.308(a)(1)(i), 164.308(a)(1)(ii)(A), 164.308(a)(1)(ii)(B), 164.308(a)(6), 164.308(a)(7)(ii)(E), 164.308(a)(8), 164.316(a)</t>
  </si>
  <si>
    <t>45 C.F.R. §§ 164.308(a)(1)(ii)(A), 164.308(a)(1)(ii)(B), 164.308(a)(1)(ii)(D), 164.308(a)(7)(ii)(D), 164.308(a)(7)(ii)(E), 164.316(a)</t>
  </si>
  <si>
    <t>45 C.F.R. §§ 164.308(a)(1)(ii)(B), 164.314(a)(2)(i)(C), 164.314(b)(2)(iv)</t>
  </si>
  <si>
    <t>45 C.F.R. § 164.308(a)(1)(ii)(B)</t>
  </si>
  <si>
    <t>45 C.F.R. §§ 164.308(a)(1)(ii)(B), 164.308(a)(6)(ii), 164.308(a)(7)(i), 164.308(a)(7)(ii)(C),164.308(a)(7)(ii)(E), 164.310(a)(2)(i)</t>
  </si>
  <si>
    <t>45 C.F.R. §§ 164.308(a)(3)(ii)(B), 164.308(a)(3)(ii)(C), 164.308(a)(4)(i), 164.308(a)(4)(ii)(B), 164.308(a)(4)(ii)(C ), 164.312(a)(2)(i), 164.312(a)(2)(ii),164.312(a)(2)(iii), 164.312(d)</t>
  </si>
  <si>
    <t>45 C.F.R. §§ 164.308(a)(1)(ii)(B), 164.308(a)(7)(i), 164.308(a)(7)(ii)(A), 164.310(a)(1), 164.310(a)(2)(i), 164.310(a)(2)(ii), 164.310(a)(2)(iii), 164.310(b), 164.310(c), 164.310(d)(1), 164.310(d)(2)(iii)</t>
  </si>
  <si>
    <t>45 C.F.R. §§ 164.308(a)(4)(i), 164.308(b)(1), 164.308(b)(3), 164.310(b), 164.312(e)(1), 164.312(e)(2)(ii)</t>
  </si>
  <si>
    <t>45 C.F.R. §§ 164.308(a)(3), 164.308(a)(4), 164.310(a)(2)(iii), 164.310(b), 164.312(a)(1), 164.312(a)(2)(i), 164.312(a)(2)(ii)</t>
  </si>
  <si>
    <t>45 C.F.R. §§ 164.308(a)(4)(ii)(B), 164.310(a)(1), 164.310(b), 164.312(a)(1), 164.312(b), 164.312(c), 164.312(e)</t>
  </si>
  <si>
    <t>45 C.F.R. § 164.308(a)(5)</t>
  </si>
  <si>
    <t>5 C.F.R. §§ 164.308(a)(2), 164.308(a)(3)(i), 164.308(a)(5)(i), 164.308(a)(5)(ii)(A), 164.308(a)(5)(ii)(B), 164.308(a)(5)(ii)(C), 164.308(a)(5)(ii)(D)</t>
  </si>
  <si>
    <t>45 C.F.R. §§ 164.308(b), 164.314(a)(1), 164.314(a)(2)(i), 164.314(a)(2)(ii)</t>
  </si>
  <si>
    <t>45 C.F.R. §§ 164.308(a)(2), 164.308(a)(3)(i), 164.308(a)(5)(i), 164.308(a)(5)(ii)(A),164.308(a)(5)(ii)(B), 164.308(a)(5)(ii)(C), 164.308(a)(5)(ii)(D)</t>
  </si>
  <si>
    <t>45 C.F.R. §§ 164.308(a)(2), 164.308(a)(3)(i), 164.308(a)(5)(i), 164.308(a)(5)(ii)(A), 164.308(a)(5)(ii)(B), 164.308(a)(5)(ii)(C), 164.308(a)(5)(ii)(D), 164.530(b)(1)</t>
  </si>
  <si>
    <t>45 C.F.R. §§ 164.308(a)(1)(ii)(D), 164.308(b)(1), 164.310(d), 164.312(a)(1), 164.312(a)(2)(iii), 164.312(a)(2)(iv), 164.312(b), 164.312(c), 164.314(b)(2)(i), 164.312(d)</t>
  </si>
  <si>
    <t>45 C.F.R. §§ 164.308(a)(1)(ii)(A), 164.310(a)(2)(ii), 164.310(a)(2)(iii), 164.310(a)(2)(iv), 164.310(d)(1), 164.310(d)(2)</t>
  </si>
  <si>
    <t>45 C.F.R. §§ 164.308(b)(1), 164.308(b)(2), 164.312(e)(1), 164.312(e)(2)(i), 164.312(e)(2)(ii), 164.314(b)(2)(i)</t>
  </si>
  <si>
    <t>45 C.F.R. §§ 164.308(a)(1)(ii)(A), 164.308(a)(1)(ii)(B), 164.308(a)(7), 164.310(a)(2)(i), 164.310(d)(2)(iv), 164.312(a)(2)(ii)</t>
  </si>
  <si>
    <t>45 C.F.R. §§ 164.308(a)(1)(ii)(D), 164.308(a)(3), 164.308(a)(4), 164.310(b), 164.310(c), 164.312(a), 164.312(e)</t>
  </si>
  <si>
    <t>45 C.F.R. §§ 164.308(a)(1)(ii)(D), 164.312(b), 164.312(c)(1), 164.312(c)(2), 164.312(e)(2)(i)</t>
  </si>
  <si>
    <t>45 C.F.R. § 164.308(a)(4)4</t>
  </si>
  <si>
    <t>45 C.F.R. §§ 164.308(a)(8), 164.308(a)(7)(i), 164.308(a)(7)(ii)</t>
  </si>
  <si>
    <t>45 C.F.R. § 164.308(a)(1)(i)</t>
  </si>
  <si>
    <t>45 C.F.R. § 164.308(a)(8)</t>
  </si>
  <si>
    <t>45 C.F.R. §§ 164.308(a)(7)(ii)(A), 164.308(a)(7)(ii)(B), 164.308(a)(7)(ii)(D), 164.310(a)(2)(i), 164.310(d)(2)(iv)</t>
  </si>
  <si>
    <t>45 C.F.R. §§ 164.308(a)(7)(i), 164.308(a)(7)(ii)(C), 164.310, 164.316(b)(2)(iii)</t>
  </si>
  <si>
    <t>45 C.F.R. §§ 164.310(d)(2)(i), 164.310(d)(2)(ii)</t>
  </si>
  <si>
    <t>45 C.F.R. §§ 164.306(e), 164.308(a)(7)(ii)(D), 164.308(a)(8), 164.316(b)(2)(iii)</t>
  </si>
  <si>
    <t>45 C.F.R. § 164.308(a)(6)(ii)</t>
  </si>
  <si>
    <t>45 C.F.R. §§ 164.308(a)(6), 164.308(a)(7), 164.310(a)(2)(i), 164.312(a)(2)(ii)</t>
  </si>
  <si>
    <t>45 C.F.R. § 164.308(a)(7)(ii)(D)</t>
  </si>
  <si>
    <t xml:space="preserve">45 C.F.R. §§ 164.308(a)(1)(ii)(C), 164.308(a)(3) </t>
  </si>
  <si>
    <t>45 C.F.R. §§ 164.308(a)(1)(i), 164.308(a)(1)(ii)(A), 164.308(a)(1)(ii)(B)</t>
  </si>
  <si>
    <t>45 C.F.R. §§ 164.308(a)(3)(ii)(A), 164.310(a)(2)(iv)</t>
  </si>
  <si>
    <t>45 C.F.R. §§ 164.308(a)(3)(ii)(A), 164.310(d)(1),164.310(d)(2)(ii), 164.310(d)(2)(iii), 164.312(a), 164.312(a)(2)(ii), 164.312(a)(2)(iv), 164.312(b), 164.312(d), 164.312(e), 164.308(a)(1)(ii)(D)</t>
  </si>
  <si>
    <t>45 C.F.R. §§ 164.308(a)(1)(ii)(D), 164.308(a)(5)(ii)(C), 164.310(a)(2)(iv), 164.310(d)(2)(iii), 164.312(b)</t>
  </si>
  <si>
    <t>45 C.F.R. §§ 164.308(a)(3)(i), 164.308(a)(3)(ii)(A), 164.310(d)(1), 164.310(d)(2), 164.312(a)(1), 164.312(a)(2)(iv), 164.312(b)</t>
  </si>
  <si>
    <t>45 C.F.R. §§ 164.308(a)(3), 164.308(a)(4), 164.310(a)(2)(iii), 164.310(b), 164.310(c), 164.312(a)(1), 164.312(a)(2)(i), 164.312(a)(2)(ii), 164.312(a)(2)(iv)</t>
  </si>
  <si>
    <t>45 C.F.R. §§ 164.308(a)(1)(ii)(D), 164.312(a)(1), 164.312(b), 164.312(e)</t>
  </si>
  <si>
    <t>45 C.F.R. §§164.308(a)(1)(ii)(D), 164.312(b)</t>
  </si>
  <si>
    <t>45 C.F.R. §164.308(6)(i)</t>
  </si>
  <si>
    <t>45 C.F.R. §§ 164.308(a)(1)(ii)(D), 164.308(a)(5)(ii)(B), 164.308(a)(5)(ii)(C), 164.308(a)(6)(ii), 164.308(a)(8), 164.310(d)(2)(iii), 164.312(b), 164.314(a)(2)(i)(C), 164.314(a)(2)(iii)</t>
  </si>
  <si>
    <t>45 C.F.R. § 164.308(a)(6)(i)</t>
  </si>
  <si>
    <t>45 C.F.R. §§ 164.308(a)(1)(ii)(D), 164.308(a)(5)(ii)(B), 164.308(a)(5)(ii)(C), 164.308(a)(8), 164.312(b), 164.312(e)(2)(i)</t>
  </si>
  <si>
    <t>45 C.F.R. §§ 164.310(a)(2)(ii), 164.310(a)(2)(iii)</t>
  </si>
  <si>
    <t xml:space="preserve">45 C.F.R. §§ 164.308(a)(1)(ii)(D), 164.308(a)(3)(ii)(A),164.308(a)(5)(ii)(C), 164.312(a)(2)(i), 164.312(b), 164.312(d), 164.312(e) </t>
  </si>
  <si>
    <t>45 C.F.R. §§ 164.308(a)(1)(ii)(D), 164.308(a)(5)(ii)(B)</t>
  </si>
  <si>
    <t>45 C.F.R. § 164.308(a)(1)(ii)(D)</t>
  </si>
  <si>
    <t>45 C.F.R. §§ 164.308(a)(1)(ii)(D), 164.308(a)(5)(ii)(B), 164.308(a)(5)(ii)(C), 164.310(a)(1), 164.310(a)(2)(ii), 164.310(a)(2)(iii), 164.310(b), 164.310(c), 164.310(d)(1), 164.310(d)(2)(iii), 164.312(b), 164.314(b)(2)(i)</t>
  </si>
  <si>
    <t>45 C.F.R. §§164.308(a)(1)(i), 164.308(a)(8)</t>
  </si>
  <si>
    <t>45 C.F.R. §§ 164.308(a)(2), 164.308(a)(3)(ii)(A), 164.308(a)(3)(ii)(B), 164.308(a)(4), 164.310(a)(2)(iii), 164.312(a)(1), 164.312(a)(2)(ii)</t>
  </si>
  <si>
    <t>45 C.F.R. §§ 164.308(a)(1)(i), 164.308(a)(8)</t>
  </si>
  <si>
    <t>45 C.F.R. § 164.306(e)</t>
  </si>
  <si>
    <t>45 C.F.R. §§ 164.308(a)(6)(ii), 164.314(a)(2)(i)(C), 164.314(a)(2)(iii)</t>
  </si>
  <si>
    <t>45 C.F.R. §§ 164.306(e), 164.308(a)(8)</t>
  </si>
  <si>
    <t>45 C.F.R. §§ 164.308(a)(6)(ii), 164.308(a)(7)(i), 164.308(a)(7)(ii)(A), 164.308(a)(7)(ii)(B), 164.308(a)(7)(ii)(C), 164.310(a)(2)(i), 164.312(a)(2)(ii)</t>
  </si>
  <si>
    <t>45 C.F.R. §§ 164.308(a)(2), 164.308(a)(7)(ii)(A), 164.308(a)(7)(ii)(B), 164.308(a)(7)(ii)(C), 164.310(a)(2)(i), 164.308(a)(6)(i), 164.312(a)(2)(ii)</t>
  </si>
  <si>
    <t>45 C.F.R. §§ 164.308(a)(5)(ii)(B), 164.308(a)(5)(ii)(C), 164.308(a)(6)(ii), 164.314(a)(2)(i)(C), 164.314(a)(2)(iii)</t>
  </si>
  <si>
    <t>45 C.F.R. §§ 164.308(a)(5)(ii)(B), 164.308(a)(5)(ii)(C), 164.308(a)(6)(ii), 164.314(a)(2)(i)(C)</t>
  </si>
  <si>
    <t>45 C.F.R. § 164.308(a)(6)</t>
  </si>
  <si>
    <t>45 C.F.R. §§ 164.308(a)(1)(i), 164.308(a)(1)(ii)(D),164.308(a)(5)(ii)(B), 164.308(a)(5)(ii)(C), 164.308(a)(6)(ii), 164.312(b)</t>
  </si>
  <si>
    <t>45 C.F.R. §§ 164.308(a)(6)(ii), 164.308(a)(7)(ii)(B), 164.308(a)(7)(ii)(C), 164.308(a)(7)(ii)(E)</t>
  </si>
  <si>
    <t>45 C.F.R. §§ 164.308(a)(1)(ii)(A), 164.308(a)(1)(ii)(B), 164.308(a)(6)(ii)</t>
  </si>
  <si>
    <t>45 C.F.R. §§ 164.308(a)(7)(ii)(D), 164.308(a)(8), 164.316(b)(2)(iii)</t>
  </si>
  <si>
    <t>45 C.F.R. §§164.308(a)(7)(ii)(D), 164.308(a)(8)</t>
  </si>
  <si>
    <t>45 C.F.R. §§ 164.308(a)(7), 164.310(a)(2)(i)</t>
  </si>
  <si>
    <t>45 C.F.R. §§ 164.308(a)(7)(ii)(D), 164.308(a)(8)</t>
  </si>
  <si>
    <t>45 C.F.R. § 164.308(a)(6)(i)5</t>
  </si>
  <si>
    <t>45 C.F.R. §§ 164.308(a)(6)(ii), 164.308(a)(7)(ii)(B), 164.308(a)(7)(ii)(C), 164.310(a)(2)(i), 164.314(a)(2)(i)(C)</t>
  </si>
  <si>
    <t>Ref: 
800-53 R4</t>
  </si>
  <si>
    <t>AT</t>
  </si>
  <si>
    <t>DS</t>
  </si>
  <si>
    <t>IP</t>
  </si>
  <si>
    <t>MA</t>
  </si>
  <si>
    <t>PT</t>
  </si>
  <si>
    <t>Awareness and Training (PR.AT)</t>
  </si>
  <si>
    <t>Data Security (PR.DS)</t>
  </si>
  <si>
    <t>Information Protection (PR.IP)</t>
  </si>
  <si>
    <t>Maintenance (PR.MA)</t>
  </si>
  <si>
    <t>Protective Technology (PR.PT)</t>
  </si>
  <si>
    <t>Anomalies and Events (DE.AE)</t>
  </si>
  <si>
    <t>Security Continuous Monitoring (DE.CM)</t>
  </si>
  <si>
    <t>Detection Processes (DE.DP)</t>
  </si>
  <si>
    <t>Response Planning (RS.RP)</t>
  </si>
  <si>
    <t>Communications (RS.CO)</t>
  </si>
  <si>
    <t>Analysis (RS.AN)</t>
  </si>
  <si>
    <t>Mitigation (RS.MI)</t>
  </si>
  <si>
    <t>Improvements (RS.IM)</t>
  </si>
  <si>
    <t>Recovery Planning (RC.RP)</t>
  </si>
  <si>
    <t>Improvements (RC.IM)</t>
  </si>
  <si>
    <t>Communications (RC.CO)</t>
  </si>
  <si>
    <t>Target Tier</t>
  </si>
  <si>
    <t>The organization’s personnel and partners are provided cybersecurity awareness education and are trained to perform their cybersecurity-related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</si>
  <si>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</si>
  <si>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</si>
  <si>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areperformed consistent with policies and procedures.</t>
  </si>
  <si>
    <t>Technical security solutions are managed to ensure the security and resilience of systems and assets, consistent with related policies, procedures, and agreements.</t>
  </si>
  <si>
    <t>Subcategory Tier Score</t>
  </si>
  <si>
    <t>Function Tier Score</t>
  </si>
  <si>
    <t>Category Tier Score</t>
  </si>
  <si>
    <t>Current Tier</t>
  </si>
  <si>
    <t>Summary Tables</t>
  </si>
  <si>
    <t>Asset Management (ID.AM)</t>
  </si>
  <si>
    <t>Business Environment (ID.BE)</t>
  </si>
  <si>
    <t>Governance (ID.GV)</t>
  </si>
  <si>
    <t>Risk Assessment (ID.RA)</t>
  </si>
  <si>
    <t>Risk Management Strategy (ID.RM)</t>
  </si>
  <si>
    <t>Supply Chain Risk Management (ID.SC)</t>
  </si>
  <si>
    <t xml:space="preserve">Identity Management and Access Control (PR.AC) </t>
  </si>
  <si>
    <t>https://www.nist.gov/cyberframework/framework</t>
  </si>
  <si>
    <t>Overview</t>
  </si>
  <si>
    <t>The NIST Cybersecurity Framework is voluntary guidance, based on existing standards, guidelines, and practices for organizations to better manage and reduce cybersecurity risk. In addition to helping organizations manage and reduce risks, it was designed to foster risk and cybersecurity management communications amongst both internal and external organizational stakeholders.</t>
  </si>
  <si>
    <t>The Framework Core provides a set of desired cybersecurity activities and outcomes using common language that is easy to understand.   The Core guides organizations in managing and reducing their cybersecurity risks in a way that complements an organization’s existing cybersecurity and risk management processes. </t>
  </si>
  <si>
    <t>The Framework Implementation Tiers assist organizations by providing context on how an organization views cybersecurity risk management. The Tiers guide organizations to consider the appropriate level of rigor for their cybersecurity program and are often used as a communication tool to discuss risk appetite, mission priority, and budget.</t>
  </si>
  <si>
    <t>Core</t>
  </si>
  <si>
    <t>Tiers</t>
  </si>
  <si>
    <t>The NIST CSF is available free of charge from NIST.</t>
  </si>
  <si>
    <t>Febuary 2021</t>
  </si>
  <si>
    <t>Prepared for:</t>
  </si>
  <si>
    <t>Friendship Community Care</t>
  </si>
  <si>
    <t>Prepared by:</t>
  </si>
  <si>
    <t>Edafio Cybersecurity</t>
  </si>
  <si>
    <t>Target Maturity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</si>
</sst>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4"/>
      <color theme="0"/>
      <name val="Futura Md BT"/>
      <family val="2"/>
    </font>
    <font>
      <sz val="12"/>
      <color theme="0"/>
      <name val="Futura Md BT"/>
      <family val="2"/>
    </font>
    <font>
      <sz val="18"/>
      <color theme="3"/>
      <name val="Calibri Light"/>
      <family val="2"/>
      <scheme val="major"/>
    </font>
    <font>
      <i/>
      <sz val="11"/>
      <color rgb="FF7F7F7F"/>
      <name val="Calibri"/>
      <family val="2"/>
      <scheme val="minor"/>
    </font>
    <font>
      <sz val="11"/>
      <color theme="0"/>
      <name val="Calibri"/>
      <family val="2"/>
      <scheme val="minor"/>
    </font>
    <font>
      <sz val="8"/>
      <name val="Calibri"/>
      <family val="2"/>
      <scheme val="minor"/>
    </font>
    <font>
      <sz val="12"/>
      <color theme="1"/>
      <name val="Calibri"/>
      <family val="2"/>
      <scheme val="minor"/>
    </font>
    <font>
      <b/>
      <sz val="10"/>
      <color theme="0"/>
      <name val="Century Gothic"/>
      <family val="2"/>
    </font>
    <font>
      <sz val="10"/>
      <color theme="1"/>
      <name val="Calibri"/>
      <family val="2"/>
      <scheme val="minor"/>
    </font>
    <font>
      <sz val="12"/>
      <color theme="1"/>
      <name val="Century Gothic"/>
      <family val="2"/>
    </font>
    <font>
      <sz val="10"/>
      <color theme="1" tint="0.249977111117893"/>
      <name val="Century Gothic"/>
      <family val="2"/>
    </font>
    <font>
      <sz val="10"/>
      <color theme="1" tint="0.249977111117893"/>
      <name val="Century Gothic"/>
      <family val="1"/>
    </font>
    <font>
      <b/>
      <sz val="12"/>
      <color theme="1"/>
      <name val="Calibri"/>
      <family val="2"/>
      <scheme val="minor"/>
    </font>
    <font>
      <b/>
      <sz val="12"/>
      <color theme="1"/>
      <name val="Century Gothic"/>
      <family val="2"/>
    </font>
    <font>
      <b/>
      <sz val="14"/>
      <color theme="0"/>
      <name val="Calibri"/>
      <family val="2"/>
      <scheme val="minor"/>
    </font>
    <font>
      <b/>
      <sz val="14"/>
      <color theme="1"/>
      <name val="Calibri"/>
      <family val="2"/>
      <scheme val="minor"/>
    </font>
    <font>
      <sz val="11"/>
      <color rgb="FF000000"/>
      <name val="Calibri"/>
      <family val="2"/>
      <scheme val="minor"/>
    </font>
    <font>
      <u/>
      <sz val="11"/>
      <color theme="10"/>
      <name val="Calibri"/>
      <family val="2"/>
      <scheme val="minor"/>
    </font>
    <font>
      <sz val="14"/>
      <color theme="0"/>
      <name val="Futura Md BT"/>
    </font>
    <font>
      <sz val="22"/>
      <color theme="3"/>
      <name val="Calibri Light"/>
      <family val="2"/>
      <scheme val="major"/>
    </font>
  </fonts>
  <fills count="26">
    <fill>
      <patternFill patternType="none"/>
    </fill>
    <fill>
      <patternFill patternType="gray125"/>
    </fill>
    <fill>
      <patternFill patternType="solid">
        <fgColor rgb="FF0076A8"/>
        <bgColor indexed="64"/>
      </patternFill>
    </fill>
    <fill>
      <patternFill patternType="solid">
        <fgColor rgb="FF00A9E0"/>
        <bgColor indexed="64"/>
      </patternFill>
    </fill>
    <fill>
      <patternFill patternType="solid">
        <fgColor theme="1" tint="0.34998626667073579"/>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rgb="FF7030A0"/>
        <bgColor indexed="64"/>
      </patternFill>
    </fill>
    <fill>
      <patternFill patternType="solid">
        <fgColor rgb="FFB381D9"/>
        <bgColor indexed="64"/>
      </patternFill>
    </fill>
    <fill>
      <patternFill patternType="solid">
        <fgColor rgb="FFD1B2E8"/>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6969"/>
        <bgColor indexed="64"/>
      </patternFill>
    </fill>
    <fill>
      <patternFill patternType="solid">
        <fgColor rgb="FFFFC9C9"/>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1" tint="4.9989318521683403E-2"/>
        <bgColor indexed="64"/>
      </patternFill>
    </fill>
  </fills>
  <borders count="30">
    <border>
      <left/>
      <right/>
      <top/>
      <bottom/>
      <diagonal/>
    </border>
    <border>
      <left/>
      <right/>
      <top/>
      <bottom style="double">
        <color rgb="FF75787B"/>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thick">
        <color rgb="FF0076A8"/>
      </left>
      <right/>
      <top style="thick">
        <color rgb="FF0076A8"/>
      </top>
      <bottom style="thick">
        <color rgb="FF0076A8"/>
      </bottom>
      <diagonal/>
    </border>
    <border>
      <left/>
      <right style="thick">
        <color rgb="FF0076A8"/>
      </right>
      <top style="thick">
        <color rgb="FF0076A8"/>
      </top>
      <bottom style="thick">
        <color rgb="FF0076A8"/>
      </bottom>
      <diagonal/>
    </border>
    <border>
      <left style="thick">
        <color rgb="FF0070C0"/>
      </left>
      <right/>
      <top style="thick">
        <color rgb="FF0070C0"/>
      </top>
      <bottom/>
      <diagonal/>
    </border>
    <border>
      <left/>
      <right style="thick">
        <color rgb="FF0070C0"/>
      </right>
      <top style="thick">
        <color rgb="FF0070C0"/>
      </top>
      <bottom/>
      <diagonal/>
    </border>
    <border>
      <left style="thick">
        <color rgb="FF0070C0"/>
      </left>
      <right/>
      <top/>
      <bottom/>
      <diagonal/>
    </border>
    <border>
      <left/>
      <right style="thick">
        <color rgb="FF0070C0"/>
      </right>
      <top/>
      <bottom/>
      <diagonal/>
    </border>
    <border>
      <left style="thick">
        <color rgb="FF0070C0"/>
      </left>
      <right/>
      <top/>
      <bottom style="thick">
        <color rgb="FF0070C0"/>
      </bottom>
      <diagonal/>
    </border>
    <border>
      <left/>
      <right style="thick">
        <color rgb="FF0070C0"/>
      </right>
      <top/>
      <bottom style="thick">
        <color rgb="FF0070C0"/>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double">
        <color rgb="FF0076A8"/>
      </left>
      <right/>
      <top style="double">
        <color rgb="FF0076A8"/>
      </top>
      <bottom/>
      <diagonal/>
    </border>
    <border>
      <left/>
      <right/>
      <top style="double">
        <color rgb="FF0076A8"/>
      </top>
      <bottom/>
      <diagonal/>
    </border>
    <border>
      <left/>
      <right style="double">
        <color rgb="FF0076A8"/>
      </right>
      <top style="double">
        <color rgb="FF0076A8"/>
      </top>
      <bottom/>
      <diagonal/>
    </border>
    <border>
      <left style="double">
        <color rgb="FF0076A8"/>
      </left>
      <right/>
      <top/>
      <bottom/>
      <diagonal/>
    </border>
    <border>
      <left/>
      <right style="double">
        <color rgb="FF0076A8"/>
      </right>
      <top/>
      <bottom/>
      <diagonal/>
    </border>
    <border>
      <left style="double">
        <color rgb="FF0076A8"/>
      </left>
      <right/>
      <top/>
      <bottom style="double">
        <color rgb="FF0076A8"/>
      </bottom>
      <diagonal/>
    </border>
    <border>
      <left/>
      <right/>
      <top/>
      <bottom style="double">
        <color rgb="FF0076A8"/>
      </bottom>
      <diagonal/>
    </border>
    <border>
      <left/>
      <right style="double">
        <color rgb="FF0076A8"/>
      </right>
      <top/>
      <bottom style="double">
        <color rgb="FF0076A8"/>
      </bottom>
      <diagonal/>
    </border>
  </borders>
  <cellStyleXfs count="8">
    <xf numFmtId="0" fontId="0" fillId="0" borderId="0"/>
    <xf numFmtId="0" fontId="1" fillId="2" borderId="0" applyNumberFormat="0" applyAlignment="0" applyProtection="0"/>
    <xf numFmtId="0" fontId="2" fillId="3" borderId="1" applyNumberForma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4" borderId="0">
      <alignment vertical="center"/>
    </xf>
    <xf numFmtId="0" fontId="7" fillId="0" borderId="0"/>
    <xf numFmtId="0" fontId="18" fillId="0" borderId="0" applyNumberFormat="0" applyFill="0" applyBorder="0" applyAlignment="0" applyProtection="0"/>
  </cellStyleXfs>
  <cellXfs count="135">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6" borderId="0" xfId="0" applyFill="1" applyAlignment="1">
      <alignment horizontal="left" vertical="center" wrapText="1"/>
    </xf>
    <xf numFmtId="0" fontId="0" fillId="10" borderId="0" xfId="0" applyFill="1" applyAlignment="1">
      <alignment horizontal="left" vertical="center" wrapText="1"/>
    </xf>
    <xf numFmtId="0" fontId="0" fillId="13" borderId="0" xfId="0" applyFill="1" applyAlignment="1">
      <alignment horizontal="left" vertical="center" wrapText="1"/>
    </xf>
    <xf numFmtId="0" fontId="0" fillId="16" borderId="0" xfId="0" applyFill="1" applyAlignment="1">
      <alignment horizontal="left" vertical="center" wrapText="1"/>
    </xf>
    <xf numFmtId="0" fontId="0" fillId="19" borderId="0" xfId="0" applyFill="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7" fillId="0" borderId="0" xfId="6"/>
    <xf numFmtId="0" fontId="7" fillId="0" borderId="0" xfId="6" applyAlignment="1">
      <alignment horizontal="center"/>
    </xf>
    <xf numFmtId="0" fontId="8" fillId="20" borderId="2" xfId="6" applyFont="1" applyFill="1" applyBorder="1" applyAlignment="1">
      <alignment horizontal="left" vertical="center" wrapText="1" indent="1"/>
    </xf>
    <xf numFmtId="0" fontId="9" fillId="0" borderId="0" xfId="6" applyFont="1"/>
    <xf numFmtId="0" fontId="10" fillId="0" borderId="0" xfId="6" applyFont="1"/>
    <xf numFmtId="0" fontId="8" fillId="20" borderId="2" xfId="6" applyFont="1" applyFill="1" applyBorder="1" applyAlignment="1">
      <alignment horizontal="center" vertical="center" wrapText="1"/>
    </xf>
    <xf numFmtId="0" fontId="11" fillId="21" borderId="3" xfId="6" applyFont="1" applyFill="1" applyBorder="1" applyAlignment="1">
      <alignment horizontal="left" vertical="center" wrapText="1" indent="1"/>
    </xf>
    <xf numFmtId="0" fontId="12" fillId="21" borderId="3" xfId="6" applyFont="1" applyFill="1" applyBorder="1" applyAlignment="1">
      <alignment horizontal="center" vertical="center" wrapText="1"/>
    </xf>
    <xf numFmtId="0" fontId="13" fillId="0" borderId="0" xfId="6" applyFont="1"/>
    <xf numFmtId="0" fontId="14" fillId="0" borderId="0" xfId="6" applyFont="1"/>
    <xf numFmtId="0" fontId="11" fillId="21" borderId="3" xfId="6" applyFont="1" applyFill="1" applyBorder="1" applyAlignment="1">
      <alignment horizontal="center" vertical="center" wrapText="1"/>
    </xf>
    <xf numFmtId="0" fontId="11" fillId="21" borderId="0" xfId="6" applyFont="1" applyFill="1" applyAlignment="1">
      <alignment horizontal="center" vertical="center"/>
    </xf>
    <xf numFmtId="0" fontId="12" fillId="21" borderId="0" xfId="6" applyFont="1" applyFill="1" applyAlignment="1">
      <alignment horizontal="center" vertical="center" wrapText="1"/>
    </xf>
    <xf numFmtId="0" fontId="8" fillId="20" borderId="0" xfId="6" applyFont="1" applyFill="1" applyBorder="1" applyAlignment="1">
      <alignment horizontal="left" vertical="center" wrapText="1" indent="1"/>
    </xf>
    <xf numFmtId="0" fontId="11" fillId="21" borderId="0" xfId="6" applyFont="1" applyFill="1" applyBorder="1" applyAlignment="1">
      <alignment horizontal="left" vertical="center" wrapText="1" indent="1"/>
    </xf>
    <xf numFmtId="17" fontId="0" fillId="0" borderId="0" xfId="0" applyNumberFormat="1" applyAlignment="1">
      <alignment vertical="center"/>
    </xf>
    <xf numFmtId="0" fontId="15" fillId="7" borderId="0" xfId="0" applyFont="1" applyFill="1" applyAlignment="1">
      <alignment horizontal="left" vertical="center" wrapText="1"/>
    </xf>
    <xf numFmtId="0" fontId="16" fillId="5" borderId="0" xfId="0" applyFont="1" applyFill="1" applyAlignment="1">
      <alignment horizontal="left" vertical="center" wrapText="1"/>
    </xf>
    <xf numFmtId="0" fontId="16" fillId="6" borderId="0" xfId="0" applyFont="1" applyFill="1" applyAlignment="1">
      <alignment horizontal="left" vertical="center" wrapText="1"/>
    </xf>
    <xf numFmtId="0" fontId="15" fillId="8" borderId="0" xfId="0" applyFont="1" applyFill="1" applyAlignment="1">
      <alignment horizontal="left" vertical="center" wrapText="1"/>
    </xf>
    <xf numFmtId="0" fontId="16" fillId="9" borderId="0" xfId="0" applyFont="1" applyFill="1" applyAlignment="1">
      <alignment horizontal="left" vertical="center" wrapText="1"/>
    </xf>
    <xf numFmtId="0" fontId="16" fillId="10" borderId="0" xfId="0" applyFont="1" applyFill="1" applyAlignment="1">
      <alignment horizontal="left" vertical="center" wrapText="1"/>
    </xf>
    <xf numFmtId="0" fontId="15" fillId="11" borderId="0" xfId="0" applyFont="1" applyFill="1" applyAlignment="1">
      <alignment horizontal="left" vertical="center" wrapText="1"/>
    </xf>
    <xf numFmtId="0" fontId="16" fillId="12" borderId="0" xfId="0" applyFont="1" applyFill="1" applyAlignment="1">
      <alignment horizontal="left" vertical="center" wrapText="1"/>
    </xf>
    <xf numFmtId="0" fontId="16" fillId="13" borderId="0" xfId="0" applyFont="1" applyFill="1" applyAlignment="1">
      <alignment horizontal="left" vertical="center" wrapText="1"/>
    </xf>
    <xf numFmtId="0" fontId="15" fillId="14" borderId="0" xfId="0" applyFont="1" applyFill="1" applyAlignment="1">
      <alignment horizontal="left" vertical="center" wrapText="1"/>
    </xf>
    <xf numFmtId="0" fontId="16" fillId="15" borderId="0" xfId="0" applyFont="1" applyFill="1" applyAlignment="1">
      <alignment horizontal="left" vertical="center" wrapText="1"/>
    </xf>
    <xf numFmtId="0" fontId="16" fillId="16" borderId="0" xfId="0" applyFont="1" applyFill="1" applyAlignment="1">
      <alignment horizontal="left" vertical="center" wrapText="1"/>
    </xf>
    <xf numFmtId="0" fontId="15" fillId="17" borderId="0" xfId="0" applyFont="1" applyFill="1" applyAlignment="1">
      <alignment horizontal="left" vertical="center" wrapText="1"/>
    </xf>
    <xf numFmtId="0" fontId="16" fillId="18" borderId="0" xfId="0" applyFont="1" applyFill="1" applyAlignment="1">
      <alignment horizontal="left" vertical="center" wrapText="1"/>
    </xf>
    <xf numFmtId="0" fontId="16" fillId="19" borderId="0" xfId="0" applyFont="1" applyFill="1" applyAlignment="1">
      <alignment horizontal="left" vertical="center" wrapText="1"/>
    </xf>
    <xf numFmtId="0" fontId="0" fillId="0" borderId="0" xfId="0" applyBorder="1" applyAlignment="1">
      <alignment vertical="center" wrapText="1"/>
    </xf>
    <xf numFmtId="0" fontId="0" fillId="0" borderId="0" xfId="0" applyBorder="1" applyAlignment="1">
      <alignment horizontal="left" vertical="center" wrapText="1"/>
    </xf>
    <xf numFmtId="0" fontId="17" fillId="0" borderId="0" xfId="0" applyFont="1" applyBorder="1" applyAlignment="1">
      <alignment vertical="center" wrapText="1"/>
    </xf>
    <xf numFmtId="0" fontId="0" fillId="22" borderId="0" xfId="0" applyFill="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xf>
    <xf numFmtId="0" fontId="0" fillId="5" borderId="0" xfId="0" applyFont="1" applyFill="1" applyAlignment="1">
      <alignment horizontal="left" vertical="center" wrapText="1"/>
    </xf>
    <xf numFmtId="0" fontId="0" fillId="9" borderId="0" xfId="0" applyFont="1" applyFill="1" applyAlignment="1">
      <alignment horizontal="left" vertical="center" wrapText="1"/>
    </xf>
    <xf numFmtId="0" fontId="0" fillId="12" borderId="0" xfId="0" applyFont="1" applyFill="1" applyAlignment="1">
      <alignment horizontal="left" vertical="center" wrapText="1"/>
    </xf>
    <xf numFmtId="0" fontId="0" fillId="15" borderId="0" xfId="0" applyFont="1" applyFill="1" applyAlignment="1">
      <alignment horizontal="left" vertical="center" wrapText="1"/>
    </xf>
    <xf numFmtId="0" fontId="0" fillId="18" borderId="0" xfId="0" applyFont="1" applyFill="1" applyAlignment="1">
      <alignment horizontal="left" vertical="center" wrapText="1"/>
    </xf>
    <xf numFmtId="2" fontId="0" fillId="0" borderId="0" xfId="0" applyNumberFormat="1"/>
    <xf numFmtId="0" fontId="0" fillId="9" borderId="0" xfId="0" applyFill="1" applyAlignment="1">
      <alignment horizontal="left" vertical="center"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left" vertical="center"/>
    </xf>
    <xf numFmtId="0" fontId="18" fillId="0" borderId="0" xfId="7" applyAlignment="1">
      <alignment vertical="center"/>
    </xf>
    <xf numFmtId="0" fontId="1" fillId="2" borderId="4" xfId="1" applyBorder="1" applyAlignment="1">
      <alignment horizontal="left" vertical="center"/>
    </xf>
    <xf numFmtId="0" fontId="0" fillId="0" borderId="5" xfId="0" applyBorder="1" applyAlignment="1">
      <alignment horizontal="left" vertical="center" wrapText="1"/>
    </xf>
    <xf numFmtId="0" fontId="19" fillId="2" borderId="6" xfId="1" applyFont="1" applyBorder="1" applyAlignment="1">
      <alignment horizontal="left" vertical="center"/>
    </xf>
    <xf numFmtId="0" fontId="0" fillId="0" borderId="7" xfId="0" applyBorder="1" applyAlignment="1">
      <alignment horizontal="left" vertical="center" wrapText="1"/>
    </xf>
    <xf numFmtId="0" fontId="1" fillId="2" borderId="8" xfId="1" applyBorder="1" applyAlignment="1">
      <alignment horizontal="left" vertical="center"/>
    </xf>
    <xf numFmtId="0" fontId="0" fillId="0" borderId="9" xfId="0" applyBorder="1" applyAlignment="1">
      <alignment horizontal="left" vertical="center" wrapText="1"/>
    </xf>
    <xf numFmtId="0" fontId="0" fillId="21" borderId="10" xfId="0" applyFill="1" applyBorder="1" applyAlignment="1">
      <alignment vertical="center"/>
    </xf>
    <xf numFmtId="0" fontId="0" fillId="21" borderId="11" xfId="0" applyFill="1" applyBorder="1" applyAlignment="1">
      <alignment wrapText="1"/>
    </xf>
    <xf numFmtId="0" fontId="0" fillId="0" borderId="10" xfId="0" applyFill="1" applyBorder="1" applyAlignment="1">
      <alignment vertical="center"/>
    </xf>
    <xf numFmtId="0" fontId="0" fillId="0" borderId="11" xfId="0" applyFill="1" applyBorder="1" applyAlignment="1">
      <alignment wrapText="1"/>
    </xf>
    <xf numFmtId="0" fontId="0" fillId="0" borderId="12" xfId="0" applyFill="1" applyBorder="1" applyAlignment="1">
      <alignment vertical="center"/>
    </xf>
    <xf numFmtId="0" fontId="0" fillId="0" borderId="13" xfId="0" applyFill="1" applyBorder="1" applyAlignment="1">
      <alignment wrapText="1"/>
    </xf>
    <xf numFmtId="0" fontId="0" fillId="21" borderId="0" xfId="0" applyFill="1"/>
    <xf numFmtId="0" fontId="18" fillId="21" borderId="0" xfId="7" applyFill="1"/>
    <xf numFmtId="0" fontId="0" fillId="10" borderId="0" xfId="0" applyFill="1"/>
    <xf numFmtId="0" fontId="0" fillId="10" borderId="0" xfId="0" applyFill="1" applyAlignment="1">
      <alignment horizontal="center"/>
    </xf>
    <xf numFmtId="0" fontId="0" fillId="13" borderId="0" xfId="0" applyFill="1"/>
    <xf numFmtId="0" fontId="0" fillId="13" borderId="0" xfId="0" applyFill="1" applyAlignment="1">
      <alignment horizontal="center"/>
    </xf>
    <xf numFmtId="0" fontId="0" fillId="15" borderId="0" xfId="0" applyFill="1"/>
    <xf numFmtId="0" fontId="0" fillId="15" borderId="0" xfId="0" applyFill="1" applyAlignment="1">
      <alignment horizontal="center"/>
    </xf>
    <xf numFmtId="0" fontId="0" fillId="19" borderId="0" xfId="0" applyFill="1"/>
    <xf numFmtId="0" fontId="0" fillId="19" borderId="0" xfId="0" applyFill="1" applyAlignment="1">
      <alignment horizontal="center"/>
    </xf>
    <xf numFmtId="0" fontId="0" fillId="6" borderId="15" xfId="0" applyFill="1" applyBorder="1"/>
    <xf numFmtId="0" fontId="0" fillId="6" borderId="16" xfId="0" applyFill="1" applyBorder="1" applyAlignment="1">
      <alignment horizontal="center"/>
    </xf>
    <xf numFmtId="0" fontId="0" fillId="6" borderId="0" xfId="0" applyFill="1" applyBorder="1"/>
    <xf numFmtId="0" fontId="0" fillId="6" borderId="18" xfId="0" applyFill="1" applyBorder="1" applyAlignment="1">
      <alignment horizontal="center"/>
    </xf>
    <xf numFmtId="0" fontId="0" fillId="6" borderId="20" xfId="0" applyFill="1" applyBorder="1"/>
    <xf numFmtId="0" fontId="0" fillId="6" borderId="21" xfId="0" applyFill="1" applyBorder="1" applyAlignment="1">
      <alignment horizontal="center"/>
    </xf>
    <xf numFmtId="0" fontId="7" fillId="23" borderId="0" xfId="0" applyFont="1" applyFill="1" applyAlignment="1">
      <alignment horizontal="left" vertical="center"/>
    </xf>
    <xf numFmtId="2" fontId="7" fillId="23" borderId="0" xfId="0" applyNumberFormat="1" applyFont="1" applyFill="1" applyAlignment="1">
      <alignment horizontal="left" vertical="center"/>
    </xf>
    <xf numFmtId="0" fontId="7" fillId="18" borderId="0" xfId="0" applyFont="1" applyFill="1" applyAlignment="1">
      <alignment horizontal="left" vertical="center"/>
    </xf>
    <xf numFmtId="2" fontId="7" fillId="18" borderId="0" xfId="0" applyNumberFormat="1" applyFont="1" applyFill="1" applyAlignment="1">
      <alignment horizontal="left" vertical="center"/>
    </xf>
    <xf numFmtId="0" fontId="0" fillId="0" borderId="22"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4" fillId="0" borderId="0" xfId="4" applyBorder="1" applyAlignment="1">
      <alignment vertical="center"/>
    </xf>
    <xf numFmtId="0" fontId="0" fillId="0" borderId="26" xfId="0" applyBorder="1" applyAlignment="1">
      <alignment vertical="center"/>
    </xf>
    <xf numFmtId="0" fontId="0" fillId="24" borderId="0" xfId="0" applyFill="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5" fillId="25" borderId="0" xfId="0" applyFont="1" applyFill="1" applyAlignment="1">
      <alignment vertical="top" wrapText="1"/>
    </xf>
    <xf numFmtId="2" fontId="5" fillId="25" borderId="0" xfId="0" applyNumberFormat="1" applyFont="1" applyFill="1" applyAlignment="1">
      <alignment vertical="top" wrapText="1"/>
    </xf>
    <xf numFmtId="0" fontId="5" fillId="25" borderId="0" xfId="0" applyFont="1" applyFill="1" applyAlignment="1">
      <alignment horizontal="center" vertical="top" wrapText="1"/>
    </xf>
    <xf numFmtId="0" fontId="20" fillId="0" borderId="23" xfId="3" applyFont="1" applyBorder="1" applyAlignment="1">
      <alignment horizontal="left" vertical="center"/>
    </xf>
    <xf numFmtId="0" fontId="0" fillId="0" borderId="23" xfId="0" applyBorder="1" applyAlignment="1">
      <alignment vertical="center"/>
    </xf>
    <xf numFmtId="0" fontId="7" fillId="9" borderId="0" xfId="0" applyFont="1" applyFill="1" applyAlignment="1">
      <alignment horizontal="left" vertical="center"/>
    </xf>
    <xf numFmtId="0" fontId="7" fillId="5" borderId="15" xfId="0" applyFont="1" applyFill="1" applyBorder="1" applyAlignment="1">
      <alignment horizontal="left" vertical="center"/>
    </xf>
    <xf numFmtId="0" fontId="7" fillId="5" borderId="0" xfId="0" applyFont="1" applyFill="1" applyBorder="1" applyAlignment="1">
      <alignment horizontal="left" vertical="center"/>
    </xf>
    <xf numFmtId="0" fontId="7" fillId="5" borderId="20" xfId="0" applyFont="1" applyFill="1" applyBorder="1" applyAlignment="1">
      <alignment horizontal="left" vertical="center"/>
    </xf>
    <xf numFmtId="0" fontId="7" fillId="12" borderId="0" xfId="0" applyFont="1" applyFill="1" applyAlignment="1">
      <alignment horizontal="left" vertical="center"/>
    </xf>
    <xf numFmtId="0" fontId="7" fillId="23" borderId="0" xfId="0" applyFont="1" applyFill="1" applyAlignment="1">
      <alignment horizontal="left" vertical="center"/>
    </xf>
    <xf numFmtId="2" fontId="15" fillId="7" borderId="15" xfId="0" applyNumberFormat="1" applyFont="1" applyFill="1" applyBorder="1" applyAlignment="1">
      <alignment horizontal="left" vertical="center"/>
    </xf>
    <xf numFmtId="2" fontId="15" fillId="7" borderId="0" xfId="0" applyNumberFormat="1" applyFont="1" applyFill="1" applyBorder="1" applyAlignment="1">
      <alignment horizontal="left" vertical="center"/>
    </xf>
    <xf numFmtId="2" fontId="15" fillId="7" borderId="20" xfId="0" applyNumberFormat="1" applyFont="1" applyFill="1" applyBorder="1" applyAlignment="1">
      <alignment horizontal="left" vertical="center"/>
    </xf>
    <xf numFmtId="2" fontId="7" fillId="9" borderId="0" xfId="0" applyNumberFormat="1" applyFont="1" applyFill="1" applyAlignment="1">
      <alignment horizontal="left" vertical="center"/>
    </xf>
    <xf numFmtId="2" fontId="7" fillId="12" borderId="0" xfId="0" applyNumberFormat="1" applyFont="1" applyFill="1" applyAlignment="1">
      <alignment horizontal="left" vertical="center"/>
    </xf>
    <xf numFmtId="2" fontId="7" fillId="5" borderId="0" xfId="0" applyNumberFormat="1" applyFont="1" applyFill="1" applyBorder="1" applyAlignment="1">
      <alignment horizontal="left" vertical="center"/>
    </xf>
    <xf numFmtId="2" fontId="7" fillId="5" borderId="20" xfId="0" applyNumberFormat="1" applyFont="1" applyFill="1" applyBorder="1" applyAlignment="1">
      <alignment horizontal="left" vertical="center"/>
    </xf>
    <xf numFmtId="2" fontId="7" fillId="5" borderId="15" xfId="0" applyNumberFormat="1" applyFont="1" applyFill="1" applyBorder="1" applyAlignment="1">
      <alignment horizontal="left" vertical="center"/>
    </xf>
    <xf numFmtId="0" fontId="15" fillId="7" borderId="14" xfId="0" applyFont="1" applyFill="1" applyBorder="1" applyAlignment="1">
      <alignment horizontal="left" vertical="center"/>
    </xf>
    <xf numFmtId="0" fontId="5" fillId="7" borderId="17" xfId="0" applyFont="1" applyFill="1" applyBorder="1" applyAlignment="1">
      <alignment horizontal="left" vertical="center"/>
    </xf>
    <xf numFmtId="0" fontId="5" fillId="7" borderId="19" xfId="0" applyFont="1" applyFill="1" applyBorder="1" applyAlignment="1">
      <alignment horizontal="left" vertical="center"/>
    </xf>
    <xf numFmtId="0" fontId="15" fillId="8" borderId="0" xfId="0" applyFont="1" applyFill="1" applyAlignment="1">
      <alignment horizontal="left" vertical="center"/>
    </xf>
    <xf numFmtId="0" fontId="15" fillId="11" borderId="0" xfId="0" applyFont="1" applyFill="1" applyAlignment="1">
      <alignment horizontal="left" vertical="center"/>
    </xf>
    <xf numFmtId="0" fontId="15" fillId="14" borderId="0" xfId="0" applyFont="1" applyFill="1" applyAlignment="1">
      <alignment horizontal="left" vertical="center"/>
    </xf>
    <xf numFmtId="0" fontId="15" fillId="17" borderId="0" xfId="0" applyFont="1" applyFill="1" applyAlignment="1">
      <alignment horizontal="left" vertical="center"/>
    </xf>
    <xf numFmtId="2" fontId="15" fillId="8" borderId="0" xfId="0" applyNumberFormat="1" applyFont="1" applyFill="1" applyAlignment="1">
      <alignment horizontal="left" vertical="center"/>
    </xf>
    <xf numFmtId="2" fontId="15" fillId="11" borderId="0" xfId="0" applyNumberFormat="1" applyFont="1" applyFill="1" applyAlignment="1">
      <alignment horizontal="left" vertical="center"/>
    </xf>
    <xf numFmtId="2" fontId="15" fillId="14" borderId="0" xfId="0" applyNumberFormat="1" applyFont="1" applyFill="1" applyAlignment="1">
      <alignment horizontal="left" vertical="center"/>
    </xf>
    <xf numFmtId="2" fontId="15" fillId="17" borderId="0" xfId="0" applyNumberFormat="1" applyFont="1" applyFill="1" applyAlignment="1">
      <alignment horizontal="left" vertical="center"/>
    </xf>
    <xf numFmtId="2" fontId="7" fillId="23" borderId="0" xfId="0" applyNumberFormat="1" applyFont="1" applyFill="1" applyAlignment="1">
      <alignment horizontal="left" vertical="center"/>
    </xf>
    <xf numFmtId="2" fontId="7" fillId="18" borderId="0" xfId="0" applyNumberFormat="1" applyFont="1" applyFill="1" applyAlignment="1">
      <alignment horizontal="left" vertical="center"/>
    </xf>
    <xf numFmtId="0" fontId="7" fillId="18" borderId="0" xfId="0" applyFont="1" applyFill="1" applyAlignment="1">
      <alignment horizontal="left" vertical="center"/>
    </xf>
  </cellXfs>
  <cellStyles count="8">
    <cellStyle name="Calc Cell" xfId="5" xr:uid="{8A59D8FC-99E5-4552-A60E-D4CD828B4390}"/>
    <cellStyle name="Explanatory Text" xfId="4" builtinId="53"/>
    <cellStyle name="Heading 1" xfId="1" builtinId="16" customBuiltin="1"/>
    <cellStyle name="Heading 2" xfId="2" builtinId="17" customBuiltin="1"/>
    <cellStyle name="Hyperlink" xfId="7" builtinId="8"/>
    <cellStyle name="Normal" xfId="0" builtinId="0"/>
    <cellStyle name="Normal 2" xfId="6" xr:uid="{793738F3-82A4-4A3A-81B9-1EE056B3C7E0}"/>
    <cellStyle name="Title" xfId="3" builtinId="15"/>
  </cellStyles>
  <dxfs count="21">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font>
        <b/>
        <strike val="0"/>
        <outline val="0"/>
        <shadow val="0"/>
        <u val="none"/>
        <vertAlign val="baseline"/>
        <sz val="14"/>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colors>
    <mruColors>
      <color rgb="FFFF6969"/>
      <color rgb="FFD1B2E8"/>
      <color rgb="FFB381D9"/>
      <color rgb="FFFFC9C9"/>
      <color rgb="FF0076A8"/>
      <color rgb="FF75787B"/>
      <color rgb="FF00A9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a:t>
            </a:r>
            <a:r>
              <a:rPr lang="en-US" baseline="0"/>
              <a:t> by </a:t>
            </a:r>
            <a:r>
              <a:rPr lang="en-US"/>
              <a:t>Function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Summary!$C$2</c:f>
              <c:strCache>
                <c:ptCount val="1"/>
                <c:pt idx="0">
                  <c:v>Current Tier</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4992-452C-B8A6-7EFB18768C22}"/>
              </c:ext>
            </c:extLst>
          </c:dPt>
          <c:dPt>
            <c:idx val="1"/>
            <c:invertIfNegative val="0"/>
            <c:bubble3D val="0"/>
            <c:spPr>
              <a:solidFill>
                <a:srgbClr val="7030A0"/>
              </a:solidFill>
              <a:ln>
                <a:noFill/>
              </a:ln>
              <a:effectLst/>
            </c:spPr>
            <c:extLst>
              <c:ext xmlns:c16="http://schemas.microsoft.com/office/drawing/2014/chart" uri="{C3380CC4-5D6E-409C-BE32-E72D297353CC}">
                <c16:uniqueId val="{00000002-4992-452C-B8A6-7EFB18768C22}"/>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4992-452C-B8A6-7EFB18768C22}"/>
              </c:ext>
            </c:extLst>
          </c:dPt>
          <c:dPt>
            <c:idx val="3"/>
            <c:invertIfNegative val="0"/>
            <c:bubble3D val="0"/>
            <c:spPr>
              <a:solidFill>
                <a:srgbClr val="FF0000"/>
              </a:solidFill>
              <a:ln>
                <a:noFill/>
              </a:ln>
              <a:effectLst/>
            </c:spPr>
            <c:extLst>
              <c:ext xmlns:c16="http://schemas.microsoft.com/office/drawing/2014/chart" uri="{C3380CC4-5D6E-409C-BE32-E72D297353CC}">
                <c16:uniqueId val="{00000004-4992-452C-B8A6-7EFB18768C22}"/>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4992-452C-B8A6-7EFB18768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Summary!$B$3:$B$7</c:f>
              <c:strCache>
                <c:ptCount val="5"/>
                <c:pt idx="0">
                  <c:v>Identify</c:v>
                </c:pt>
                <c:pt idx="1">
                  <c:v>Protect</c:v>
                </c:pt>
                <c:pt idx="2">
                  <c:v>Detect</c:v>
                </c:pt>
                <c:pt idx="3">
                  <c:v>Respond</c:v>
                </c:pt>
                <c:pt idx="4">
                  <c:v>Recover</c:v>
                </c:pt>
              </c:strCache>
            </c:strRef>
          </c:cat>
          <c:val>
            <c:numRef>
              <c:f>Summary!$C$3:$C$7</c:f>
              <c:numCache>
                <c:formatCode>0.00</c:formatCode>
                <c:ptCount val="5"/>
                <c:pt idx="0">
                  <c:v>1.3448275862068966</c:v>
                </c:pt>
                <c:pt idx="1">
                  <c:v>1.8717948717948718</c:v>
                </c:pt>
                <c:pt idx="2">
                  <c:v>1.5</c:v>
                </c:pt>
                <c:pt idx="3">
                  <c:v>1.8125</c:v>
                </c:pt>
                <c:pt idx="4">
                  <c:v>1.3333333333333333</c:v>
                </c:pt>
              </c:numCache>
            </c:numRef>
          </c:val>
          <c:extLst>
            <c:ext xmlns:c16="http://schemas.microsoft.com/office/drawing/2014/chart" uri="{C3380CC4-5D6E-409C-BE32-E72D297353CC}">
              <c16:uniqueId val="{00000000-DA63-4553-9896-CC0E20D02110}"/>
            </c:ext>
          </c:extLst>
        </c:ser>
        <c:ser>
          <c:idx val="1"/>
          <c:order val="1"/>
          <c:tx>
            <c:strRef>
              <c:f>Summary!$D$2</c:f>
              <c:strCache>
                <c:ptCount val="1"/>
                <c:pt idx="0">
                  <c:v>Target Tier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Summary!$B$3:$B$7</c:f>
              <c:strCache>
                <c:ptCount val="5"/>
                <c:pt idx="0">
                  <c:v>Identify</c:v>
                </c:pt>
                <c:pt idx="1">
                  <c:v>Protect</c:v>
                </c:pt>
                <c:pt idx="2">
                  <c:v>Detect</c:v>
                </c:pt>
                <c:pt idx="3">
                  <c:v>Respond</c:v>
                </c:pt>
                <c:pt idx="4">
                  <c:v>Recover</c:v>
                </c:pt>
              </c:strCache>
            </c:strRef>
          </c:cat>
          <c:val>
            <c:numRef>
              <c:f>Summary!$D$3:$D$7</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DA63-4553-9896-CC0E20D02110}"/>
            </c:ext>
          </c:extLst>
        </c:ser>
        <c:dLbls>
          <c:showLegendKey val="0"/>
          <c:showVal val="0"/>
          <c:showCatName val="0"/>
          <c:showSerName val="0"/>
          <c:showPercent val="0"/>
          <c:showBubbleSize val="0"/>
        </c:dLbls>
        <c:gapWidth val="219"/>
        <c:overlap val="-27"/>
        <c:axId val="1988201247"/>
        <c:axId val="846988719"/>
      </c:barChart>
      <c:catAx>
        <c:axId val="198820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88719"/>
        <c:crosses val="autoZero"/>
        <c:auto val="1"/>
        <c:lblAlgn val="ctr"/>
        <c:lblOffset val="100"/>
        <c:noMultiLvlLbl val="0"/>
      </c:catAx>
      <c:valAx>
        <c:axId val="846988719"/>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0124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by Category</a:t>
            </a:r>
            <a:r>
              <a:rPr lang="en-US" baseline="0"/>
              <a:t> - Identify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Tier</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Summary!$B$10:$B$15</c:f>
              <c:strCache>
                <c:ptCount val="6"/>
                <c:pt idx="0">
                  <c:v>Asset Management (ID.AM)</c:v>
                </c:pt>
                <c:pt idx="1">
                  <c:v>Business Environment (ID.BE)</c:v>
                </c:pt>
                <c:pt idx="2">
                  <c:v>Governance (ID.GV)</c:v>
                </c:pt>
                <c:pt idx="3">
                  <c:v>Risk Assessment (ID.RA)</c:v>
                </c:pt>
                <c:pt idx="4">
                  <c:v>Risk Management Strategy (ID.RM)</c:v>
                </c:pt>
                <c:pt idx="5">
                  <c:v>Supply Chain Risk Management (ID.SC)</c:v>
                </c:pt>
              </c:strCache>
            </c:strRef>
          </c:cat>
          <c:val>
            <c:numRef>
              <c:f>Summary!$C$10:$C$15</c:f>
              <c:numCache>
                <c:formatCode>0.00</c:formatCode>
                <c:ptCount val="6"/>
                <c:pt idx="0">
                  <c:v>1.3333333333333333</c:v>
                </c:pt>
                <c:pt idx="1">
                  <c:v>1.6</c:v>
                </c:pt>
                <c:pt idx="2">
                  <c:v>1.5</c:v>
                </c:pt>
                <c:pt idx="3">
                  <c:v>1.1666666666666667</c:v>
                </c:pt>
                <c:pt idx="4">
                  <c:v>1</c:v>
                </c:pt>
                <c:pt idx="5">
                  <c:v>1.4</c:v>
                </c:pt>
              </c:numCache>
            </c:numRef>
          </c:val>
          <c:extLst>
            <c:ext xmlns:c16="http://schemas.microsoft.com/office/drawing/2014/chart" uri="{C3380CC4-5D6E-409C-BE32-E72D297353CC}">
              <c16:uniqueId val="{00000000-DA91-42CF-8B46-FF720880CEB9}"/>
            </c:ext>
          </c:extLst>
        </c:ser>
        <c:ser>
          <c:idx val="1"/>
          <c:order val="1"/>
          <c:tx>
            <c:v>Target Tier</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Summary!$B$10:$B$15</c:f>
              <c:strCache>
                <c:ptCount val="6"/>
                <c:pt idx="0">
                  <c:v>Asset Management (ID.AM)</c:v>
                </c:pt>
                <c:pt idx="1">
                  <c:v>Business Environment (ID.BE)</c:v>
                </c:pt>
                <c:pt idx="2">
                  <c:v>Governance (ID.GV)</c:v>
                </c:pt>
                <c:pt idx="3">
                  <c:v>Risk Assessment (ID.RA)</c:v>
                </c:pt>
                <c:pt idx="4">
                  <c:v>Risk Management Strategy (ID.RM)</c:v>
                </c:pt>
                <c:pt idx="5">
                  <c:v>Supply Chain Risk Management (ID.SC)</c:v>
                </c:pt>
              </c:strCache>
            </c:strRef>
          </c:cat>
          <c:val>
            <c:numRef>
              <c:f>Summary!$D$10:$D$15</c:f>
              <c:numCache>
                <c:formatCode>General</c:formatCode>
                <c:ptCount val="6"/>
                <c:pt idx="0">
                  <c:v>3</c:v>
                </c:pt>
                <c:pt idx="1">
                  <c:v>3</c:v>
                </c:pt>
                <c:pt idx="2">
                  <c:v>3</c:v>
                </c:pt>
                <c:pt idx="3">
                  <c:v>3</c:v>
                </c:pt>
                <c:pt idx="4">
                  <c:v>3</c:v>
                </c:pt>
                <c:pt idx="5">
                  <c:v>3</c:v>
                </c:pt>
              </c:numCache>
            </c:numRef>
          </c:val>
          <c:extLst>
            <c:ext xmlns:c16="http://schemas.microsoft.com/office/drawing/2014/chart" uri="{C3380CC4-5D6E-409C-BE32-E72D297353CC}">
              <c16:uniqueId val="{00000001-DA91-42CF-8B46-FF720880CEB9}"/>
            </c:ext>
          </c:extLst>
        </c:ser>
        <c:dLbls>
          <c:showLegendKey val="0"/>
          <c:showVal val="0"/>
          <c:showCatName val="0"/>
          <c:showSerName val="0"/>
          <c:showPercent val="0"/>
          <c:showBubbleSize val="0"/>
        </c:dLbls>
        <c:gapWidth val="219"/>
        <c:overlap val="-27"/>
        <c:axId val="834261551"/>
        <c:axId val="847021167"/>
      </c:barChart>
      <c:catAx>
        <c:axId val="834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1167"/>
        <c:crosses val="autoZero"/>
        <c:auto val="1"/>
        <c:lblAlgn val="ctr"/>
        <c:lblOffset val="100"/>
        <c:noMultiLvlLbl val="0"/>
      </c:catAx>
      <c:valAx>
        <c:axId val="84702116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6155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by Category</a:t>
            </a:r>
            <a:r>
              <a:rPr lang="en-US" baseline="0"/>
              <a:t> - Protect (PR)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Tier</c:v>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Summary!$B$16:$B$21</c:f>
              <c:strCache>
                <c:ptCount val="6"/>
                <c:pt idx="0">
                  <c:v>Identity Management and Access Control (PR.AC) </c:v>
                </c:pt>
                <c:pt idx="1">
                  <c:v>Awareness and Training (PR.AT)</c:v>
                </c:pt>
                <c:pt idx="2">
                  <c:v>Data Security (PR.DS)</c:v>
                </c:pt>
                <c:pt idx="3">
                  <c:v>Information Protection (PR.IP)</c:v>
                </c:pt>
                <c:pt idx="4">
                  <c:v>Maintenance (PR.MA)</c:v>
                </c:pt>
                <c:pt idx="5">
                  <c:v>Protective Technology (PR.PT)</c:v>
                </c:pt>
              </c:strCache>
            </c:strRef>
          </c:cat>
          <c:val>
            <c:numRef>
              <c:f>Summary!$C$16:$C$21</c:f>
              <c:numCache>
                <c:formatCode>0.00</c:formatCode>
                <c:ptCount val="6"/>
                <c:pt idx="0">
                  <c:v>2</c:v>
                </c:pt>
                <c:pt idx="1">
                  <c:v>2</c:v>
                </c:pt>
                <c:pt idx="2">
                  <c:v>2</c:v>
                </c:pt>
                <c:pt idx="3">
                  <c:v>1.75</c:v>
                </c:pt>
                <c:pt idx="4">
                  <c:v>2</c:v>
                </c:pt>
                <c:pt idx="5">
                  <c:v>1.6</c:v>
                </c:pt>
              </c:numCache>
            </c:numRef>
          </c:val>
          <c:extLst>
            <c:ext xmlns:c16="http://schemas.microsoft.com/office/drawing/2014/chart" uri="{C3380CC4-5D6E-409C-BE32-E72D297353CC}">
              <c16:uniqueId val="{00000000-4AC3-478E-8AAA-9B08243920C3}"/>
            </c:ext>
          </c:extLst>
        </c:ser>
        <c:ser>
          <c:idx val="1"/>
          <c:order val="1"/>
          <c:tx>
            <c:v>Target Tier</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Summary!$B$16:$B$21</c:f>
              <c:strCache>
                <c:ptCount val="6"/>
                <c:pt idx="0">
                  <c:v>Identity Management and Access Control (PR.AC) </c:v>
                </c:pt>
                <c:pt idx="1">
                  <c:v>Awareness and Training (PR.AT)</c:v>
                </c:pt>
                <c:pt idx="2">
                  <c:v>Data Security (PR.DS)</c:v>
                </c:pt>
                <c:pt idx="3">
                  <c:v>Information Protection (PR.IP)</c:v>
                </c:pt>
                <c:pt idx="4">
                  <c:v>Maintenance (PR.MA)</c:v>
                </c:pt>
                <c:pt idx="5">
                  <c:v>Protective Technology (PR.PT)</c:v>
                </c:pt>
              </c:strCache>
            </c:strRef>
          </c:cat>
          <c:val>
            <c:numRef>
              <c:f>Summary!$D$16:$D$21</c:f>
              <c:numCache>
                <c:formatCode>General</c:formatCode>
                <c:ptCount val="6"/>
                <c:pt idx="0">
                  <c:v>3</c:v>
                </c:pt>
                <c:pt idx="1">
                  <c:v>3</c:v>
                </c:pt>
                <c:pt idx="2">
                  <c:v>3</c:v>
                </c:pt>
                <c:pt idx="3">
                  <c:v>3</c:v>
                </c:pt>
                <c:pt idx="4">
                  <c:v>3</c:v>
                </c:pt>
                <c:pt idx="5">
                  <c:v>3</c:v>
                </c:pt>
              </c:numCache>
            </c:numRef>
          </c:val>
          <c:extLst>
            <c:ext xmlns:c16="http://schemas.microsoft.com/office/drawing/2014/chart" uri="{C3380CC4-5D6E-409C-BE32-E72D297353CC}">
              <c16:uniqueId val="{00000001-4AC3-478E-8AAA-9B08243920C3}"/>
            </c:ext>
          </c:extLst>
        </c:ser>
        <c:dLbls>
          <c:showLegendKey val="0"/>
          <c:showVal val="0"/>
          <c:showCatName val="0"/>
          <c:showSerName val="0"/>
          <c:showPercent val="0"/>
          <c:showBubbleSize val="0"/>
        </c:dLbls>
        <c:gapWidth val="219"/>
        <c:overlap val="-27"/>
        <c:axId val="834261551"/>
        <c:axId val="847021167"/>
      </c:barChart>
      <c:catAx>
        <c:axId val="834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1167"/>
        <c:crosses val="autoZero"/>
        <c:auto val="1"/>
        <c:lblAlgn val="ctr"/>
        <c:lblOffset val="100"/>
        <c:noMultiLvlLbl val="0"/>
      </c:catAx>
      <c:valAx>
        <c:axId val="84702116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6155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by Category - Detect</a:t>
            </a:r>
            <a:r>
              <a:rPr lang="en-US" baseline="0"/>
              <a:t> (DE)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Tier</c:v>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Summary!$B$22:$B$24</c:f>
              <c:strCache>
                <c:ptCount val="3"/>
                <c:pt idx="0">
                  <c:v>Anomalies and Events (DE.AE)</c:v>
                </c:pt>
                <c:pt idx="1">
                  <c:v>Security Continuous Monitoring (DE.CM)</c:v>
                </c:pt>
                <c:pt idx="2">
                  <c:v>Detection Processes (DE.DP)</c:v>
                </c:pt>
              </c:strCache>
            </c:strRef>
          </c:cat>
          <c:val>
            <c:numRef>
              <c:f>Summary!$C$22:$C$24</c:f>
              <c:numCache>
                <c:formatCode>0.00</c:formatCode>
                <c:ptCount val="3"/>
                <c:pt idx="0">
                  <c:v>1.6</c:v>
                </c:pt>
                <c:pt idx="1">
                  <c:v>1.5</c:v>
                </c:pt>
                <c:pt idx="2">
                  <c:v>1.4</c:v>
                </c:pt>
              </c:numCache>
            </c:numRef>
          </c:val>
          <c:extLst>
            <c:ext xmlns:c16="http://schemas.microsoft.com/office/drawing/2014/chart" uri="{C3380CC4-5D6E-409C-BE32-E72D297353CC}">
              <c16:uniqueId val="{00000000-994E-4D02-9CB7-F91C7F35A95F}"/>
            </c:ext>
          </c:extLst>
        </c:ser>
        <c:ser>
          <c:idx val="1"/>
          <c:order val="1"/>
          <c:tx>
            <c:v>Target Tier</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Summary!$B$22:$B$24</c:f>
              <c:strCache>
                <c:ptCount val="3"/>
                <c:pt idx="0">
                  <c:v>Anomalies and Events (DE.AE)</c:v>
                </c:pt>
                <c:pt idx="1">
                  <c:v>Security Continuous Monitoring (DE.CM)</c:v>
                </c:pt>
                <c:pt idx="2">
                  <c:v>Detection Processes (DE.DP)</c:v>
                </c:pt>
              </c:strCache>
            </c:strRef>
          </c:cat>
          <c:val>
            <c:numRef>
              <c:f>Summary!$D$22:$D$24</c:f>
              <c:numCache>
                <c:formatCode>General</c:formatCode>
                <c:ptCount val="3"/>
                <c:pt idx="0">
                  <c:v>3</c:v>
                </c:pt>
                <c:pt idx="1">
                  <c:v>3</c:v>
                </c:pt>
                <c:pt idx="2">
                  <c:v>3</c:v>
                </c:pt>
              </c:numCache>
            </c:numRef>
          </c:val>
          <c:extLst>
            <c:ext xmlns:c16="http://schemas.microsoft.com/office/drawing/2014/chart" uri="{C3380CC4-5D6E-409C-BE32-E72D297353CC}">
              <c16:uniqueId val="{00000001-994E-4D02-9CB7-F91C7F35A95F}"/>
            </c:ext>
          </c:extLst>
        </c:ser>
        <c:dLbls>
          <c:showLegendKey val="0"/>
          <c:showVal val="0"/>
          <c:showCatName val="0"/>
          <c:showSerName val="0"/>
          <c:showPercent val="0"/>
          <c:showBubbleSize val="0"/>
        </c:dLbls>
        <c:gapWidth val="219"/>
        <c:overlap val="-27"/>
        <c:axId val="834261551"/>
        <c:axId val="847021167"/>
      </c:barChart>
      <c:catAx>
        <c:axId val="834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1167"/>
        <c:crosses val="autoZero"/>
        <c:auto val="1"/>
        <c:lblAlgn val="ctr"/>
        <c:lblOffset val="100"/>
        <c:noMultiLvlLbl val="0"/>
      </c:catAx>
      <c:valAx>
        <c:axId val="84702116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6155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by Category - Respond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Tier</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Summary!$B$25:$B$29</c:f>
              <c:strCache>
                <c:ptCount val="5"/>
                <c:pt idx="0">
                  <c:v>Response Planning (RS.RP)</c:v>
                </c:pt>
                <c:pt idx="1">
                  <c:v>Communications (RS.CO)</c:v>
                </c:pt>
                <c:pt idx="2">
                  <c:v>Analysis (RS.AN)</c:v>
                </c:pt>
                <c:pt idx="3">
                  <c:v>Mitigation (RS.MI)</c:v>
                </c:pt>
                <c:pt idx="4">
                  <c:v>Improvements (RS.IM)</c:v>
                </c:pt>
              </c:strCache>
            </c:strRef>
          </c:cat>
          <c:val>
            <c:numRef>
              <c:f>Summary!$C$25:$C$29</c:f>
              <c:numCache>
                <c:formatCode>0.00</c:formatCode>
                <c:ptCount val="5"/>
                <c:pt idx="0">
                  <c:v>2</c:v>
                </c:pt>
                <c:pt idx="1">
                  <c:v>2</c:v>
                </c:pt>
                <c:pt idx="2">
                  <c:v>1.8</c:v>
                </c:pt>
                <c:pt idx="3">
                  <c:v>1.6666666666666667</c:v>
                </c:pt>
                <c:pt idx="4">
                  <c:v>1.5</c:v>
                </c:pt>
              </c:numCache>
            </c:numRef>
          </c:val>
          <c:extLst>
            <c:ext xmlns:c16="http://schemas.microsoft.com/office/drawing/2014/chart" uri="{C3380CC4-5D6E-409C-BE32-E72D297353CC}">
              <c16:uniqueId val="{00000000-C1A9-4D4A-B7E8-2D4D2566B5F1}"/>
            </c:ext>
          </c:extLst>
        </c:ser>
        <c:ser>
          <c:idx val="1"/>
          <c:order val="1"/>
          <c:tx>
            <c:v>Target Tier</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Summary!$B$25:$B$29</c:f>
              <c:strCache>
                <c:ptCount val="5"/>
                <c:pt idx="0">
                  <c:v>Response Planning (RS.RP)</c:v>
                </c:pt>
                <c:pt idx="1">
                  <c:v>Communications (RS.CO)</c:v>
                </c:pt>
                <c:pt idx="2">
                  <c:v>Analysis (RS.AN)</c:v>
                </c:pt>
                <c:pt idx="3">
                  <c:v>Mitigation (RS.MI)</c:v>
                </c:pt>
                <c:pt idx="4">
                  <c:v>Improvements (RS.IM)</c:v>
                </c:pt>
              </c:strCache>
            </c:strRef>
          </c:cat>
          <c:val>
            <c:numRef>
              <c:f>Summary!$D$25:$D$29</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C1A9-4D4A-B7E8-2D4D2566B5F1}"/>
            </c:ext>
          </c:extLst>
        </c:ser>
        <c:dLbls>
          <c:showLegendKey val="0"/>
          <c:showVal val="0"/>
          <c:showCatName val="0"/>
          <c:showSerName val="0"/>
          <c:showPercent val="0"/>
          <c:showBubbleSize val="0"/>
        </c:dLbls>
        <c:gapWidth val="219"/>
        <c:overlap val="-27"/>
        <c:axId val="834261551"/>
        <c:axId val="847021167"/>
      </c:barChart>
      <c:catAx>
        <c:axId val="834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1167"/>
        <c:crosses val="autoZero"/>
        <c:auto val="1"/>
        <c:lblAlgn val="ctr"/>
        <c:lblOffset val="100"/>
        <c:noMultiLvlLbl val="0"/>
      </c:catAx>
      <c:valAx>
        <c:axId val="84702116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6155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by Category - Recover (RC)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Tier</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Summary!$B$30:$B$32</c:f>
              <c:strCache>
                <c:ptCount val="3"/>
                <c:pt idx="0">
                  <c:v>Recovery Planning (RC.RP)</c:v>
                </c:pt>
                <c:pt idx="1">
                  <c:v>Improvements (RC.IM)</c:v>
                </c:pt>
                <c:pt idx="2">
                  <c:v>Communications (RC.CO)</c:v>
                </c:pt>
              </c:strCache>
            </c:strRef>
          </c:cat>
          <c:val>
            <c:numRef>
              <c:f>Summary!$C$30:$C$32</c:f>
              <c:numCache>
                <c:formatCode>0.00</c:formatCode>
                <c:ptCount val="3"/>
                <c:pt idx="0">
                  <c:v>2</c:v>
                </c:pt>
                <c:pt idx="1">
                  <c:v>1</c:v>
                </c:pt>
                <c:pt idx="2">
                  <c:v>1.3333333333333333</c:v>
                </c:pt>
              </c:numCache>
            </c:numRef>
          </c:val>
          <c:extLst>
            <c:ext xmlns:c16="http://schemas.microsoft.com/office/drawing/2014/chart" uri="{C3380CC4-5D6E-409C-BE32-E72D297353CC}">
              <c16:uniqueId val="{00000000-8178-4F6E-8327-1EE8F144EDEF}"/>
            </c:ext>
          </c:extLst>
        </c:ser>
        <c:ser>
          <c:idx val="1"/>
          <c:order val="1"/>
          <c:tx>
            <c:v>Target Tier</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Summary!$B$30:$B$32</c:f>
              <c:strCache>
                <c:ptCount val="3"/>
                <c:pt idx="0">
                  <c:v>Recovery Planning (RC.RP)</c:v>
                </c:pt>
                <c:pt idx="1">
                  <c:v>Improvements (RC.IM)</c:v>
                </c:pt>
                <c:pt idx="2">
                  <c:v>Communications (RC.CO)</c:v>
                </c:pt>
              </c:strCache>
            </c:strRef>
          </c:cat>
          <c:val>
            <c:numRef>
              <c:f>Summary!$D$30:$D$32</c:f>
              <c:numCache>
                <c:formatCode>General</c:formatCode>
                <c:ptCount val="3"/>
                <c:pt idx="0">
                  <c:v>3</c:v>
                </c:pt>
                <c:pt idx="1">
                  <c:v>3</c:v>
                </c:pt>
                <c:pt idx="2">
                  <c:v>3</c:v>
                </c:pt>
              </c:numCache>
            </c:numRef>
          </c:val>
          <c:extLst>
            <c:ext xmlns:c16="http://schemas.microsoft.com/office/drawing/2014/chart" uri="{C3380CC4-5D6E-409C-BE32-E72D297353CC}">
              <c16:uniqueId val="{00000001-8178-4F6E-8327-1EE8F144EDEF}"/>
            </c:ext>
          </c:extLst>
        </c:ser>
        <c:dLbls>
          <c:showLegendKey val="0"/>
          <c:showVal val="0"/>
          <c:showCatName val="0"/>
          <c:showSerName val="0"/>
          <c:showPercent val="0"/>
          <c:showBubbleSize val="0"/>
        </c:dLbls>
        <c:gapWidth val="219"/>
        <c:overlap val="-27"/>
        <c:axId val="834261551"/>
        <c:axId val="847021167"/>
      </c:barChart>
      <c:catAx>
        <c:axId val="834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1167"/>
        <c:crosses val="autoZero"/>
        <c:auto val="1"/>
        <c:lblAlgn val="ctr"/>
        <c:lblOffset val="100"/>
        <c:noMultiLvlLbl val="0"/>
      </c:catAx>
      <c:valAx>
        <c:axId val="84702116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6155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723900</xdr:colOff>
      <xdr:row>13</xdr:row>
      <xdr:rowOff>361950</xdr:rowOff>
    </xdr:from>
    <xdr:to>
      <xdr:col>5</xdr:col>
      <xdr:colOff>630011</xdr:colOff>
      <xdr:row>17</xdr:row>
      <xdr:rowOff>277586</xdr:rowOff>
    </xdr:to>
    <xdr:pic>
      <xdr:nvPicPr>
        <xdr:cNvPr id="2" name="Picture 1">
          <a:extLst>
            <a:ext uri="{FF2B5EF4-FFF2-40B4-BE49-F238E27FC236}">
              <a16:creationId xmlns:a16="http://schemas.microsoft.com/office/drawing/2014/main" id="{7929A891-B8CF-486D-89C5-4487460745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2300" y="5133975"/>
          <a:ext cx="1363436" cy="1439636"/>
        </a:xfrm>
        <a:prstGeom prst="rect">
          <a:avLst/>
        </a:prstGeom>
      </xdr:spPr>
    </xdr:pic>
    <xdr:clientData/>
  </xdr:twoCellAnchor>
  <xdr:twoCellAnchor editAs="oneCell">
    <xdr:from>
      <xdr:col>4</xdr:col>
      <xdr:colOff>673100</xdr:colOff>
      <xdr:row>3</xdr:row>
      <xdr:rowOff>330200</xdr:rowOff>
    </xdr:from>
    <xdr:to>
      <xdr:col>6</xdr:col>
      <xdr:colOff>139700</xdr:colOff>
      <xdr:row>8</xdr:row>
      <xdr:rowOff>330200</xdr:rowOff>
    </xdr:to>
    <xdr:pic>
      <xdr:nvPicPr>
        <xdr:cNvPr id="3" name="Picture 2">
          <a:extLst>
            <a:ext uri="{FF2B5EF4-FFF2-40B4-BE49-F238E27FC236}">
              <a16:creationId xmlns:a16="http://schemas.microsoft.com/office/drawing/2014/main" id="{1822E8F7-5F21-45E3-8A0D-CA8B21D31A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11500" y="1292225"/>
          <a:ext cx="19050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0</xdr:row>
      <xdr:rowOff>171450</xdr:rowOff>
    </xdr:from>
    <xdr:to>
      <xdr:col>8</xdr:col>
      <xdr:colOff>609599</xdr:colOff>
      <xdr:row>16</xdr:row>
      <xdr:rowOff>0</xdr:rowOff>
    </xdr:to>
    <xdr:graphicFrame macro="">
      <xdr:nvGraphicFramePr>
        <xdr:cNvPr id="20" name="Chart 1">
          <a:extLst>
            <a:ext uri="{FF2B5EF4-FFF2-40B4-BE49-F238E27FC236}">
              <a16:creationId xmlns:a16="http://schemas.microsoft.com/office/drawing/2014/main" id="{CD5FDE1A-A358-4DCD-B0AB-BE0855261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600074</xdr:colOff>
      <xdr:row>17</xdr:row>
      <xdr:rowOff>0</xdr:rowOff>
    </xdr:from>
    <xdr:to>
      <xdr:col>8</xdr:col>
      <xdr:colOff>609599</xdr:colOff>
      <xdr:row>32</xdr:row>
      <xdr:rowOff>0</xdr:rowOff>
    </xdr:to>
    <xdr:graphicFrame macro="">
      <xdr:nvGraphicFramePr>
        <xdr:cNvPr id="30" name="Chart 2">
          <a:extLst>
            <a:ext uri="{FF2B5EF4-FFF2-40B4-BE49-F238E27FC236}">
              <a16:creationId xmlns:a16="http://schemas.microsoft.com/office/drawing/2014/main" id="{9C45BCF3-904D-4726-AEE8-1637E6107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0</xdr:rowOff>
    </xdr:from>
    <xdr:to>
      <xdr:col>9</xdr:col>
      <xdr:colOff>9525</xdr:colOff>
      <xdr:row>48</xdr:row>
      <xdr:rowOff>0</xdr:rowOff>
    </xdr:to>
    <xdr:graphicFrame macro="">
      <xdr:nvGraphicFramePr>
        <xdr:cNvPr id="25" name="Chart 3">
          <a:extLst>
            <a:ext uri="{FF2B5EF4-FFF2-40B4-BE49-F238E27FC236}">
              <a16:creationId xmlns:a16="http://schemas.microsoft.com/office/drawing/2014/main" id="{19BEFC88-B916-4419-9300-650EC5587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49</xdr:row>
      <xdr:rowOff>0</xdr:rowOff>
    </xdr:from>
    <xdr:to>
      <xdr:col>9</xdr:col>
      <xdr:colOff>9525</xdr:colOff>
      <xdr:row>64</xdr:row>
      <xdr:rowOff>0</xdr:rowOff>
    </xdr:to>
    <xdr:graphicFrame macro="">
      <xdr:nvGraphicFramePr>
        <xdr:cNvPr id="26" name="Chart 4">
          <a:extLst>
            <a:ext uri="{FF2B5EF4-FFF2-40B4-BE49-F238E27FC236}">
              <a16:creationId xmlns:a16="http://schemas.microsoft.com/office/drawing/2014/main" id="{27C7BF64-22F1-4447-9DE1-32065502F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65</xdr:row>
      <xdr:rowOff>0</xdr:rowOff>
    </xdr:from>
    <xdr:to>
      <xdr:col>9</xdr:col>
      <xdr:colOff>9525</xdr:colOff>
      <xdr:row>80</xdr:row>
      <xdr:rowOff>0</xdr:rowOff>
    </xdr:to>
    <xdr:graphicFrame macro="">
      <xdr:nvGraphicFramePr>
        <xdr:cNvPr id="29" name="Chart 5">
          <a:extLst>
            <a:ext uri="{FF2B5EF4-FFF2-40B4-BE49-F238E27FC236}">
              <a16:creationId xmlns:a16="http://schemas.microsoft.com/office/drawing/2014/main" id="{D07B36E4-A9A4-4427-89EB-F5DC2E68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81</xdr:row>
      <xdr:rowOff>0</xdr:rowOff>
    </xdr:from>
    <xdr:to>
      <xdr:col>9</xdr:col>
      <xdr:colOff>9525</xdr:colOff>
      <xdr:row>96</xdr:row>
      <xdr:rowOff>0</xdr:rowOff>
    </xdr:to>
    <xdr:graphicFrame macro="">
      <xdr:nvGraphicFramePr>
        <xdr:cNvPr id="28" name="Chart 6">
          <a:extLst>
            <a:ext uri="{FF2B5EF4-FFF2-40B4-BE49-F238E27FC236}">
              <a16:creationId xmlns:a16="http://schemas.microsoft.com/office/drawing/2014/main" id="{0CF2369B-358C-46C9-B0FC-727D83B65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495300</xdr:colOff>
      <xdr:row>0</xdr:row>
      <xdr:rowOff>0</xdr:rowOff>
    </xdr:from>
    <xdr:to>
      <xdr:col>8</xdr:col>
      <xdr:colOff>580736</xdr:colOff>
      <xdr:row>5</xdr:row>
      <xdr:rowOff>54518</xdr:rowOff>
    </xdr:to>
    <xdr:pic>
      <xdr:nvPicPr>
        <xdr:cNvPr id="12" name="Picture 1" descr="A picture containing green, player&#10;&#10;Description automatically generated">
          <a:extLst>
            <a:ext uri="{FF2B5EF4-FFF2-40B4-BE49-F238E27FC236}">
              <a16:creationId xmlns:a16="http://schemas.microsoft.com/office/drawing/2014/main" id="{41EDBE68-C61D-4F4B-834C-EFD3D91C71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34400" y="0"/>
          <a:ext cx="3133436" cy="2931068"/>
        </a:xfrm>
        <a:prstGeom prst="rect">
          <a:avLst/>
        </a:prstGeom>
      </xdr:spPr>
    </xdr:pic>
    <xdr:clientData/>
  </xdr:twoCellAnchor>
  <xdr:twoCellAnchor editAs="oneCell">
    <xdr:from>
      <xdr:col>3</xdr:col>
      <xdr:colOff>342901</xdr:colOff>
      <xdr:row>5</xdr:row>
      <xdr:rowOff>38100</xdr:rowOff>
    </xdr:from>
    <xdr:to>
      <xdr:col>9</xdr:col>
      <xdr:colOff>57151</xdr:colOff>
      <xdr:row>6</xdr:row>
      <xdr:rowOff>180975</xdr:rowOff>
    </xdr:to>
    <xdr:pic>
      <xdr:nvPicPr>
        <xdr:cNvPr id="13" name="Picture 2" descr="A screenshot of a cell phone&#10;&#10;Description automatically generated">
          <a:extLst>
            <a:ext uri="{FF2B5EF4-FFF2-40B4-BE49-F238E27FC236}">
              <a16:creationId xmlns:a16="http://schemas.microsoft.com/office/drawing/2014/main" id="{7C2A4A8D-B9C2-47B2-A5C5-9817F4EE40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82001" y="2847975"/>
          <a:ext cx="3371850" cy="3371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SecurityTeam/Shared%20Documents/Clients/Friendship%20Community/SRA%202021/GapAssessment_NIST/Edafio_FCC_NISTGapAssessment_DELIVER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ssessment"/>
      <sheetName val="Scoring"/>
      <sheetName val="Summary"/>
      <sheetName val="Charts"/>
      <sheetName val="CSF Overview"/>
      <sheetName val="KEY"/>
    </sheetNames>
    <sheetDataSet>
      <sheetData sheetId="0"/>
      <sheetData sheetId="1"/>
      <sheetData sheetId="2"/>
      <sheetData sheetId="3"/>
      <sheetData sheetId="4"/>
      <sheetData sheetId="5"/>
      <sheetData sheetId="6">
        <row r="3">
          <cell r="A3">
            <v>1</v>
          </cell>
          <cell r="D3" t="str">
            <v>Critical</v>
          </cell>
        </row>
        <row r="4">
          <cell r="A4">
            <v>2</v>
          </cell>
          <cell r="D4" t="str">
            <v>High</v>
          </cell>
        </row>
        <row r="5">
          <cell r="A5">
            <v>3</v>
          </cell>
          <cell r="D5" t="str">
            <v>Medium</v>
          </cell>
        </row>
        <row r="6">
          <cell r="A6">
            <v>4</v>
          </cell>
          <cell r="D6" t="str">
            <v>Low</v>
          </cell>
        </row>
        <row r="7">
          <cell r="A7" t="str">
            <v>N/A</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5B836-28C2-4613-BB89-98F0D7A671D9}" name="Tbl_Assess" displayName="Tbl_Assess" ref="A1:S109" totalsRowShown="0" headerRowDxfId="20" dataDxfId="19">
  <autoFilter ref="A1:S109" xr:uid="{8402F42F-004A-4AD5-9D84-EB15219C5FE1}"/>
  <tableColumns count="19">
    <tableColumn id="1" xr3:uid="{D126E9E3-02A9-49D3-961F-48233AC1AA2E}" name="Sort" dataDxfId="18"/>
    <tableColumn id="2" xr3:uid="{4089C8C6-7241-4305-9950-51A29CE5BDB0}" name="Function" dataDxfId="17"/>
    <tableColumn id="3" xr3:uid="{38B08C78-0AED-4FC4-83A5-AF42307FF3DD}" name="Function Desc." dataDxfId="16"/>
    <tableColumn id="4" xr3:uid="{70D7CDCC-9E6F-4FBA-9671-2D2DB2C3A9F2}" name="Category" dataDxfId="15"/>
    <tableColumn id="5" xr3:uid="{0E495FA9-DDCB-44FC-8E25-E8B563DC8EB6}" name="Category Desc." dataDxfId="14"/>
    <tableColumn id="6" xr3:uid="{E60A0589-DEE0-4F7E-9193-EF762F85D613}" name="Subcategory" dataDxfId="13"/>
    <tableColumn id="7" xr3:uid="{FABA29C5-FD4B-4AA2-99F7-39D542D64CB3}" name="SubCategory Desc." dataDxfId="12"/>
    <tableColumn id="8" xr3:uid="{B98F05FB-6E30-4B00-A86D-4D697A65FB19}" name="Discussion Elements" dataDxfId="11"/>
    <tableColumn id="9" xr3:uid="{F0E6472A-79C4-4C84-BD3A-5F0C09502DF6}" name="Interview Grouping" dataDxfId="10"/>
    <tableColumn id="10" xr3:uid="{6B1D30AB-9AA1-4AEC-812F-653DBF86A1A2}" name="Assessor Notes" dataDxfId="9"/>
    <tableColumn id="11" xr3:uid="{7C176D03-814E-4D51-87FF-4396EAF999F1}" name="Finding" dataDxfId="8"/>
    <tableColumn id="12" xr3:uid="{BA73C499-8C81-452B-904E-CE65A39834CF}" name="Assessed Tier" dataDxfId="7"/>
    <tableColumn id="13" xr3:uid="{2454030F-8D1A-410D-887F-C30B9BF03DED}" name="Priority" dataDxfId="6"/>
    <tableColumn id="14" xr3:uid="{AA64136C-221E-4D64-8853-B67C235A2933}" name="Ref:_x000a_CIS" dataDxfId="5"/>
    <tableColumn id="15" xr3:uid="{62F86DA6-A1E3-4AB4-9CD6-FA798F537E2C}" name="Ref:_x000a_ISO" dataDxfId="4"/>
    <tableColumn id="16" xr3:uid="{66537986-5467-4AA6-A101-DDF2FAC27D44}" name="Ref: _x000a_800-53 R4" dataDxfId="3"/>
    <tableColumn id="17" xr3:uid="{2471F9EB-0C60-4A93-9FD4-A9F5235B8118}" name="Ref:_x000a_HIPAA" dataDxfId="2"/>
    <tableColumn id="18" xr3:uid="{7C40BB5D-355B-4B25-8E64-4F65F0A6E0F2}" name="Ref: HITRUST" dataDxfId="1"/>
    <tableColumn id="19" xr3:uid="{6D4152F4-642B-4516-818A-BCF43D6C5134}" name="Ref:_x000a_COBIT 5"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framework"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EC2E-6EC1-41C2-9BD5-C8CA77543F25}">
  <sheetPr>
    <tabColor rgb="FF0076A8"/>
    <pageSetUpPr fitToPage="1"/>
  </sheetPr>
  <dimension ref="D1:M91"/>
  <sheetViews>
    <sheetView showGridLines="0" zoomScaleNormal="100" workbookViewId="0">
      <selection activeCell="L3" sqref="L3"/>
    </sheetView>
  </sheetViews>
  <sheetFormatPr defaultColWidth="9.140625" defaultRowHeight="15"/>
  <cols>
    <col min="1" max="4" width="9.140625" style="1"/>
    <col min="5" max="5" width="21.85546875" style="1" bestFit="1" customWidth="1"/>
    <col min="6" max="7" width="14.7109375" style="1" customWidth="1"/>
    <col min="8" max="16384" width="9.140625" style="1"/>
  </cols>
  <sheetData>
    <row r="1" spans="4:8" ht="15.75" thickBot="1"/>
    <row r="2" spans="4:8" ht="30" customHeight="1" thickTop="1">
      <c r="D2" s="93"/>
      <c r="E2" s="105" t="s">
        <v>1</v>
      </c>
      <c r="F2" s="106"/>
      <c r="G2" s="106"/>
      <c r="H2" s="94"/>
    </row>
    <row r="3" spans="4:8" ht="30" customHeight="1">
      <c r="D3" s="95"/>
      <c r="E3" s="96" t="s">
        <v>952</v>
      </c>
      <c r="H3" s="97"/>
    </row>
    <row r="4" spans="4:8" ht="30" customHeight="1">
      <c r="D4" s="95"/>
      <c r="E4" s="96"/>
      <c r="H4" s="97"/>
    </row>
    <row r="5" spans="4:8" ht="30" customHeight="1">
      <c r="D5" s="95"/>
      <c r="H5" s="97"/>
    </row>
    <row r="6" spans="4:8" ht="30" customHeight="1">
      <c r="D6" s="95"/>
      <c r="H6" s="97"/>
    </row>
    <row r="7" spans="4:8" ht="30" customHeight="1">
      <c r="D7" s="95"/>
      <c r="H7" s="97"/>
    </row>
    <row r="8" spans="4:8" ht="30" customHeight="1">
      <c r="D8" s="95"/>
      <c r="H8" s="97"/>
    </row>
    <row r="9" spans="4:8" ht="30" customHeight="1">
      <c r="D9" s="95"/>
      <c r="H9" s="97"/>
    </row>
    <row r="10" spans="4:8" ht="30" customHeight="1">
      <c r="D10" s="95"/>
      <c r="H10" s="97"/>
    </row>
    <row r="11" spans="4:8" ht="30" customHeight="1">
      <c r="D11" s="95"/>
      <c r="E11" s="98" t="s">
        <v>953</v>
      </c>
      <c r="F11" s="98" t="s">
        <v>954</v>
      </c>
      <c r="G11" s="98"/>
      <c r="H11" s="97"/>
    </row>
    <row r="12" spans="4:8" ht="30" customHeight="1">
      <c r="D12" s="95"/>
      <c r="E12" s="98" t="s">
        <v>955</v>
      </c>
      <c r="F12" s="98" t="s">
        <v>956</v>
      </c>
      <c r="G12" s="98"/>
      <c r="H12" s="97"/>
    </row>
    <row r="13" spans="4:8" ht="30" customHeight="1">
      <c r="D13" s="95"/>
      <c r="E13" s="98" t="s">
        <v>957</v>
      </c>
      <c r="F13" s="98">
        <v>3</v>
      </c>
      <c r="G13" s="98"/>
      <c r="H13" s="97"/>
    </row>
    <row r="14" spans="4:8" ht="30" customHeight="1">
      <c r="D14" s="95"/>
      <c r="F14" s="26"/>
      <c r="H14" s="97"/>
    </row>
    <row r="15" spans="4:8" ht="30" customHeight="1">
      <c r="D15" s="95"/>
      <c r="H15" s="97"/>
    </row>
    <row r="16" spans="4:8" ht="30" customHeight="1">
      <c r="D16" s="95"/>
      <c r="H16" s="97"/>
    </row>
    <row r="17" spans="4:13" ht="30" customHeight="1">
      <c r="D17" s="95"/>
      <c r="H17" s="97"/>
    </row>
    <row r="18" spans="4:13" ht="30" customHeight="1" thickBot="1">
      <c r="D18" s="99"/>
      <c r="E18" s="100"/>
      <c r="F18" s="100"/>
      <c r="G18" s="100"/>
      <c r="H18" s="101"/>
    </row>
    <row r="19" spans="4:13" ht="30" customHeight="1" thickTop="1"/>
    <row r="20" spans="4:13" ht="30" customHeight="1">
      <c r="M20" s="60"/>
    </row>
    <row r="21" spans="4:13" ht="30" customHeight="1"/>
    <row r="22" spans="4:13" ht="30" customHeight="1"/>
    <row r="23" spans="4:13" ht="30" customHeight="1"/>
    <row r="24" spans="4:13" ht="30" customHeight="1"/>
    <row r="25" spans="4:13" ht="30" customHeight="1"/>
    <row r="26" spans="4:13" ht="30" customHeight="1"/>
    <row r="27" spans="4:13" ht="30" customHeight="1"/>
    <row r="28" spans="4:13" ht="30" customHeight="1"/>
    <row r="29" spans="4:13" ht="30" customHeight="1"/>
    <row r="30" spans="4:13" ht="30" customHeight="1"/>
    <row r="31" spans="4:13" ht="30" customHeight="1"/>
    <row r="32" spans="4:13"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sheetData>
  <mergeCells count="1">
    <mergeCell ref="E2:G2"/>
  </mergeCells>
  <dataValidations count="1">
    <dataValidation type="list" allowBlank="1" showInputMessage="1" showErrorMessage="1" sqref="F13" xr:uid="{0DEFC40D-B60B-4F28-A9DB-B9465E63F614}">
      <formula1>"1,2,3,4"</formula1>
    </dataValidation>
  </dataValidations>
  <pageMargins left="0.25" right="0.25"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09"/>
  <sheetViews>
    <sheetView showGridLines="0" topLeftCell="F1" zoomScaleNormal="100" workbookViewId="0">
      <pane ySplit="1" topLeftCell="A44" activePane="bottomLeft" state="frozen"/>
      <selection pane="bottomLeft" activeCell="K47" sqref="K47"/>
    </sheetView>
  </sheetViews>
  <sheetFormatPr defaultColWidth="9.140625" defaultRowHeight="15"/>
  <cols>
    <col min="1" max="1" width="8.85546875" style="2" customWidth="1"/>
    <col min="2" max="2" width="10.85546875" style="2" customWidth="1"/>
    <col min="3" max="3" width="16" style="2" customWidth="1"/>
    <col min="4" max="4" width="11" style="2" customWidth="1"/>
    <col min="5" max="5" width="62" style="47" customWidth="1"/>
    <col min="6" max="6" width="14.140625" style="2" bestFit="1" customWidth="1"/>
    <col min="7" max="7" width="38.7109375" style="2" customWidth="1"/>
    <col min="8" max="8" width="39.42578125" style="2" customWidth="1"/>
    <col min="9" max="9" width="22.5703125" style="2" customWidth="1"/>
    <col min="10" max="10" width="52.140625" style="2" customWidth="1"/>
    <col min="11" max="11" width="63.28515625" style="2" customWidth="1"/>
    <col min="12" max="12" width="10.28515625" style="9" customWidth="1"/>
    <col min="13" max="13" width="9.7109375" style="2" customWidth="1"/>
    <col min="14" max="16" width="10.7109375" style="2" customWidth="1"/>
    <col min="17" max="17" width="30.7109375" style="2" customWidth="1"/>
    <col min="18" max="19" width="10.7109375" style="2" customWidth="1"/>
    <col min="20" max="16384" width="9.140625" style="2"/>
  </cols>
  <sheetData>
    <row r="1" spans="1:19" s="3" customFormat="1" ht="54.95" customHeight="1">
      <c r="A1" s="3" t="s">
        <v>0</v>
      </c>
      <c r="B1" s="3" t="s">
        <v>2</v>
      </c>
      <c r="C1" s="3" t="s">
        <v>434</v>
      </c>
      <c r="D1" s="3" t="s">
        <v>3</v>
      </c>
      <c r="E1" s="46" t="s">
        <v>4</v>
      </c>
      <c r="F1" s="3" t="s">
        <v>433</v>
      </c>
      <c r="G1" s="3" t="s">
        <v>5</v>
      </c>
      <c r="H1" s="3" t="s">
        <v>6</v>
      </c>
      <c r="I1" s="3" t="s">
        <v>445</v>
      </c>
      <c r="J1" s="3" t="s">
        <v>7</v>
      </c>
      <c r="K1" s="3" t="s">
        <v>446</v>
      </c>
      <c r="L1" s="10" t="s">
        <v>447</v>
      </c>
      <c r="M1" s="3" t="s">
        <v>8</v>
      </c>
      <c r="N1" s="45" t="s">
        <v>717</v>
      </c>
      <c r="O1" s="45" t="s">
        <v>718</v>
      </c>
      <c r="P1" s="45" t="s">
        <v>904</v>
      </c>
      <c r="Q1" s="45" t="s">
        <v>719</v>
      </c>
      <c r="R1" s="45" t="s">
        <v>601</v>
      </c>
      <c r="S1" s="45" t="s">
        <v>720</v>
      </c>
    </row>
    <row r="2" spans="1:19" s="3" customFormat="1" ht="80.099999999999994" customHeight="1">
      <c r="A2" s="3" t="s">
        <v>9</v>
      </c>
      <c r="B2" s="27" t="s">
        <v>436</v>
      </c>
      <c r="C2" s="27" t="s">
        <v>435</v>
      </c>
      <c r="D2" s="28" t="s">
        <v>10</v>
      </c>
      <c r="E2" s="48" t="s">
        <v>11</v>
      </c>
      <c r="F2" s="29" t="s">
        <v>12</v>
      </c>
      <c r="G2" s="4" t="s">
        <v>13</v>
      </c>
      <c r="H2" s="3" t="s">
        <v>14</v>
      </c>
      <c r="I2" s="3" t="s">
        <v>15</v>
      </c>
      <c r="K2" s="3" t="s">
        <v>17</v>
      </c>
      <c r="L2" s="10">
        <v>1</v>
      </c>
      <c r="M2" s="3" t="s">
        <v>18</v>
      </c>
      <c r="N2" s="42" t="s">
        <v>459</v>
      </c>
      <c r="O2" s="43" t="s">
        <v>602</v>
      </c>
      <c r="P2" s="3" t="s">
        <v>503</v>
      </c>
      <c r="Q2" s="3" t="s">
        <v>715</v>
      </c>
      <c r="S2" s="3" t="s">
        <v>662</v>
      </c>
    </row>
    <row r="3" spans="1:19" s="3" customFormat="1" ht="80.099999999999994" customHeight="1">
      <c r="A3" s="3" t="s">
        <v>19</v>
      </c>
      <c r="B3" s="27" t="s">
        <v>436</v>
      </c>
      <c r="C3" s="27" t="s">
        <v>435</v>
      </c>
      <c r="D3" s="28" t="s">
        <v>10</v>
      </c>
      <c r="E3" s="48" t="s">
        <v>11</v>
      </c>
      <c r="F3" s="29" t="s">
        <v>20</v>
      </c>
      <c r="G3" s="4" t="s">
        <v>21</v>
      </c>
      <c r="I3" s="3" t="s">
        <v>15</v>
      </c>
      <c r="K3" s="3" t="s">
        <v>23</v>
      </c>
      <c r="L3" s="10">
        <v>2</v>
      </c>
      <c r="M3" s="3" t="s">
        <v>18</v>
      </c>
      <c r="N3" s="42" t="s">
        <v>460</v>
      </c>
      <c r="O3" s="43" t="s">
        <v>602</v>
      </c>
      <c r="P3" s="3" t="s">
        <v>504</v>
      </c>
      <c r="Q3" s="3" t="s">
        <v>716</v>
      </c>
      <c r="S3" s="3" t="s">
        <v>663</v>
      </c>
    </row>
    <row r="4" spans="1:19" s="3" customFormat="1" ht="80.099999999999994" customHeight="1">
      <c r="A4" s="3" t="s">
        <v>24</v>
      </c>
      <c r="B4" s="27" t="s">
        <v>436</v>
      </c>
      <c r="C4" s="27" t="s">
        <v>435</v>
      </c>
      <c r="D4" s="28" t="s">
        <v>10</v>
      </c>
      <c r="E4" s="48" t="s">
        <v>11</v>
      </c>
      <c r="F4" s="29" t="s">
        <v>25</v>
      </c>
      <c r="G4" s="4" t="s">
        <v>26</v>
      </c>
      <c r="H4" s="3" t="s">
        <v>726</v>
      </c>
      <c r="I4" s="3" t="s">
        <v>27</v>
      </c>
      <c r="K4" s="3" t="s">
        <v>28</v>
      </c>
      <c r="L4" s="10">
        <v>1</v>
      </c>
      <c r="M4" s="3" t="s">
        <v>29</v>
      </c>
      <c r="N4" s="42" t="s">
        <v>461</v>
      </c>
      <c r="O4" s="43" t="s">
        <v>603</v>
      </c>
      <c r="P4" s="3" t="s">
        <v>505</v>
      </c>
      <c r="Q4" s="3" t="s">
        <v>721</v>
      </c>
      <c r="S4" s="3" t="s">
        <v>664</v>
      </c>
    </row>
    <row r="5" spans="1:19" s="3" customFormat="1" ht="80.099999999999994" customHeight="1">
      <c r="A5" s="3" t="s">
        <v>30</v>
      </c>
      <c r="B5" s="27" t="s">
        <v>436</v>
      </c>
      <c r="C5" s="27" t="s">
        <v>435</v>
      </c>
      <c r="D5" s="28" t="s">
        <v>10</v>
      </c>
      <c r="E5" s="48" t="s">
        <v>11</v>
      </c>
      <c r="F5" s="29" t="s">
        <v>31</v>
      </c>
      <c r="G5" s="4" t="s">
        <v>32</v>
      </c>
      <c r="H5" s="3" t="s">
        <v>33</v>
      </c>
      <c r="I5" s="3" t="s">
        <v>15</v>
      </c>
      <c r="K5" s="3" t="s">
        <v>34</v>
      </c>
      <c r="L5" s="10">
        <v>2</v>
      </c>
      <c r="M5" s="3" t="s">
        <v>35</v>
      </c>
      <c r="N5" s="42" t="s">
        <v>461</v>
      </c>
      <c r="O5" s="43" t="s">
        <v>604</v>
      </c>
      <c r="P5" s="3" t="s">
        <v>506</v>
      </c>
      <c r="Q5" s="3" t="s">
        <v>722</v>
      </c>
      <c r="S5" s="3" t="s">
        <v>665</v>
      </c>
    </row>
    <row r="6" spans="1:19" s="3" customFormat="1" ht="80.099999999999994" customHeight="1">
      <c r="A6" s="3" t="s">
        <v>36</v>
      </c>
      <c r="B6" s="27" t="s">
        <v>436</v>
      </c>
      <c r="C6" s="27" t="s">
        <v>435</v>
      </c>
      <c r="D6" s="28" t="s">
        <v>10</v>
      </c>
      <c r="E6" s="48" t="s">
        <v>11</v>
      </c>
      <c r="F6" s="29" t="s">
        <v>37</v>
      </c>
      <c r="G6" s="4" t="s">
        <v>38</v>
      </c>
      <c r="H6" s="3" t="s">
        <v>39</v>
      </c>
      <c r="I6" s="3" t="s">
        <v>27</v>
      </c>
      <c r="K6" s="3" t="s">
        <v>40</v>
      </c>
      <c r="L6" s="10">
        <v>1</v>
      </c>
      <c r="M6" s="3" t="s">
        <v>18</v>
      </c>
      <c r="N6" s="42" t="s">
        <v>462</v>
      </c>
      <c r="O6" s="43" t="s">
        <v>605</v>
      </c>
      <c r="P6" s="3" t="s">
        <v>507</v>
      </c>
      <c r="Q6" s="3" t="s">
        <v>723</v>
      </c>
      <c r="S6" s="3" t="s">
        <v>666</v>
      </c>
    </row>
    <row r="7" spans="1:19" s="3" customFormat="1" ht="80.099999999999994" customHeight="1">
      <c r="A7" s="3" t="s">
        <v>41</v>
      </c>
      <c r="B7" s="27" t="s">
        <v>436</v>
      </c>
      <c r="C7" s="27" t="s">
        <v>435</v>
      </c>
      <c r="D7" s="28" t="s">
        <v>10</v>
      </c>
      <c r="E7" s="48" t="s">
        <v>11</v>
      </c>
      <c r="F7" s="29" t="s">
        <v>42</v>
      </c>
      <c r="G7" s="4" t="s">
        <v>43</v>
      </c>
      <c r="H7" s="3" t="s">
        <v>44</v>
      </c>
      <c r="I7" s="3" t="s">
        <v>27</v>
      </c>
      <c r="K7" s="3" t="s">
        <v>45</v>
      </c>
      <c r="L7" s="10">
        <v>1</v>
      </c>
      <c r="M7" s="3" t="s">
        <v>29</v>
      </c>
      <c r="N7" s="42" t="s">
        <v>463</v>
      </c>
      <c r="O7" s="43" t="s">
        <v>606</v>
      </c>
      <c r="P7" s="3" t="s">
        <v>508</v>
      </c>
      <c r="Q7" s="3" t="s">
        <v>724</v>
      </c>
      <c r="S7" s="3" t="s">
        <v>667</v>
      </c>
    </row>
    <row r="8" spans="1:19" s="3" customFormat="1" ht="80.099999999999994" customHeight="1">
      <c r="A8" s="3" t="s">
        <v>46</v>
      </c>
      <c r="B8" s="27" t="s">
        <v>436</v>
      </c>
      <c r="C8" s="27" t="s">
        <v>435</v>
      </c>
      <c r="D8" s="28" t="s">
        <v>47</v>
      </c>
      <c r="E8" s="48" t="s">
        <v>48</v>
      </c>
      <c r="F8" s="29" t="s">
        <v>49</v>
      </c>
      <c r="G8" s="4" t="s">
        <v>50</v>
      </c>
      <c r="H8" s="3" t="s">
        <v>51</v>
      </c>
      <c r="I8" s="3" t="s">
        <v>27</v>
      </c>
      <c r="K8" s="3" t="s">
        <v>52</v>
      </c>
      <c r="L8" s="10">
        <v>2</v>
      </c>
      <c r="M8" s="3" t="s">
        <v>18</v>
      </c>
      <c r="N8" s="43"/>
      <c r="O8" s="43" t="s">
        <v>607</v>
      </c>
      <c r="P8" s="3" t="s">
        <v>509</v>
      </c>
      <c r="Q8" s="3" t="s">
        <v>725</v>
      </c>
      <c r="S8" s="3" t="s">
        <v>668</v>
      </c>
    </row>
    <row r="9" spans="1:19" s="3" customFormat="1" ht="80.099999999999994" customHeight="1">
      <c r="A9" s="3" t="s">
        <v>53</v>
      </c>
      <c r="B9" s="27" t="s">
        <v>436</v>
      </c>
      <c r="C9" s="27" t="s">
        <v>435</v>
      </c>
      <c r="D9" s="28" t="s">
        <v>47</v>
      </c>
      <c r="E9" s="48" t="s">
        <v>48</v>
      </c>
      <c r="F9" s="29" t="s">
        <v>54</v>
      </c>
      <c r="G9" s="4" t="s">
        <v>55</v>
      </c>
      <c r="I9" s="3" t="s">
        <v>27</v>
      </c>
      <c r="K9" s="3" t="s">
        <v>56</v>
      </c>
      <c r="L9" s="10">
        <v>2</v>
      </c>
      <c r="M9" s="3" t="s">
        <v>18</v>
      </c>
      <c r="N9" s="43"/>
      <c r="O9" s="43"/>
      <c r="P9" s="3" t="s">
        <v>510</v>
      </c>
      <c r="Q9" s="3" t="s">
        <v>725</v>
      </c>
      <c r="S9" s="3" t="s">
        <v>669</v>
      </c>
    </row>
    <row r="10" spans="1:19" s="3" customFormat="1" ht="80.099999999999994" customHeight="1">
      <c r="A10" s="3" t="s">
        <v>57</v>
      </c>
      <c r="B10" s="27" t="s">
        <v>436</v>
      </c>
      <c r="C10" s="27" t="s">
        <v>435</v>
      </c>
      <c r="D10" s="28" t="s">
        <v>47</v>
      </c>
      <c r="E10" s="48" t="s">
        <v>48</v>
      </c>
      <c r="F10" s="29" t="s">
        <v>58</v>
      </c>
      <c r="G10" s="4" t="s">
        <v>59</v>
      </c>
      <c r="H10" s="3" t="s">
        <v>60</v>
      </c>
      <c r="I10" s="3" t="s">
        <v>27</v>
      </c>
      <c r="K10" s="3" t="s">
        <v>61</v>
      </c>
      <c r="L10" s="10">
        <v>2</v>
      </c>
      <c r="M10" s="3" t="s">
        <v>35</v>
      </c>
      <c r="N10" s="43"/>
      <c r="O10" s="43"/>
      <c r="P10" s="3" t="s">
        <v>511</v>
      </c>
      <c r="Q10" s="3" t="s">
        <v>825</v>
      </c>
      <c r="S10" s="3" t="s">
        <v>670</v>
      </c>
    </row>
    <row r="11" spans="1:19" s="3" customFormat="1" ht="80.099999999999994" customHeight="1">
      <c r="A11" s="3" t="s">
        <v>62</v>
      </c>
      <c r="B11" s="27" t="s">
        <v>436</v>
      </c>
      <c r="C11" s="27" t="s">
        <v>435</v>
      </c>
      <c r="D11" s="28" t="s">
        <v>47</v>
      </c>
      <c r="E11" s="48" t="s">
        <v>48</v>
      </c>
      <c r="F11" s="29" t="s">
        <v>63</v>
      </c>
      <c r="G11" s="4" t="s">
        <v>64</v>
      </c>
      <c r="I11" s="3" t="s">
        <v>65</v>
      </c>
      <c r="K11" s="3" t="s">
        <v>66</v>
      </c>
      <c r="L11" s="10">
        <v>1</v>
      </c>
      <c r="M11" s="3" t="s">
        <v>35</v>
      </c>
      <c r="N11" s="43"/>
      <c r="O11" s="43" t="s">
        <v>608</v>
      </c>
      <c r="P11" s="3" t="s">
        <v>512</v>
      </c>
      <c r="Q11" s="3" t="s">
        <v>826</v>
      </c>
    </row>
    <row r="12" spans="1:19" s="3" customFormat="1" ht="80.099999999999994" customHeight="1">
      <c r="A12" s="3" t="s">
        <v>67</v>
      </c>
      <c r="B12" s="27" t="s">
        <v>436</v>
      </c>
      <c r="C12" s="27" t="s">
        <v>435</v>
      </c>
      <c r="D12" s="28" t="s">
        <v>47</v>
      </c>
      <c r="E12" s="48" t="s">
        <v>48</v>
      </c>
      <c r="F12" s="29" t="s">
        <v>68</v>
      </c>
      <c r="G12" s="4" t="s">
        <v>69</v>
      </c>
      <c r="I12" s="3" t="s">
        <v>65</v>
      </c>
      <c r="K12" s="3" t="s">
        <v>70</v>
      </c>
      <c r="L12" s="10">
        <v>1</v>
      </c>
      <c r="M12" s="3" t="s">
        <v>35</v>
      </c>
      <c r="N12" s="43"/>
      <c r="O12" s="43" t="s">
        <v>609</v>
      </c>
      <c r="P12" s="3" t="s">
        <v>513</v>
      </c>
      <c r="Q12" s="3" t="s">
        <v>827</v>
      </c>
      <c r="S12" s="3" t="s">
        <v>671</v>
      </c>
    </row>
    <row r="13" spans="1:19" s="3" customFormat="1" ht="80.099999999999994" customHeight="1">
      <c r="A13" s="3" t="s">
        <v>71</v>
      </c>
      <c r="B13" s="27" t="s">
        <v>436</v>
      </c>
      <c r="C13" s="27" t="s">
        <v>435</v>
      </c>
      <c r="D13" s="28" t="s">
        <v>72</v>
      </c>
      <c r="E13" s="48" t="s">
        <v>73</v>
      </c>
      <c r="F13" s="29" t="s">
        <v>74</v>
      </c>
      <c r="G13" s="4" t="s">
        <v>75</v>
      </c>
      <c r="I13" s="3" t="s">
        <v>27</v>
      </c>
      <c r="K13" s="3" t="s">
        <v>76</v>
      </c>
      <c r="L13" s="10">
        <v>1</v>
      </c>
      <c r="M13" s="3" t="s">
        <v>29</v>
      </c>
      <c r="N13" s="42" t="s">
        <v>464</v>
      </c>
      <c r="O13" s="43" t="s">
        <v>610</v>
      </c>
      <c r="P13" s="3" t="s">
        <v>514</v>
      </c>
      <c r="Q13" s="3" t="s">
        <v>828</v>
      </c>
      <c r="S13" s="3" t="s">
        <v>672</v>
      </c>
    </row>
    <row r="14" spans="1:19" s="3" customFormat="1" ht="80.099999999999994" customHeight="1">
      <c r="A14" s="3" t="s">
        <v>77</v>
      </c>
      <c r="B14" s="27" t="s">
        <v>436</v>
      </c>
      <c r="C14" s="27" t="s">
        <v>435</v>
      </c>
      <c r="D14" s="28" t="s">
        <v>72</v>
      </c>
      <c r="E14" s="48" t="s">
        <v>73</v>
      </c>
      <c r="F14" s="29" t="s">
        <v>78</v>
      </c>
      <c r="G14" s="4" t="s">
        <v>79</v>
      </c>
      <c r="I14" s="3" t="s">
        <v>27</v>
      </c>
      <c r="K14" s="3" t="s">
        <v>80</v>
      </c>
      <c r="L14" s="10">
        <v>2</v>
      </c>
      <c r="M14" s="3" t="s">
        <v>29</v>
      </c>
      <c r="N14" s="42" t="s">
        <v>464</v>
      </c>
      <c r="O14" s="43" t="s">
        <v>611</v>
      </c>
      <c r="P14" s="3" t="s">
        <v>515</v>
      </c>
      <c r="Q14" s="3" t="s">
        <v>829</v>
      </c>
      <c r="S14" s="3" t="s">
        <v>673</v>
      </c>
    </row>
    <row r="15" spans="1:19" s="3" customFormat="1" ht="80.099999999999994" customHeight="1">
      <c r="A15" s="3" t="s">
        <v>81</v>
      </c>
      <c r="B15" s="27" t="s">
        <v>436</v>
      </c>
      <c r="C15" s="27" t="s">
        <v>435</v>
      </c>
      <c r="D15" s="28" t="s">
        <v>72</v>
      </c>
      <c r="E15" s="48" t="s">
        <v>73</v>
      </c>
      <c r="F15" s="29" t="s">
        <v>82</v>
      </c>
      <c r="G15" s="4" t="s">
        <v>83</v>
      </c>
      <c r="H15" s="3" t="s">
        <v>84</v>
      </c>
      <c r="I15" s="3" t="s">
        <v>27</v>
      </c>
      <c r="K15" s="3" t="s">
        <v>729</v>
      </c>
      <c r="L15" s="10">
        <v>2</v>
      </c>
      <c r="M15" s="3" t="s">
        <v>29</v>
      </c>
      <c r="N15" s="42" t="s">
        <v>464</v>
      </c>
      <c r="O15" s="43" t="s">
        <v>612</v>
      </c>
      <c r="P15" s="3" t="s">
        <v>516</v>
      </c>
      <c r="Q15" s="3" t="s">
        <v>830</v>
      </c>
      <c r="S15" s="3" t="s">
        <v>674</v>
      </c>
    </row>
    <row r="16" spans="1:19" s="3" customFormat="1" ht="80.099999999999994" customHeight="1">
      <c r="A16" s="3" t="s">
        <v>85</v>
      </c>
      <c r="B16" s="27" t="s">
        <v>436</v>
      </c>
      <c r="C16" s="27" t="s">
        <v>435</v>
      </c>
      <c r="D16" s="28" t="s">
        <v>72</v>
      </c>
      <c r="E16" s="48" t="s">
        <v>73</v>
      </c>
      <c r="F16" s="29" t="s">
        <v>86</v>
      </c>
      <c r="G16" s="4" t="s">
        <v>87</v>
      </c>
      <c r="H16" s="3" t="s">
        <v>88</v>
      </c>
      <c r="I16" s="3" t="s">
        <v>27</v>
      </c>
      <c r="K16" s="3" t="s">
        <v>730</v>
      </c>
      <c r="L16" s="10">
        <v>1</v>
      </c>
      <c r="M16" s="3" t="s">
        <v>29</v>
      </c>
      <c r="N16" s="43"/>
      <c r="O16" s="43"/>
      <c r="P16" s="3" t="s">
        <v>517</v>
      </c>
      <c r="Q16" s="3" t="s">
        <v>831</v>
      </c>
      <c r="S16" s="3" t="s">
        <v>671</v>
      </c>
    </row>
    <row r="17" spans="1:19" s="3" customFormat="1" ht="80.099999999999994" customHeight="1">
      <c r="A17" s="3" t="s">
        <v>89</v>
      </c>
      <c r="B17" s="27" t="s">
        <v>436</v>
      </c>
      <c r="C17" s="27" t="s">
        <v>435</v>
      </c>
      <c r="D17" s="28" t="s">
        <v>90</v>
      </c>
      <c r="E17" s="48" t="s">
        <v>91</v>
      </c>
      <c r="F17" s="29" t="s">
        <v>92</v>
      </c>
      <c r="G17" s="4" t="s">
        <v>93</v>
      </c>
      <c r="H17" s="3" t="s">
        <v>94</v>
      </c>
      <c r="I17" s="3" t="s">
        <v>95</v>
      </c>
      <c r="K17" s="3" t="s">
        <v>731</v>
      </c>
      <c r="L17" s="10">
        <v>2</v>
      </c>
      <c r="M17" s="3" t="s">
        <v>29</v>
      </c>
      <c r="N17" s="42" t="s">
        <v>465</v>
      </c>
      <c r="O17" s="43" t="s">
        <v>613</v>
      </c>
      <c r="P17" s="3" t="s">
        <v>518</v>
      </c>
      <c r="Q17" s="3" t="s">
        <v>832</v>
      </c>
      <c r="S17" s="3" t="s">
        <v>675</v>
      </c>
    </row>
    <row r="18" spans="1:19" s="3" customFormat="1" ht="80.099999999999994" customHeight="1">
      <c r="A18" s="3" t="s">
        <v>96</v>
      </c>
      <c r="B18" s="27" t="s">
        <v>436</v>
      </c>
      <c r="C18" s="27" t="s">
        <v>435</v>
      </c>
      <c r="D18" s="28" t="s">
        <v>90</v>
      </c>
      <c r="E18" s="48" t="s">
        <v>91</v>
      </c>
      <c r="F18" s="29" t="s">
        <v>97</v>
      </c>
      <c r="G18" s="4" t="s">
        <v>98</v>
      </c>
      <c r="I18" s="3" t="s">
        <v>95</v>
      </c>
      <c r="K18" s="3" t="s">
        <v>732</v>
      </c>
      <c r="L18" s="10">
        <v>1</v>
      </c>
      <c r="M18" s="3" t="s">
        <v>18</v>
      </c>
      <c r="N18" s="42" t="s">
        <v>465</v>
      </c>
      <c r="O18" s="43" t="s">
        <v>614</v>
      </c>
      <c r="P18" s="3" t="s">
        <v>519</v>
      </c>
    </row>
    <row r="19" spans="1:19" s="3" customFormat="1" ht="80.099999999999994" customHeight="1">
      <c r="A19" s="3" t="s">
        <v>99</v>
      </c>
      <c r="B19" s="27" t="s">
        <v>436</v>
      </c>
      <c r="C19" s="27" t="s">
        <v>435</v>
      </c>
      <c r="D19" s="28" t="s">
        <v>90</v>
      </c>
      <c r="E19" s="48" t="s">
        <v>91</v>
      </c>
      <c r="F19" s="29" t="s">
        <v>100</v>
      </c>
      <c r="G19" s="4" t="s">
        <v>101</v>
      </c>
      <c r="H19" s="3" t="s">
        <v>102</v>
      </c>
      <c r="I19" s="3" t="s">
        <v>95</v>
      </c>
      <c r="K19" s="3" t="s">
        <v>733</v>
      </c>
      <c r="L19" s="10">
        <v>1</v>
      </c>
      <c r="M19" s="3" t="s">
        <v>29</v>
      </c>
      <c r="N19" s="42" t="s">
        <v>465</v>
      </c>
      <c r="O19" s="43"/>
      <c r="P19" s="3" t="s">
        <v>520</v>
      </c>
      <c r="Q19" s="3" t="s">
        <v>833</v>
      </c>
      <c r="S19" s="3" t="s">
        <v>675</v>
      </c>
    </row>
    <row r="20" spans="1:19" s="3" customFormat="1" ht="80.099999999999994" customHeight="1">
      <c r="A20" s="3" t="s">
        <v>103</v>
      </c>
      <c r="B20" s="27" t="s">
        <v>436</v>
      </c>
      <c r="C20" s="27" t="s">
        <v>435</v>
      </c>
      <c r="D20" s="28" t="s">
        <v>90</v>
      </c>
      <c r="E20" s="48" t="s">
        <v>91</v>
      </c>
      <c r="F20" s="29" t="s">
        <v>104</v>
      </c>
      <c r="G20" s="4" t="s">
        <v>105</v>
      </c>
      <c r="I20" s="3" t="s">
        <v>95</v>
      </c>
      <c r="K20" s="3" t="s">
        <v>734</v>
      </c>
      <c r="L20" s="10">
        <v>1</v>
      </c>
      <c r="M20" s="3" t="s">
        <v>29</v>
      </c>
      <c r="N20" s="42" t="s">
        <v>465</v>
      </c>
      <c r="O20" s="43"/>
      <c r="P20" s="3" t="s">
        <v>521</v>
      </c>
      <c r="Q20" s="3" t="s">
        <v>834</v>
      </c>
      <c r="S20" s="3" t="s">
        <v>671</v>
      </c>
    </row>
    <row r="21" spans="1:19" s="3" customFormat="1" ht="80.099999999999994" customHeight="1">
      <c r="A21" s="3" t="s">
        <v>106</v>
      </c>
      <c r="B21" s="27" t="s">
        <v>436</v>
      </c>
      <c r="C21" s="27" t="s">
        <v>435</v>
      </c>
      <c r="D21" s="28" t="s">
        <v>90</v>
      </c>
      <c r="E21" s="48" t="s">
        <v>91</v>
      </c>
      <c r="F21" s="29" t="s">
        <v>107</v>
      </c>
      <c r="G21" s="4" t="s">
        <v>108</v>
      </c>
      <c r="I21" s="3" t="s">
        <v>95</v>
      </c>
      <c r="K21" s="3" t="s">
        <v>735</v>
      </c>
      <c r="L21" s="10">
        <v>1</v>
      </c>
      <c r="M21" s="3" t="s">
        <v>18</v>
      </c>
      <c r="N21" s="42" t="s">
        <v>465</v>
      </c>
      <c r="O21" s="43" t="s">
        <v>615</v>
      </c>
      <c r="P21" s="3" t="s">
        <v>522</v>
      </c>
      <c r="Q21" s="3" t="s">
        <v>835</v>
      </c>
      <c r="S21" s="3" t="s">
        <v>676</v>
      </c>
    </row>
    <row r="22" spans="1:19" s="3" customFormat="1" ht="80.099999999999994" customHeight="1">
      <c r="A22" s="3" t="s">
        <v>109</v>
      </c>
      <c r="B22" s="27" t="s">
        <v>436</v>
      </c>
      <c r="C22" s="27" t="s">
        <v>435</v>
      </c>
      <c r="D22" s="28" t="s">
        <v>90</v>
      </c>
      <c r="E22" s="48" t="s">
        <v>91</v>
      </c>
      <c r="F22" s="29" t="s">
        <v>110</v>
      </c>
      <c r="G22" s="4" t="s">
        <v>111</v>
      </c>
      <c r="I22" s="3" t="s">
        <v>95</v>
      </c>
      <c r="K22" s="3" t="s">
        <v>736</v>
      </c>
      <c r="L22" s="10">
        <v>1</v>
      </c>
      <c r="M22" s="3" t="s">
        <v>29</v>
      </c>
      <c r="N22" s="42" t="s">
        <v>465</v>
      </c>
      <c r="O22" s="43"/>
      <c r="P22" s="3" t="s">
        <v>523</v>
      </c>
      <c r="Q22" s="3" t="s">
        <v>836</v>
      </c>
      <c r="S22" s="3" t="s">
        <v>677</v>
      </c>
    </row>
    <row r="23" spans="1:19" s="3" customFormat="1" ht="80.099999999999994" customHeight="1">
      <c r="A23" s="3" t="s">
        <v>112</v>
      </c>
      <c r="B23" s="27" t="s">
        <v>436</v>
      </c>
      <c r="C23" s="27" t="s">
        <v>435</v>
      </c>
      <c r="D23" s="28" t="s">
        <v>113</v>
      </c>
      <c r="E23" s="48" t="s">
        <v>114</v>
      </c>
      <c r="F23" s="29" t="s">
        <v>115</v>
      </c>
      <c r="G23" s="4" t="s">
        <v>116</v>
      </c>
      <c r="H23" s="3" t="s">
        <v>88</v>
      </c>
      <c r="I23" s="3" t="s">
        <v>27</v>
      </c>
      <c r="K23" s="3" t="s">
        <v>737</v>
      </c>
      <c r="L23" s="10">
        <v>1</v>
      </c>
      <c r="M23" s="3" t="s">
        <v>29</v>
      </c>
      <c r="N23" s="42" t="s">
        <v>465</v>
      </c>
      <c r="O23" s="43"/>
      <c r="P23" s="3" t="s">
        <v>524</v>
      </c>
      <c r="Q23" s="3" t="s">
        <v>837</v>
      </c>
      <c r="S23" s="3" t="s">
        <v>678</v>
      </c>
    </row>
    <row r="24" spans="1:19" s="3" customFormat="1" ht="80.099999999999994" customHeight="1">
      <c r="A24" s="3" t="s">
        <v>117</v>
      </c>
      <c r="B24" s="27" t="s">
        <v>436</v>
      </c>
      <c r="C24" s="27" t="s">
        <v>435</v>
      </c>
      <c r="D24" s="28" t="s">
        <v>113</v>
      </c>
      <c r="E24" s="48" t="s">
        <v>114</v>
      </c>
      <c r="F24" s="29" t="s">
        <v>118</v>
      </c>
      <c r="G24" s="4" t="s">
        <v>119</v>
      </c>
      <c r="H24" s="3" t="s">
        <v>88</v>
      </c>
      <c r="I24" s="3" t="s">
        <v>27</v>
      </c>
      <c r="K24" s="3" t="s">
        <v>738</v>
      </c>
      <c r="L24" s="10">
        <v>1</v>
      </c>
      <c r="M24" s="3" t="s">
        <v>18</v>
      </c>
      <c r="N24" s="44"/>
      <c r="O24" s="43"/>
      <c r="P24" s="3" t="s">
        <v>524</v>
      </c>
      <c r="Q24" s="3" t="s">
        <v>837</v>
      </c>
      <c r="S24" s="3" t="s">
        <v>679</v>
      </c>
    </row>
    <row r="25" spans="1:19" s="3" customFormat="1" ht="80.099999999999994" customHeight="1">
      <c r="A25" s="3" t="s">
        <v>120</v>
      </c>
      <c r="B25" s="27" t="s">
        <v>436</v>
      </c>
      <c r="C25" s="27" t="s">
        <v>435</v>
      </c>
      <c r="D25" s="28" t="s">
        <v>113</v>
      </c>
      <c r="E25" s="48" t="s">
        <v>114</v>
      </c>
      <c r="F25" s="29" t="s">
        <v>121</v>
      </c>
      <c r="G25" s="4" t="s">
        <v>122</v>
      </c>
      <c r="H25" s="3" t="s">
        <v>88</v>
      </c>
      <c r="I25" s="3" t="s">
        <v>27</v>
      </c>
      <c r="K25" s="3" t="s">
        <v>738</v>
      </c>
      <c r="L25" s="10">
        <v>1</v>
      </c>
      <c r="M25" s="3" t="s">
        <v>18</v>
      </c>
      <c r="N25" s="44"/>
      <c r="O25" s="43"/>
      <c r="P25" s="3" t="s">
        <v>525</v>
      </c>
      <c r="Q25" s="3" t="s">
        <v>838</v>
      </c>
    </row>
    <row r="26" spans="1:19" s="3" customFormat="1" ht="80.099999999999994" customHeight="1">
      <c r="A26" s="3" t="s">
        <v>123</v>
      </c>
      <c r="B26" s="27" t="s">
        <v>436</v>
      </c>
      <c r="C26" s="27" t="s">
        <v>435</v>
      </c>
      <c r="D26" s="28" t="s">
        <v>124</v>
      </c>
      <c r="E26" s="48" t="s">
        <v>125</v>
      </c>
      <c r="F26" s="29" t="s">
        <v>126</v>
      </c>
      <c r="G26" s="4" t="s">
        <v>127</v>
      </c>
      <c r="H26" s="3" t="s">
        <v>51</v>
      </c>
      <c r="I26" s="3" t="s">
        <v>27</v>
      </c>
      <c r="K26" s="3" t="s">
        <v>739</v>
      </c>
      <c r="L26" s="10">
        <v>1</v>
      </c>
      <c r="M26" s="3" t="s">
        <v>29</v>
      </c>
      <c r="N26" s="42" t="s">
        <v>465</v>
      </c>
      <c r="O26" s="43" t="s">
        <v>616</v>
      </c>
      <c r="P26" s="3" t="s">
        <v>526</v>
      </c>
      <c r="S26" s="3" t="s">
        <v>680</v>
      </c>
    </row>
    <row r="27" spans="1:19" s="3" customFormat="1" ht="80.099999999999994" customHeight="1">
      <c r="A27" s="3" t="s">
        <v>128</v>
      </c>
      <c r="B27" s="27" t="s">
        <v>436</v>
      </c>
      <c r="C27" s="27" t="s">
        <v>435</v>
      </c>
      <c r="D27" s="28" t="s">
        <v>124</v>
      </c>
      <c r="E27" s="48" t="s">
        <v>125</v>
      </c>
      <c r="F27" s="29" t="s">
        <v>129</v>
      </c>
      <c r="G27" s="4" t="s">
        <v>130</v>
      </c>
      <c r="H27" s="3" t="s">
        <v>51</v>
      </c>
      <c r="I27" s="3" t="s">
        <v>27</v>
      </c>
      <c r="K27" s="3" t="s">
        <v>740</v>
      </c>
      <c r="L27" s="10">
        <v>1</v>
      </c>
      <c r="M27" s="3" t="s">
        <v>18</v>
      </c>
      <c r="N27" s="42"/>
      <c r="O27" s="43" t="s">
        <v>617</v>
      </c>
      <c r="P27" s="3" t="s">
        <v>527</v>
      </c>
      <c r="S27" s="3" t="s">
        <v>681</v>
      </c>
    </row>
    <row r="28" spans="1:19" s="3" customFormat="1" ht="80.099999999999994" customHeight="1">
      <c r="A28" s="3" t="s">
        <v>131</v>
      </c>
      <c r="B28" s="27" t="s">
        <v>436</v>
      </c>
      <c r="C28" s="27" t="s">
        <v>435</v>
      </c>
      <c r="D28" s="28" t="s">
        <v>124</v>
      </c>
      <c r="E28" s="48" t="s">
        <v>125</v>
      </c>
      <c r="F28" s="29" t="s">
        <v>132</v>
      </c>
      <c r="G28" s="4" t="s">
        <v>133</v>
      </c>
      <c r="H28" s="3" t="s">
        <v>134</v>
      </c>
      <c r="I28" s="3" t="s">
        <v>27</v>
      </c>
      <c r="K28" s="3" t="s">
        <v>741</v>
      </c>
      <c r="L28" s="10">
        <v>2</v>
      </c>
      <c r="M28" s="3" t="s">
        <v>18</v>
      </c>
      <c r="N28" s="42"/>
      <c r="O28" s="43" t="s">
        <v>618</v>
      </c>
      <c r="P28" s="3" t="s">
        <v>528</v>
      </c>
      <c r="S28" s="3" t="s">
        <v>682</v>
      </c>
    </row>
    <row r="29" spans="1:19" s="3" customFormat="1" ht="80.099999999999994" customHeight="1">
      <c r="A29" s="3" t="s">
        <v>135</v>
      </c>
      <c r="B29" s="27" t="s">
        <v>436</v>
      </c>
      <c r="C29" s="27" t="s">
        <v>435</v>
      </c>
      <c r="D29" s="28" t="s">
        <v>124</v>
      </c>
      <c r="E29" s="48" t="s">
        <v>125</v>
      </c>
      <c r="F29" s="29" t="s">
        <v>136</v>
      </c>
      <c r="G29" s="4" t="s">
        <v>137</v>
      </c>
      <c r="H29" s="3" t="s">
        <v>138</v>
      </c>
      <c r="I29" s="3" t="s">
        <v>27</v>
      </c>
      <c r="K29" s="3" t="s">
        <v>742</v>
      </c>
      <c r="L29" s="10">
        <v>1</v>
      </c>
      <c r="M29" s="3" t="s">
        <v>18</v>
      </c>
      <c r="N29" s="42"/>
      <c r="O29" s="43" t="s">
        <v>619</v>
      </c>
      <c r="P29" s="3" t="s">
        <v>529</v>
      </c>
    </row>
    <row r="30" spans="1:19" s="3" customFormat="1" ht="80.099999999999994" customHeight="1">
      <c r="A30" s="3" t="s">
        <v>139</v>
      </c>
      <c r="B30" s="27" t="s">
        <v>436</v>
      </c>
      <c r="C30" s="27" t="s">
        <v>435</v>
      </c>
      <c r="D30" s="28" t="s">
        <v>124</v>
      </c>
      <c r="E30" s="48" t="s">
        <v>125</v>
      </c>
      <c r="F30" s="29" t="s">
        <v>140</v>
      </c>
      <c r="G30" s="4" t="s">
        <v>141</v>
      </c>
      <c r="I30" s="3" t="s">
        <v>65</v>
      </c>
      <c r="K30" s="3" t="s">
        <v>743</v>
      </c>
      <c r="L30" s="10">
        <v>2</v>
      </c>
      <c r="M30" s="3" t="s">
        <v>35</v>
      </c>
      <c r="N30" s="42" t="s">
        <v>466</v>
      </c>
      <c r="O30" s="43" t="s">
        <v>620</v>
      </c>
      <c r="P30" s="3" t="s">
        <v>530</v>
      </c>
    </row>
    <row r="31" spans="1:19" s="3" customFormat="1" ht="80.099999999999994" customHeight="1">
      <c r="A31" s="3" t="s">
        <v>142</v>
      </c>
      <c r="B31" s="30" t="s">
        <v>438</v>
      </c>
      <c r="C31" s="30" t="s">
        <v>437</v>
      </c>
      <c r="D31" s="31" t="s">
        <v>143</v>
      </c>
      <c r="E31" s="49" t="s">
        <v>144</v>
      </c>
      <c r="F31" s="32" t="s">
        <v>145</v>
      </c>
      <c r="G31" s="5" t="s">
        <v>146</v>
      </c>
      <c r="I31" s="3" t="s">
        <v>15</v>
      </c>
      <c r="K31" s="3" t="s">
        <v>744</v>
      </c>
      <c r="L31" s="10">
        <v>2</v>
      </c>
      <c r="M31" s="3" t="s">
        <v>29</v>
      </c>
      <c r="N31" s="42" t="s">
        <v>467</v>
      </c>
      <c r="O31" s="43" t="s">
        <v>621</v>
      </c>
      <c r="P31" s="3" t="s">
        <v>531</v>
      </c>
      <c r="Q31" s="3" t="s">
        <v>839</v>
      </c>
      <c r="S31" s="3" t="s">
        <v>683</v>
      </c>
    </row>
    <row r="32" spans="1:19" s="3" customFormat="1" ht="80.099999999999994" customHeight="1">
      <c r="A32" s="3" t="s">
        <v>147</v>
      </c>
      <c r="B32" s="30" t="s">
        <v>438</v>
      </c>
      <c r="C32" s="30" t="s">
        <v>437</v>
      </c>
      <c r="D32" s="31" t="s">
        <v>143</v>
      </c>
      <c r="E32" s="49" t="s">
        <v>144</v>
      </c>
      <c r="F32" s="32" t="s">
        <v>148</v>
      </c>
      <c r="G32" s="5" t="s">
        <v>149</v>
      </c>
      <c r="H32" s="3" t="s">
        <v>150</v>
      </c>
      <c r="I32" s="3" t="s">
        <v>15</v>
      </c>
      <c r="K32" s="3" t="s">
        <v>745</v>
      </c>
      <c r="L32" s="10">
        <v>2</v>
      </c>
      <c r="M32" s="3" t="s">
        <v>18</v>
      </c>
      <c r="N32" s="44"/>
      <c r="O32" s="43" t="s">
        <v>622</v>
      </c>
      <c r="P32" s="3" t="s">
        <v>532</v>
      </c>
      <c r="Q32" s="3" t="s">
        <v>840</v>
      </c>
      <c r="S32" s="3" t="s">
        <v>684</v>
      </c>
    </row>
    <row r="33" spans="1:19" s="3" customFormat="1" ht="80.099999999999994" customHeight="1">
      <c r="A33" s="3" t="s">
        <v>151</v>
      </c>
      <c r="B33" s="30" t="s">
        <v>438</v>
      </c>
      <c r="C33" s="30" t="s">
        <v>437</v>
      </c>
      <c r="D33" s="31" t="s">
        <v>143</v>
      </c>
      <c r="E33" s="49" t="s">
        <v>144</v>
      </c>
      <c r="F33" s="32" t="s">
        <v>152</v>
      </c>
      <c r="G33" s="5" t="s">
        <v>153</v>
      </c>
      <c r="I33" s="3" t="s">
        <v>15</v>
      </c>
      <c r="K33" s="3" t="s">
        <v>756</v>
      </c>
      <c r="L33" s="10">
        <v>2</v>
      </c>
      <c r="M33" s="3" t="s">
        <v>29</v>
      </c>
      <c r="N33" s="42" t="s">
        <v>461</v>
      </c>
      <c r="O33" s="43" t="s">
        <v>622</v>
      </c>
      <c r="P33" s="3" t="s">
        <v>533</v>
      </c>
      <c r="Q33" s="3" t="s">
        <v>841</v>
      </c>
      <c r="S33" s="3" t="s">
        <v>685</v>
      </c>
    </row>
    <row r="34" spans="1:19" s="3" customFormat="1" ht="80.099999999999994" customHeight="1">
      <c r="A34" s="3" t="s">
        <v>154</v>
      </c>
      <c r="B34" s="30" t="s">
        <v>438</v>
      </c>
      <c r="C34" s="30" t="s">
        <v>437</v>
      </c>
      <c r="D34" s="31" t="s">
        <v>143</v>
      </c>
      <c r="E34" s="49" t="s">
        <v>144</v>
      </c>
      <c r="F34" s="32" t="s">
        <v>155</v>
      </c>
      <c r="G34" s="5" t="s">
        <v>156</v>
      </c>
      <c r="I34" s="3" t="s">
        <v>15</v>
      </c>
      <c r="K34" s="3" t="s">
        <v>746</v>
      </c>
      <c r="L34" s="10">
        <v>2</v>
      </c>
      <c r="M34" s="3" t="s">
        <v>35</v>
      </c>
      <c r="N34" s="42" t="s">
        <v>468</v>
      </c>
      <c r="O34" s="43" t="s">
        <v>623</v>
      </c>
      <c r="P34" s="3" t="s">
        <v>534</v>
      </c>
      <c r="Q34" s="3" t="s">
        <v>842</v>
      </c>
      <c r="S34" s="3" t="s">
        <v>686</v>
      </c>
    </row>
    <row r="35" spans="1:19" s="3" customFormat="1" ht="80.099999999999994" customHeight="1">
      <c r="A35" s="3" t="s">
        <v>157</v>
      </c>
      <c r="B35" s="30" t="s">
        <v>438</v>
      </c>
      <c r="C35" s="30" t="s">
        <v>437</v>
      </c>
      <c r="D35" s="31" t="s">
        <v>143</v>
      </c>
      <c r="E35" s="49" t="s">
        <v>144</v>
      </c>
      <c r="F35" s="32" t="s">
        <v>158</v>
      </c>
      <c r="G35" s="5" t="s">
        <v>159</v>
      </c>
      <c r="H35" s="3" t="s">
        <v>160</v>
      </c>
      <c r="I35" s="3" t="s">
        <v>15</v>
      </c>
      <c r="K35" s="3" t="s">
        <v>747</v>
      </c>
      <c r="L35" s="10">
        <v>2</v>
      </c>
      <c r="M35" s="3" t="s">
        <v>35</v>
      </c>
      <c r="N35" s="42" t="s">
        <v>469</v>
      </c>
      <c r="O35" s="43" t="s">
        <v>623</v>
      </c>
      <c r="P35" s="3" t="s">
        <v>535</v>
      </c>
      <c r="Q35" s="3" t="s">
        <v>843</v>
      </c>
      <c r="S35" s="3" t="s">
        <v>686</v>
      </c>
    </row>
    <row r="36" spans="1:19" s="3" customFormat="1" ht="80.099999999999994" customHeight="1">
      <c r="A36" s="3" t="s">
        <v>161</v>
      </c>
      <c r="B36" s="30" t="s">
        <v>438</v>
      </c>
      <c r="C36" s="30" t="s">
        <v>437</v>
      </c>
      <c r="D36" s="31" t="s">
        <v>143</v>
      </c>
      <c r="E36" s="49" t="s">
        <v>144</v>
      </c>
      <c r="F36" s="32" t="s">
        <v>162</v>
      </c>
      <c r="G36" s="5" t="s">
        <v>163</v>
      </c>
      <c r="H36" s="3" t="s">
        <v>164</v>
      </c>
      <c r="I36" s="3" t="s">
        <v>15</v>
      </c>
      <c r="K36" s="3" t="s">
        <v>755</v>
      </c>
      <c r="L36" s="10">
        <v>2</v>
      </c>
      <c r="M36" s="3" t="s">
        <v>35</v>
      </c>
      <c r="N36" s="42" t="s">
        <v>470</v>
      </c>
      <c r="O36" s="43" t="s">
        <v>624</v>
      </c>
      <c r="P36" s="3" t="s">
        <v>536</v>
      </c>
      <c r="S36" s="3" t="s">
        <v>687</v>
      </c>
    </row>
    <row r="37" spans="1:19" s="3" customFormat="1" ht="80.099999999999994" customHeight="1">
      <c r="A37" s="3" t="s">
        <v>165</v>
      </c>
      <c r="B37" s="30" t="s">
        <v>438</v>
      </c>
      <c r="C37" s="30" t="s">
        <v>437</v>
      </c>
      <c r="D37" s="31" t="s">
        <v>143</v>
      </c>
      <c r="E37" s="49" t="s">
        <v>144</v>
      </c>
      <c r="F37" s="32" t="s">
        <v>166</v>
      </c>
      <c r="G37" s="5" t="s">
        <v>167</v>
      </c>
      <c r="H37" s="3" t="s">
        <v>168</v>
      </c>
      <c r="I37" s="3" t="s">
        <v>15</v>
      </c>
      <c r="K37" s="3" t="s">
        <v>748</v>
      </c>
      <c r="L37" s="10">
        <v>2</v>
      </c>
      <c r="M37" s="3" t="s">
        <v>18</v>
      </c>
      <c r="N37" s="42" t="s">
        <v>471</v>
      </c>
      <c r="O37" s="43" t="s">
        <v>625</v>
      </c>
      <c r="P37" s="3" t="s">
        <v>537</v>
      </c>
      <c r="S37" s="3" t="s">
        <v>688</v>
      </c>
    </row>
    <row r="38" spans="1:19" s="3" customFormat="1" ht="80.099999999999994" customHeight="1">
      <c r="A38" s="3" t="s">
        <v>169</v>
      </c>
      <c r="B38" s="30" t="s">
        <v>438</v>
      </c>
      <c r="C38" s="30" t="s">
        <v>437</v>
      </c>
      <c r="D38" s="31" t="s">
        <v>905</v>
      </c>
      <c r="E38" s="49" t="s">
        <v>927</v>
      </c>
      <c r="F38" s="32" t="s">
        <v>170</v>
      </c>
      <c r="G38" s="5" t="s">
        <v>171</v>
      </c>
      <c r="H38" s="3" t="s">
        <v>172</v>
      </c>
      <c r="I38" s="3" t="s">
        <v>95</v>
      </c>
      <c r="K38" s="3" t="s">
        <v>749</v>
      </c>
      <c r="L38" s="10">
        <v>2</v>
      </c>
      <c r="M38" s="3" t="s">
        <v>29</v>
      </c>
      <c r="N38" s="42" t="s">
        <v>472</v>
      </c>
      <c r="O38" s="43" t="s">
        <v>626</v>
      </c>
      <c r="P38" s="3" t="s">
        <v>538</v>
      </c>
      <c r="Q38" s="3" t="s">
        <v>844</v>
      </c>
      <c r="S38" s="3" t="s">
        <v>689</v>
      </c>
    </row>
    <row r="39" spans="1:19" s="3" customFormat="1" ht="80.099999999999994" customHeight="1">
      <c r="A39" s="3" t="s">
        <v>173</v>
      </c>
      <c r="B39" s="30" t="s">
        <v>438</v>
      </c>
      <c r="C39" s="30" t="s">
        <v>437</v>
      </c>
      <c r="D39" s="31" t="s">
        <v>905</v>
      </c>
      <c r="E39" s="49" t="s">
        <v>927</v>
      </c>
      <c r="F39" s="32" t="s">
        <v>174</v>
      </c>
      <c r="G39" s="5" t="s">
        <v>175</v>
      </c>
      <c r="H39" s="3" t="s">
        <v>176</v>
      </c>
      <c r="I39" s="3" t="s">
        <v>15</v>
      </c>
      <c r="K39" s="3" t="s">
        <v>754</v>
      </c>
      <c r="L39" s="10">
        <v>2</v>
      </c>
      <c r="M39" s="3" t="s">
        <v>18</v>
      </c>
      <c r="N39" s="42" t="s">
        <v>473</v>
      </c>
      <c r="O39" s="43" t="s">
        <v>627</v>
      </c>
      <c r="P39" s="3" t="s">
        <v>539</v>
      </c>
      <c r="Q39" s="3" t="s">
        <v>845</v>
      </c>
      <c r="S39" s="3" t="s">
        <v>690</v>
      </c>
    </row>
    <row r="40" spans="1:19" s="3" customFormat="1" ht="80.099999999999994" customHeight="1">
      <c r="A40" s="3" t="s">
        <v>177</v>
      </c>
      <c r="B40" s="30" t="s">
        <v>438</v>
      </c>
      <c r="C40" s="30" t="s">
        <v>437</v>
      </c>
      <c r="D40" s="31" t="s">
        <v>905</v>
      </c>
      <c r="E40" s="49" t="s">
        <v>927</v>
      </c>
      <c r="F40" s="32" t="s">
        <v>178</v>
      </c>
      <c r="G40" s="5" t="s">
        <v>179</v>
      </c>
      <c r="H40" s="3" t="s">
        <v>180</v>
      </c>
      <c r="I40" s="3" t="s">
        <v>15</v>
      </c>
      <c r="K40" s="3" t="s">
        <v>750</v>
      </c>
      <c r="L40" s="10">
        <v>2</v>
      </c>
      <c r="M40" s="3" t="s">
        <v>35</v>
      </c>
      <c r="N40" s="42" t="s">
        <v>474</v>
      </c>
      <c r="O40" s="43" t="s">
        <v>628</v>
      </c>
      <c r="P40" s="3" t="s">
        <v>540</v>
      </c>
      <c r="Q40" s="3" t="s">
        <v>846</v>
      </c>
      <c r="S40" s="3" t="s">
        <v>691</v>
      </c>
    </row>
    <row r="41" spans="1:19" s="3" customFormat="1" ht="80.099999999999994" customHeight="1">
      <c r="A41" s="3" t="s">
        <v>181</v>
      </c>
      <c r="B41" s="30" t="s">
        <v>438</v>
      </c>
      <c r="C41" s="30" t="s">
        <v>437</v>
      </c>
      <c r="D41" s="31" t="s">
        <v>905</v>
      </c>
      <c r="E41" s="49" t="s">
        <v>927</v>
      </c>
      <c r="F41" s="32" t="s">
        <v>182</v>
      </c>
      <c r="G41" s="5" t="s">
        <v>183</v>
      </c>
      <c r="I41" s="3" t="s">
        <v>27</v>
      </c>
      <c r="K41" s="3" t="s">
        <v>751</v>
      </c>
      <c r="L41" s="10">
        <v>2</v>
      </c>
      <c r="M41" s="3" t="s">
        <v>18</v>
      </c>
      <c r="N41" s="42" t="s">
        <v>463</v>
      </c>
      <c r="O41" s="43" t="s">
        <v>629</v>
      </c>
      <c r="P41" s="3" t="s">
        <v>539</v>
      </c>
      <c r="Q41" s="3" t="s">
        <v>847</v>
      </c>
    </row>
    <row r="42" spans="1:19" s="3" customFormat="1" ht="80.099999999999994" customHeight="1">
      <c r="A42" s="3" t="s">
        <v>184</v>
      </c>
      <c r="B42" s="30" t="s">
        <v>438</v>
      </c>
      <c r="C42" s="30" t="s">
        <v>437</v>
      </c>
      <c r="D42" s="31" t="s">
        <v>905</v>
      </c>
      <c r="E42" s="49" t="s">
        <v>927</v>
      </c>
      <c r="F42" s="32" t="s">
        <v>185</v>
      </c>
      <c r="G42" s="5" t="s">
        <v>186</v>
      </c>
      <c r="I42" s="3" t="s">
        <v>27</v>
      </c>
      <c r="K42" s="3" t="s">
        <v>752</v>
      </c>
      <c r="L42" s="10">
        <v>2</v>
      </c>
      <c r="M42" s="3" t="s">
        <v>35</v>
      </c>
      <c r="N42" s="42" t="s">
        <v>474</v>
      </c>
      <c r="O42" s="43" t="s">
        <v>630</v>
      </c>
      <c r="P42" s="3" t="s">
        <v>541</v>
      </c>
      <c r="Q42" s="3" t="s">
        <v>848</v>
      </c>
      <c r="S42" s="3" t="s">
        <v>692</v>
      </c>
    </row>
    <row r="43" spans="1:19" s="3" customFormat="1" ht="80.099999999999994" customHeight="1">
      <c r="A43" s="3" t="s">
        <v>187</v>
      </c>
      <c r="B43" s="30" t="s">
        <v>438</v>
      </c>
      <c r="C43" s="30" t="s">
        <v>437</v>
      </c>
      <c r="D43" s="31" t="s">
        <v>906</v>
      </c>
      <c r="E43" s="49" t="s">
        <v>928</v>
      </c>
      <c r="F43" s="32" t="s">
        <v>188</v>
      </c>
      <c r="G43" s="5" t="s">
        <v>189</v>
      </c>
      <c r="H43" s="3" t="s">
        <v>190</v>
      </c>
      <c r="I43" s="3" t="s">
        <v>65</v>
      </c>
      <c r="K43" s="3" t="s">
        <v>753</v>
      </c>
      <c r="L43" s="10">
        <v>2</v>
      </c>
      <c r="M43" s="3" t="s">
        <v>29</v>
      </c>
      <c r="N43" s="42" t="s">
        <v>462</v>
      </c>
      <c r="O43" s="43" t="s">
        <v>631</v>
      </c>
      <c r="P43" s="3" t="s">
        <v>542</v>
      </c>
      <c r="Q43" s="3" t="s">
        <v>849</v>
      </c>
      <c r="S43" s="3" t="s">
        <v>693</v>
      </c>
    </row>
    <row r="44" spans="1:19" s="3" customFormat="1" ht="80.099999999999994" customHeight="1">
      <c r="A44" s="3" t="s">
        <v>191</v>
      </c>
      <c r="B44" s="30" t="s">
        <v>438</v>
      </c>
      <c r="C44" s="30" t="s">
        <v>437</v>
      </c>
      <c r="D44" s="31" t="s">
        <v>906</v>
      </c>
      <c r="E44" s="49" t="s">
        <v>928</v>
      </c>
      <c r="F44" s="32" t="s">
        <v>192</v>
      </c>
      <c r="G44" s="5" t="s">
        <v>193</v>
      </c>
      <c r="H44" s="3" t="s">
        <v>194</v>
      </c>
      <c r="I44" s="3" t="s">
        <v>65</v>
      </c>
      <c r="K44" s="3" t="s">
        <v>757</v>
      </c>
      <c r="L44" s="10">
        <v>2</v>
      </c>
      <c r="M44" s="3" t="s">
        <v>35</v>
      </c>
      <c r="N44" s="42" t="s">
        <v>462</v>
      </c>
      <c r="O44" s="43" t="s">
        <v>632</v>
      </c>
      <c r="P44" s="3" t="s">
        <v>543</v>
      </c>
      <c r="Q44" s="3" t="s">
        <v>851</v>
      </c>
      <c r="S44" s="3" t="s">
        <v>690</v>
      </c>
    </row>
    <row r="45" spans="1:19" s="3" customFormat="1" ht="80.099999999999994" customHeight="1">
      <c r="A45" s="3" t="s">
        <v>195</v>
      </c>
      <c r="B45" s="30" t="s">
        <v>438</v>
      </c>
      <c r="C45" s="30" t="s">
        <v>437</v>
      </c>
      <c r="D45" s="31" t="s">
        <v>906</v>
      </c>
      <c r="E45" s="49" t="s">
        <v>928</v>
      </c>
      <c r="F45" s="32" t="s">
        <v>196</v>
      </c>
      <c r="G45" s="5" t="s">
        <v>197</v>
      </c>
      <c r="I45" s="3" t="s">
        <v>65</v>
      </c>
      <c r="K45" s="3" t="s">
        <v>758</v>
      </c>
      <c r="L45" s="10">
        <v>3</v>
      </c>
      <c r="M45" s="3" t="s">
        <v>35</v>
      </c>
      <c r="N45" s="44" t="s">
        <v>459</v>
      </c>
      <c r="O45" s="43" t="s">
        <v>631</v>
      </c>
      <c r="P45" s="3" t="s">
        <v>544</v>
      </c>
      <c r="Q45" s="3" t="s">
        <v>850</v>
      </c>
      <c r="S45" s="3" t="s">
        <v>694</v>
      </c>
    </row>
    <row r="46" spans="1:19" s="3" customFormat="1" ht="80.099999999999994" customHeight="1">
      <c r="A46" s="3" t="s">
        <v>198</v>
      </c>
      <c r="B46" s="30" t="s">
        <v>438</v>
      </c>
      <c r="C46" s="30" t="s">
        <v>437</v>
      </c>
      <c r="D46" s="31" t="s">
        <v>906</v>
      </c>
      <c r="E46" s="49" t="s">
        <v>928</v>
      </c>
      <c r="F46" s="32" t="s">
        <v>199</v>
      </c>
      <c r="G46" s="5" t="s">
        <v>200</v>
      </c>
      <c r="I46" s="3" t="s">
        <v>65</v>
      </c>
      <c r="K46" s="3" t="s">
        <v>759</v>
      </c>
      <c r="L46" s="10">
        <v>2</v>
      </c>
      <c r="M46" s="3" t="s">
        <v>35</v>
      </c>
      <c r="N46" s="44" t="s">
        <v>475</v>
      </c>
      <c r="O46" s="43" t="s">
        <v>633</v>
      </c>
      <c r="P46" s="3" t="s">
        <v>545</v>
      </c>
      <c r="Q46" s="3" t="s">
        <v>852</v>
      </c>
      <c r="S46" s="3" t="s">
        <v>690</v>
      </c>
    </row>
    <row r="47" spans="1:19" s="3" customFormat="1" ht="80.099999999999994" customHeight="1">
      <c r="A47" s="3" t="s">
        <v>201</v>
      </c>
      <c r="B47" s="30" t="s">
        <v>438</v>
      </c>
      <c r="C47" s="30" t="s">
        <v>437</v>
      </c>
      <c r="D47" s="31" t="s">
        <v>906</v>
      </c>
      <c r="E47" s="49" t="s">
        <v>928</v>
      </c>
      <c r="F47" s="32" t="s">
        <v>202</v>
      </c>
      <c r="G47" s="5" t="s">
        <v>203</v>
      </c>
      <c r="H47" s="3" t="s">
        <v>204</v>
      </c>
      <c r="I47" s="3" t="s">
        <v>95</v>
      </c>
      <c r="K47" s="3" t="s">
        <v>760</v>
      </c>
      <c r="L47" s="10">
        <v>2</v>
      </c>
      <c r="M47" s="3" t="s">
        <v>18</v>
      </c>
      <c r="N47" s="42" t="s">
        <v>476</v>
      </c>
      <c r="O47" s="43" t="s">
        <v>634</v>
      </c>
      <c r="P47" s="3" t="s">
        <v>546</v>
      </c>
      <c r="Q47" s="3" t="s">
        <v>853</v>
      </c>
      <c r="S47" s="3" t="s">
        <v>681</v>
      </c>
    </row>
    <row r="48" spans="1:19" s="3" customFormat="1" ht="80.099999999999994" customHeight="1">
      <c r="A48" s="3" t="s">
        <v>205</v>
      </c>
      <c r="B48" s="30" t="s">
        <v>438</v>
      </c>
      <c r="C48" s="30" t="s">
        <v>437</v>
      </c>
      <c r="D48" s="31" t="s">
        <v>906</v>
      </c>
      <c r="E48" s="49" t="s">
        <v>928</v>
      </c>
      <c r="F48" s="32" t="s">
        <v>206</v>
      </c>
      <c r="G48" s="5" t="s">
        <v>207</v>
      </c>
      <c r="H48" s="3" t="s">
        <v>208</v>
      </c>
      <c r="I48" s="3" t="s">
        <v>95</v>
      </c>
      <c r="K48" s="3" t="s">
        <v>761</v>
      </c>
      <c r="L48" s="10">
        <v>2</v>
      </c>
      <c r="M48" s="3" t="s">
        <v>29</v>
      </c>
      <c r="N48" s="44" t="s">
        <v>477</v>
      </c>
      <c r="O48" s="43" t="s">
        <v>635</v>
      </c>
      <c r="P48" s="3" t="s">
        <v>547</v>
      </c>
      <c r="Q48" s="3" t="s">
        <v>854</v>
      </c>
      <c r="S48" s="3" t="s">
        <v>689</v>
      </c>
    </row>
    <row r="49" spans="1:19" s="3" customFormat="1" ht="80.099999999999994" customHeight="1">
      <c r="A49" s="3" t="s">
        <v>209</v>
      </c>
      <c r="B49" s="30" t="s">
        <v>438</v>
      </c>
      <c r="C49" s="30" t="s">
        <v>437</v>
      </c>
      <c r="D49" s="31" t="s">
        <v>906</v>
      </c>
      <c r="E49" s="49" t="s">
        <v>928</v>
      </c>
      <c r="F49" s="32" t="s">
        <v>210</v>
      </c>
      <c r="G49" s="5" t="s">
        <v>211</v>
      </c>
      <c r="H49" s="3" t="s">
        <v>212</v>
      </c>
      <c r="I49" s="3" t="s">
        <v>15</v>
      </c>
      <c r="K49" s="3" t="s">
        <v>762</v>
      </c>
      <c r="L49" s="10">
        <v>2</v>
      </c>
      <c r="M49" s="3" t="s">
        <v>35</v>
      </c>
      <c r="N49" s="44" t="s">
        <v>478</v>
      </c>
      <c r="O49" s="43"/>
      <c r="P49" s="3" t="s">
        <v>548</v>
      </c>
      <c r="Q49" s="3" t="s">
        <v>855</v>
      </c>
      <c r="S49" s="3" t="s">
        <v>695</v>
      </c>
    </row>
    <row r="50" spans="1:19" s="3" customFormat="1" ht="80.099999999999994" customHeight="1">
      <c r="A50" s="3" t="s">
        <v>213</v>
      </c>
      <c r="B50" s="30" t="s">
        <v>438</v>
      </c>
      <c r="C50" s="30" t="s">
        <v>437</v>
      </c>
      <c r="D50" s="31" t="s">
        <v>906</v>
      </c>
      <c r="E50" s="49" t="s">
        <v>928</v>
      </c>
      <c r="F50" s="32" t="s">
        <v>214</v>
      </c>
      <c r="G50" s="5" t="s">
        <v>215</v>
      </c>
      <c r="H50" s="3" t="s">
        <v>216</v>
      </c>
      <c r="I50" s="3" t="s">
        <v>15</v>
      </c>
      <c r="K50" s="3" t="s">
        <v>763</v>
      </c>
      <c r="L50" s="10">
        <v>1</v>
      </c>
      <c r="M50" s="3" t="s">
        <v>35</v>
      </c>
      <c r="N50" s="44"/>
      <c r="O50" s="43" t="s">
        <v>636</v>
      </c>
      <c r="P50" s="3" t="s">
        <v>549</v>
      </c>
    </row>
    <row r="51" spans="1:19" s="3" customFormat="1" ht="80.099999999999994" customHeight="1">
      <c r="A51" s="3" t="s">
        <v>217</v>
      </c>
      <c r="B51" s="30" t="s">
        <v>438</v>
      </c>
      <c r="C51" s="30" t="s">
        <v>437</v>
      </c>
      <c r="D51" s="31" t="s">
        <v>907</v>
      </c>
      <c r="E51" s="54" t="s">
        <v>929</v>
      </c>
      <c r="F51" s="32" t="s">
        <v>218</v>
      </c>
      <c r="G51" s="5" t="s">
        <v>219</v>
      </c>
      <c r="H51" s="3" t="s">
        <v>220</v>
      </c>
      <c r="I51" s="3" t="s">
        <v>15</v>
      </c>
      <c r="K51" s="3" t="s">
        <v>764</v>
      </c>
      <c r="L51" s="10">
        <v>2</v>
      </c>
      <c r="M51" s="3" t="s">
        <v>18</v>
      </c>
      <c r="N51" s="42" t="s">
        <v>479</v>
      </c>
      <c r="O51" s="43" t="s">
        <v>637</v>
      </c>
      <c r="P51" s="3" t="s">
        <v>550</v>
      </c>
      <c r="Q51" s="3" t="s">
        <v>856</v>
      </c>
      <c r="S51" s="3" t="s">
        <v>696</v>
      </c>
    </row>
    <row r="52" spans="1:19" s="3" customFormat="1" ht="80.099999999999994" customHeight="1">
      <c r="A52" s="3" t="s">
        <v>221</v>
      </c>
      <c r="B52" s="30" t="s">
        <v>438</v>
      </c>
      <c r="C52" s="30" t="s">
        <v>437</v>
      </c>
      <c r="D52" s="31" t="s">
        <v>907</v>
      </c>
      <c r="E52" s="49" t="s">
        <v>929</v>
      </c>
      <c r="F52" s="32" t="s">
        <v>222</v>
      </c>
      <c r="G52" s="5" t="s">
        <v>223</v>
      </c>
      <c r="I52" s="3" t="s">
        <v>15</v>
      </c>
      <c r="K52" s="3" t="s">
        <v>765</v>
      </c>
      <c r="L52" s="10">
        <v>2</v>
      </c>
      <c r="M52" s="3" t="s">
        <v>35</v>
      </c>
      <c r="N52" s="42" t="s">
        <v>480</v>
      </c>
      <c r="O52" s="43" t="s">
        <v>638</v>
      </c>
      <c r="P52" s="3" t="s">
        <v>551</v>
      </c>
      <c r="Q52" s="3" t="s">
        <v>857</v>
      </c>
    </row>
    <row r="53" spans="1:19" s="3" customFormat="1" ht="80.099999999999994" customHeight="1">
      <c r="A53" s="3" t="s">
        <v>224</v>
      </c>
      <c r="B53" s="30" t="s">
        <v>438</v>
      </c>
      <c r="C53" s="30" t="s">
        <v>437</v>
      </c>
      <c r="D53" s="31" t="s">
        <v>907</v>
      </c>
      <c r="E53" s="49" t="s">
        <v>929</v>
      </c>
      <c r="F53" s="32" t="s">
        <v>225</v>
      </c>
      <c r="G53" s="5" t="s">
        <v>226</v>
      </c>
      <c r="H53" s="3" t="s">
        <v>227</v>
      </c>
      <c r="I53" s="3" t="s">
        <v>15</v>
      </c>
      <c r="K53" s="3" t="s">
        <v>766</v>
      </c>
      <c r="L53" s="10">
        <v>2</v>
      </c>
      <c r="M53" s="3" t="s">
        <v>35</v>
      </c>
      <c r="N53" s="42" t="s">
        <v>481</v>
      </c>
      <c r="O53" s="43" t="s">
        <v>639</v>
      </c>
      <c r="P53" s="3" t="s">
        <v>552</v>
      </c>
      <c r="Q53" s="3" t="s">
        <v>858</v>
      </c>
      <c r="S53" s="3" t="s">
        <v>697</v>
      </c>
    </row>
    <row r="54" spans="1:19" s="3" customFormat="1" ht="80.099999999999994" customHeight="1">
      <c r="A54" s="3" t="s">
        <v>228</v>
      </c>
      <c r="B54" s="30" t="s">
        <v>438</v>
      </c>
      <c r="C54" s="30" t="s">
        <v>437</v>
      </c>
      <c r="D54" s="31" t="s">
        <v>907</v>
      </c>
      <c r="E54" s="49" t="s">
        <v>929</v>
      </c>
      <c r="F54" s="32" t="s">
        <v>229</v>
      </c>
      <c r="G54" s="5" t="s">
        <v>230</v>
      </c>
      <c r="I54" s="3" t="s">
        <v>65</v>
      </c>
      <c r="K54" s="3" t="s">
        <v>767</v>
      </c>
      <c r="L54" s="10">
        <v>2</v>
      </c>
      <c r="M54" s="3" t="s">
        <v>18</v>
      </c>
      <c r="N54" s="42" t="s">
        <v>482</v>
      </c>
      <c r="O54" s="43" t="s">
        <v>640</v>
      </c>
      <c r="P54" s="3" t="s">
        <v>553</v>
      </c>
      <c r="Q54" s="3" t="s">
        <v>859</v>
      </c>
    </row>
    <row r="55" spans="1:19" s="3" customFormat="1" ht="80.099999999999994" customHeight="1">
      <c r="A55" s="3" t="s">
        <v>231</v>
      </c>
      <c r="B55" s="30" t="s">
        <v>438</v>
      </c>
      <c r="C55" s="30" t="s">
        <v>437</v>
      </c>
      <c r="D55" s="31" t="s">
        <v>907</v>
      </c>
      <c r="E55" s="49" t="s">
        <v>929</v>
      </c>
      <c r="F55" s="32" t="s">
        <v>232</v>
      </c>
      <c r="G55" s="5" t="s">
        <v>233</v>
      </c>
      <c r="I55" s="3" t="s">
        <v>27</v>
      </c>
      <c r="K55" s="3" t="s">
        <v>768</v>
      </c>
      <c r="L55" s="10">
        <v>2</v>
      </c>
      <c r="M55" s="3" t="s">
        <v>35</v>
      </c>
      <c r="N55" s="42"/>
      <c r="O55" s="43" t="s">
        <v>641</v>
      </c>
      <c r="P55" s="3" t="s">
        <v>554</v>
      </c>
      <c r="Q55" s="3" t="s">
        <v>860</v>
      </c>
      <c r="S55" s="3" t="s">
        <v>689</v>
      </c>
    </row>
    <row r="56" spans="1:19" s="3" customFormat="1" ht="80.099999999999994" customHeight="1">
      <c r="A56" s="3" t="s">
        <v>234</v>
      </c>
      <c r="B56" s="30" t="s">
        <v>438</v>
      </c>
      <c r="C56" s="30" t="s">
        <v>437</v>
      </c>
      <c r="D56" s="31" t="s">
        <v>907</v>
      </c>
      <c r="E56" s="49" t="s">
        <v>929</v>
      </c>
      <c r="F56" s="32" t="s">
        <v>235</v>
      </c>
      <c r="G56" s="5" t="s">
        <v>236</v>
      </c>
      <c r="I56" s="3" t="s">
        <v>65</v>
      </c>
      <c r="K56" s="3" t="s">
        <v>769</v>
      </c>
      <c r="L56" s="10">
        <v>2</v>
      </c>
      <c r="M56" s="3" t="s">
        <v>29</v>
      </c>
      <c r="N56" s="42"/>
      <c r="O56" s="43" t="s">
        <v>642</v>
      </c>
      <c r="P56" s="3" t="s">
        <v>555</v>
      </c>
      <c r="Q56" s="3" t="s">
        <v>861</v>
      </c>
      <c r="S56" s="3" t="s">
        <v>698</v>
      </c>
    </row>
    <row r="57" spans="1:19" s="3" customFormat="1" ht="80.099999999999994" customHeight="1">
      <c r="A57" s="3" t="s">
        <v>237</v>
      </c>
      <c r="B57" s="30" t="s">
        <v>438</v>
      </c>
      <c r="C57" s="30" t="s">
        <v>437</v>
      </c>
      <c r="D57" s="31" t="s">
        <v>907</v>
      </c>
      <c r="E57" s="49" t="s">
        <v>929</v>
      </c>
      <c r="F57" s="32" t="s">
        <v>238</v>
      </c>
      <c r="G57" s="5" t="s">
        <v>239</v>
      </c>
      <c r="I57" s="3" t="s">
        <v>95</v>
      </c>
      <c r="K57" s="3" t="s">
        <v>770</v>
      </c>
      <c r="L57" s="10">
        <v>2</v>
      </c>
      <c r="M57" s="3" t="s">
        <v>18</v>
      </c>
      <c r="N57" s="42"/>
      <c r="O57" s="43" t="s">
        <v>643</v>
      </c>
      <c r="P57" s="3" t="s">
        <v>556</v>
      </c>
      <c r="Q57" s="3" t="s">
        <v>862</v>
      </c>
      <c r="S57" s="3" t="s">
        <v>699</v>
      </c>
    </row>
    <row r="58" spans="1:19" s="3" customFormat="1" ht="80.099999999999994" customHeight="1">
      <c r="A58" s="3" t="s">
        <v>240</v>
      </c>
      <c r="B58" s="30" t="s">
        <v>438</v>
      </c>
      <c r="C58" s="30" t="s">
        <v>437</v>
      </c>
      <c r="D58" s="31" t="s">
        <v>907</v>
      </c>
      <c r="E58" s="49" t="s">
        <v>929</v>
      </c>
      <c r="F58" s="32" t="s">
        <v>241</v>
      </c>
      <c r="G58" s="5" t="s">
        <v>242</v>
      </c>
      <c r="I58" s="3" t="s">
        <v>95</v>
      </c>
      <c r="K58" s="3" t="s">
        <v>771</v>
      </c>
      <c r="L58" s="10">
        <v>1</v>
      </c>
      <c r="M58" s="3" t="s">
        <v>18</v>
      </c>
      <c r="N58" s="42"/>
      <c r="O58" s="43" t="s">
        <v>644</v>
      </c>
      <c r="P58" s="3" t="s">
        <v>557</v>
      </c>
      <c r="Q58" s="3" t="s">
        <v>863</v>
      </c>
      <c r="S58" s="3" t="s">
        <v>700</v>
      </c>
    </row>
    <row r="59" spans="1:19" s="3" customFormat="1" ht="80.099999999999994" customHeight="1">
      <c r="A59" s="3" t="s">
        <v>243</v>
      </c>
      <c r="B59" s="30" t="s">
        <v>438</v>
      </c>
      <c r="C59" s="30" t="s">
        <v>437</v>
      </c>
      <c r="D59" s="31" t="s">
        <v>907</v>
      </c>
      <c r="E59" s="49" t="s">
        <v>929</v>
      </c>
      <c r="F59" s="32" t="s">
        <v>244</v>
      </c>
      <c r="G59" s="5" t="s">
        <v>245</v>
      </c>
      <c r="I59" s="3" t="s">
        <v>27</v>
      </c>
      <c r="K59" s="3" t="s">
        <v>772</v>
      </c>
      <c r="L59" s="10">
        <v>1</v>
      </c>
      <c r="M59" s="3" t="s">
        <v>29</v>
      </c>
      <c r="N59" s="42" t="s">
        <v>464</v>
      </c>
      <c r="O59" s="43" t="s">
        <v>645</v>
      </c>
      <c r="P59" s="3" t="s">
        <v>558</v>
      </c>
      <c r="Q59" s="3" t="s">
        <v>864</v>
      </c>
      <c r="S59" s="3" t="s">
        <v>664</v>
      </c>
    </row>
    <row r="60" spans="1:19" s="3" customFormat="1" ht="80.099999999999994" customHeight="1">
      <c r="A60" s="3" t="s">
        <v>246</v>
      </c>
      <c r="B60" s="30" t="s">
        <v>438</v>
      </c>
      <c r="C60" s="30" t="s">
        <v>437</v>
      </c>
      <c r="D60" s="31" t="s">
        <v>907</v>
      </c>
      <c r="E60" s="49" t="s">
        <v>929</v>
      </c>
      <c r="F60" s="32" t="s">
        <v>247</v>
      </c>
      <c r="G60" s="5" t="s">
        <v>248</v>
      </c>
      <c r="I60" s="3" t="s">
        <v>65</v>
      </c>
      <c r="K60" s="3" t="s">
        <v>773</v>
      </c>
      <c r="L60" s="10">
        <v>1</v>
      </c>
      <c r="M60" s="3" t="s">
        <v>29</v>
      </c>
      <c r="N60" s="42" t="s">
        <v>466</v>
      </c>
      <c r="O60" s="43" t="s">
        <v>646</v>
      </c>
      <c r="P60" s="3" t="s">
        <v>559</v>
      </c>
      <c r="Q60" s="3" t="s">
        <v>865</v>
      </c>
      <c r="S60" s="3" t="s">
        <v>700</v>
      </c>
    </row>
    <row r="61" spans="1:19" s="3" customFormat="1" ht="80.099999999999994" customHeight="1">
      <c r="A61" s="3" t="s">
        <v>249</v>
      </c>
      <c r="B61" s="30" t="s">
        <v>438</v>
      </c>
      <c r="C61" s="30" t="s">
        <v>437</v>
      </c>
      <c r="D61" s="31" t="s">
        <v>907</v>
      </c>
      <c r="E61" s="49" t="s">
        <v>929</v>
      </c>
      <c r="F61" s="32" t="s">
        <v>250</v>
      </c>
      <c r="G61" s="5" t="s">
        <v>251</v>
      </c>
      <c r="H61" s="3" t="s">
        <v>252</v>
      </c>
      <c r="I61" s="3" t="s">
        <v>27</v>
      </c>
      <c r="K61" s="3" t="s">
        <v>774</v>
      </c>
      <c r="L61" s="10">
        <v>2</v>
      </c>
      <c r="M61" s="3" t="s">
        <v>35</v>
      </c>
      <c r="N61" s="42" t="s">
        <v>483</v>
      </c>
      <c r="O61" s="43"/>
      <c r="P61" s="3" t="s">
        <v>560</v>
      </c>
      <c r="Q61" s="3" t="s">
        <v>866</v>
      </c>
      <c r="S61" s="3" t="s">
        <v>701</v>
      </c>
    </row>
    <row r="62" spans="1:19" s="3" customFormat="1" ht="80.099999999999994" customHeight="1">
      <c r="A62" s="3" t="s">
        <v>253</v>
      </c>
      <c r="B62" s="30" t="s">
        <v>438</v>
      </c>
      <c r="C62" s="30" t="s">
        <v>437</v>
      </c>
      <c r="D62" s="31" t="s">
        <v>907</v>
      </c>
      <c r="E62" s="49" t="s">
        <v>929</v>
      </c>
      <c r="F62" s="32" t="s">
        <v>254</v>
      </c>
      <c r="G62" s="5" t="s">
        <v>255</v>
      </c>
      <c r="I62" s="3" t="s">
        <v>95</v>
      </c>
      <c r="K62" s="3" t="s">
        <v>775</v>
      </c>
      <c r="L62" s="10">
        <v>2</v>
      </c>
      <c r="M62" s="3" t="s">
        <v>29</v>
      </c>
      <c r="N62" s="42" t="s">
        <v>484</v>
      </c>
      <c r="O62" s="43" t="s">
        <v>647</v>
      </c>
      <c r="P62" s="3" t="s">
        <v>561</v>
      </c>
      <c r="Q62" s="3" t="s">
        <v>867</v>
      </c>
    </row>
    <row r="63" spans="1:19" s="3" customFormat="1" ht="80.099999999999994" customHeight="1">
      <c r="A63" s="3" t="s">
        <v>256</v>
      </c>
      <c r="B63" s="30" t="s">
        <v>438</v>
      </c>
      <c r="C63" s="30" t="s">
        <v>437</v>
      </c>
      <c r="D63" s="31" t="s">
        <v>908</v>
      </c>
      <c r="E63" s="54" t="s">
        <v>930</v>
      </c>
      <c r="F63" s="32" t="s">
        <v>257</v>
      </c>
      <c r="G63" s="5" t="s">
        <v>258</v>
      </c>
      <c r="H63" s="3" t="s">
        <v>259</v>
      </c>
      <c r="I63" s="3" t="s">
        <v>15</v>
      </c>
      <c r="K63" s="3" t="s">
        <v>776</v>
      </c>
      <c r="L63" s="10">
        <v>2</v>
      </c>
      <c r="M63" s="3" t="s">
        <v>35</v>
      </c>
      <c r="N63" s="42"/>
      <c r="O63" s="43"/>
      <c r="P63" s="3" t="s">
        <v>562</v>
      </c>
      <c r="Q63" s="3" t="s">
        <v>868</v>
      </c>
    </row>
    <row r="64" spans="1:19" s="3" customFormat="1" ht="80.099999999999994" customHeight="1">
      <c r="A64" s="3" t="s">
        <v>260</v>
      </c>
      <c r="B64" s="30" t="s">
        <v>438</v>
      </c>
      <c r="C64" s="30" t="s">
        <v>437</v>
      </c>
      <c r="D64" s="31" t="s">
        <v>908</v>
      </c>
      <c r="E64" s="49" t="s">
        <v>930</v>
      </c>
      <c r="F64" s="32" t="s">
        <v>261</v>
      </c>
      <c r="G64" s="5" t="s">
        <v>262</v>
      </c>
      <c r="H64" s="3" t="s">
        <v>263</v>
      </c>
      <c r="I64" s="3" t="s">
        <v>15</v>
      </c>
      <c r="K64" s="3" t="s">
        <v>777</v>
      </c>
      <c r="L64" s="10">
        <v>2</v>
      </c>
      <c r="M64" s="3" t="s">
        <v>18</v>
      </c>
      <c r="N64" s="42" t="s">
        <v>485</v>
      </c>
      <c r="O64" s="43"/>
      <c r="P64" s="3" t="s">
        <v>563</v>
      </c>
      <c r="Q64" s="3" t="s">
        <v>869</v>
      </c>
      <c r="S64" s="3" t="s">
        <v>679</v>
      </c>
    </row>
    <row r="65" spans="1:19" s="3" customFormat="1" ht="80.099999999999994" customHeight="1">
      <c r="A65" s="3" t="s">
        <v>264</v>
      </c>
      <c r="B65" s="30" t="s">
        <v>438</v>
      </c>
      <c r="C65" s="30" t="s">
        <v>437</v>
      </c>
      <c r="D65" s="31" t="s">
        <v>909</v>
      </c>
      <c r="E65" s="54" t="s">
        <v>931</v>
      </c>
      <c r="F65" s="32" t="s">
        <v>265</v>
      </c>
      <c r="G65" s="5" t="s">
        <v>266</v>
      </c>
      <c r="I65" s="3" t="s">
        <v>15</v>
      </c>
      <c r="K65" s="3" t="s">
        <v>778</v>
      </c>
      <c r="L65" s="10">
        <v>1</v>
      </c>
      <c r="M65" s="3" t="s">
        <v>29</v>
      </c>
      <c r="N65" s="42" t="s">
        <v>486</v>
      </c>
      <c r="O65" s="43"/>
      <c r="P65" s="3" t="s">
        <v>564</v>
      </c>
      <c r="Q65" s="3" t="s">
        <v>870</v>
      </c>
      <c r="S65" s="3" t="s">
        <v>679</v>
      </c>
    </row>
    <row r="66" spans="1:19" s="3" customFormat="1" ht="80.099999999999994" customHeight="1">
      <c r="A66" s="3" t="s">
        <v>267</v>
      </c>
      <c r="B66" s="30" t="s">
        <v>438</v>
      </c>
      <c r="C66" s="30" t="s">
        <v>437</v>
      </c>
      <c r="D66" s="31" t="s">
        <v>909</v>
      </c>
      <c r="E66" s="49" t="s">
        <v>931</v>
      </c>
      <c r="F66" s="32" t="s">
        <v>268</v>
      </c>
      <c r="G66" s="5" t="s">
        <v>269</v>
      </c>
      <c r="I66" s="3" t="s">
        <v>15</v>
      </c>
      <c r="K66" s="3" t="s">
        <v>779</v>
      </c>
      <c r="L66" s="10">
        <v>1</v>
      </c>
      <c r="M66" s="3" t="s">
        <v>29</v>
      </c>
      <c r="N66" s="42" t="s">
        <v>487</v>
      </c>
      <c r="O66" s="43"/>
      <c r="P66" s="3" t="s">
        <v>565</v>
      </c>
      <c r="Q66" s="3" t="s">
        <v>871</v>
      </c>
      <c r="S66" s="3" t="s">
        <v>702</v>
      </c>
    </row>
    <row r="67" spans="1:19" s="3" customFormat="1" ht="80.099999999999994" customHeight="1">
      <c r="A67" s="3" t="s">
        <v>270</v>
      </c>
      <c r="B67" s="30" t="s">
        <v>438</v>
      </c>
      <c r="C67" s="30" t="s">
        <v>437</v>
      </c>
      <c r="D67" s="31" t="s">
        <v>909</v>
      </c>
      <c r="E67" s="49" t="s">
        <v>931</v>
      </c>
      <c r="F67" s="32" t="s">
        <v>271</v>
      </c>
      <c r="G67" s="5" t="s">
        <v>272</v>
      </c>
      <c r="H67" s="3" t="s">
        <v>273</v>
      </c>
      <c r="I67" s="3" t="s">
        <v>15</v>
      </c>
      <c r="K67" s="3" t="s">
        <v>780</v>
      </c>
      <c r="L67" s="10">
        <v>2</v>
      </c>
      <c r="M67" s="3" t="s">
        <v>18</v>
      </c>
      <c r="N67" s="42" t="s">
        <v>488</v>
      </c>
      <c r="O67" s="43"/>
      <c r="P67" s="3" t="s">
        <v>566</v>
      </c>
      <c r="Q67" s="3" t="s">
        <v>872</v>
      </c>
    </row>
    <row r="68" spans="1:19" s="3" customFormat="1" ht="80.099999999999994" customHeight="1">
      <c r="A68" s="3" t="s">
        <v>274</v>
      </c>
      <c r="B68" s="30" t="s">
        <v>438</v>
      </c>
      <c r="C68" s="30" t="s">
        <v>437</v>
      </c>
      <c r="D68" s="31" t="s">
        <v>909</v>
      </c>
      <c r="E68" s="49" t="s">
        <v>931</v>
      </c>
      <c r="F68" s="32" t="s">
        <v>275</v>
      </c>
      <c r="G68" s="5" t="s">
        <v>276</v>
      </c>
      <c r="H68" s="3" t="s">
        <v>277</v>
      </c>
      <c r="I68" s="3" t="s">
        <v>15</v>
      </c>
      <c r="K68" s="3" t="s">
        <v>781</v>
      </c>
      <c r="L68" s="10">
        <v>2</v>
      </c>
      <c r="M68" s="3" t="s">
        <v>35</v>
      </c>
      <c r="N68" s="42" t="s">
        <v>489</v>
      </c>
      <c r="O68" s="43" t="s">
        <v>648</v>
      </c>
      <c r="P68" s="3" t="s">
        <v>567</v>
      </c>
      <c r="Q68" s="3" t="s">
        <v>873</v>
      </c>
    </row>
    <row r="69" spans="1:19" s="3" customFormat="1" ht="80.099999999999994" customHeight="1">
      <c r="A69" s="3" t="s">
        <v>278</v>
      </c>
      <c r="B69" s="30" t="s">
        <v>438</v>
      </c>
      <c r="C69" s="30" t="s">
        <v>437</v>
      </c>
      <c r="D69" s="31" t="s">
        <v>909</v>
      </c>
      <c r="E69" s="49" t="s">
        <v>931</v>
      </c>
      <c r="F69" s="32" t="s">
        <v>279</v>
      </c>
      <c r="G69" s="5" t="s">
        <v>280</v>
      </c>
      <c r="I69" s="3" t="s">
        <v>65</v>
      </c>
      <c r="K69" s="3" t="s">
        <v>782</v>
      </c>
      <c r="L69" s="10">
        <v>2</v>
      </c>
      <c r="M69" s="3" t="s">
        <v>35</v>
      </c>
      <c r="N69" s="42"/>
      <c r="O69" s="43" t="s">
        <v>649</v>
      </c>
      <c r="P69" s="3" t="s">
        <v>568</v>
      </c>
      <c r="S69" s="3" t="s">
        <v>703</v>
      </c>
    </row>
    <row r="70" spans="1:19" s="3" customFormat="1" ht="80.099999999999994" customHeight="1">
      <c r="A70" s="3" t="s">
        <v>281</v>
      </c>
      <c r="B70" s="33" t="s">
        <v>439</v>
      </c>
      <c r="C70" s="33" t="s">
        <v>440</v>
      </c>
      <c r="D70" s="34" t="s">
        <v>282</v>
      </c>
      <c r="E70" s="50" t="s">
        <v>283</v>
      </c>
      <c r="F70" s="35" t="s">
        <v>284</v>
      </c>
      <c r="G70" s="6" t="s">
        <v>285</v>
      </c>
      <c r="H70" s="3" t="s">
        <v>286</v>
      </c>
      <c r="I70" s="3" t="s">
        <v>95</v>
      </c>
      <c r="K70" s="3" t="s">
        <v>783</v>
      </c>
      <c r="L70" s="10">
        <v>2</v>
      </c>
      <c r="M70" s="3" t="s">
        <v>18</v>
      </c>
      <c r="N70" s="42" t="s">
        <v>490</v>
      </c>
      <c r="O70" s="43" t="s">
        <v>650</v>
      </c>
      <c r="P70" s="3" t="s">
        <v>569</v>
      </c>
      <c r="Q70" s="3" t="s">
        <v>874</v>
      </c>
    </row>
    <row r="71" spans="1:19" s="3" customFormat="1" ht="80.099999999999994" customHeight="1">
      <c r="A71" s="3" t="s">
        <v>287</v>
      </c>
      <c r="B71" s="33" t="s">
        <v>439</v>
      </c>
      <c r="C71" s="33" t="s">
        <v>440</v>
      </c>
      <c r="D71" s="34" t="s">
        <v>282</v>
      </c>
      <c r="E71" s="50" t="s">
        <v>283</v>
      </c>
      <c r="F71" s="35" t="s">
        <v>288</v>
      </c>
      <c r="G71" s="6" t="s">
        <v>289</v>
      </c>
      <c r="H71" s="3" t="s">
        <v>290</v>
      </c>
      <c r="I71" s="3" t="s">
        <v>95</v>
      </c>
      <c r="K71" s="3" t="s">
        <v>784</v>
      </c>
      <c r="L71" s="10">
        <v>2</v>
      </c>
      <c r="M71" s="3" t="s">
        <v>29</v>
      </c>
      <c r="N71" s="42" t="s">
        <v>491</v>
      </c>
      <c r="O71" s="43" t="s">
        <v>651</v>
      </c>
      <c r="P71" s="3" t="s">
        <v>570</v>
      </c>
      <c r="Q71" s="3" t="s">
        <v>875</v>
      </c>
      <c r="S71" s="3" t="s">
        <v>704</v>
      </c>
    </row>
    <row r="72" spans="1:19" s="3" customFormat="1" ht="80.099999999999994" customHeight="1">
      <c r="A72" s="3" t="s">
        <v>291</v>
      </c>
      <c r="B72" s="33" t="s">
        <v>439</v>
      </c>
      <c r="C72" s="33" t="s">
        <v>440</v>
      </c>
      <c r="D72" s="34" t="s">
        <v>282</v>
      </c>
      <c r="E72" s="50" t="s">
        <v>283</v>
      </c>
      <c r="F72" s="35" t="s">
        <v>292</v>
      </c>
      <c r="G72" s="6" t="s">
        <v>293</v>
      </c>
      <c r="H72" s="3" t="s">
        <v>294</v>
      </c>
      <c r="I72" s="3" t="s">
        <v>95</v>
      </c>
      <c r="K72" s="3" t="s">
        <v>785</v>
      </c>
      <c r="L72" s="10">
        <v>1</v>
      </c>
      <c r="M72" s="3" t="s">
        <v>29</v>
      </c>
      <c r="N72" s="42" t="s">
        <v>492</v>
      </c>
      <c r="O72" s="43"/>
      <c r="P72" s="3" t="s">
        <v>571</v>
      </c>
      <c r="Q72" s="3" t="s">
        <v>876</v>
      </c>
    </row>
    <row r="73" spans="1:19" s="3" customFormat="1" ht="80.099999999999994" customHeight="1">
      <c r="A73" s="3" t="s">
        <v>295</v>
      </c>
      <c r="B73" s="33" t="s">
        <v>439</v>
      </c>
      <c r="C73" s="33" t="s">
        <v>440</v>
      </c>
      <c r="D73" s="34" t="s">
        <v>282</v>
      </c>
      <c r="E73" s="50" t="s">
        <v>283</v>
      </c>
      <c r="F73" s="35" t="s">
        <v>296</v>
      </c>
      <c r="G73" s="6" t="s">
        <v>297</v>
      </c>
      <c r="H73" s="3" t="s">
        <v>298</v>
      </c>
      <c r="I73" s="3" t="s">
        <v>95</v>
      </c>
      <c r="K73" s="3" t="s">
        <v>786</v>
      </c>
      <c r="L73" s="10">
        <v>2</v>
      </c>
      <c r="M73" s="3" t="s">
        <v>35</v>
      </c>
      <c r="N73" s="42" t="s">
        <v>493</v>
      </c>
      <c r="O73" s="43" t="s">
        <v>615</v>
      </c>
      <c r="P73" s="3" t="s">
        <v>572</v>
      </c>
      <c r="Q73" s="3" t="s">
        <v>863</v>
      </c>
      <c r="S73" s="3" t="s">
        <v>705</v>
      </c>
    </row>
    <row r="74" spans="1:19" s="3" customFormat="1" ht="80.099999999999994" customHeight="1">
      <c r="A74" s="3" t="s">
        <v>299</v>
      </c>
      <c r="B74" s="33" t="s">
        <v>439</v>
      </c>
      <c r="C74" s="33" t="s">
        <v>440</v>
      </c>
      <c r="D74" s="34" t="s">
        <v>282</v>
      </c>
      <c r="E74" s="50" t="s">
        <v>283</v>
      </c>
      <c r="F74" s="35" t="s">
        <v>300</v>
      </c>
      <c r="G74" s="6" t="s">
        <v>301</v>
      </c>
      <c r="H74" s="3" t="s">
        <v>294</v>
      </c>
      <c r="I74" s="3" t="s">
        <v>95</v>
      </c>
      <c r="K74" s="3" t="s">
        <v>787</v>
      </c>
      <c r="L74" s="10">
        <v>1</v>
      </c>
      <c r="M74" s="3" t="s">
        <v>29</v>
      </c>
      <c r="N74" s="42" t="s">
        <v>494</v>
      </c>
      <c r="O74" s="43" t="s">
        <v>606</v>
      </c>
      <c r="P74" s="3" t="s">
        <v>573</v>
      </c>
      <c r="Q74" s="3" t="s">
        <v>877</v>
      </c>
      <c r="S74" s="3" t="s">
        <v>703</v>
      </c>
    </row>
    <row r="75" spans="1:19" s="3" customFormat="1" ht="80.099999999999994" customHeight="1">
      <c r="A75" s="3" t="s">
        <v>302</v>
      </c>
      <c r="B75" s="33" t="s">
        <v>439</v>
      </c>
      <c r="C75" s="33" t="s">
        <v>440</v>
      </c>
      <c r="D75" s="34" t="s">
        <v>303</v>
      </c>
      <c r="E75" s="50" t="s">
        <v>304</v>
      </c>
      <c r="F75" s="35" t="s">
        <v>305</v>
      </c>
      <c r="G75" s="6" t="s">
        <v>306</v>
      </c>
      <c r="H75" s="3" t="s">
        <v>307</v>
      </c>
      <c r="I75" s="3" t="s">
        <v>95</v>
      </c>
      <c r="K75" s="3" t="s">
        <v>788</v>
      </c>
      <c r="L75" s="10">
        <v>1</v>
      </c>
      <c r="M75" s="3" t="s">
        <v>35</v>
      </c>
      <c r="N75" s="42" t="s">
        <v>495</v>
      </c>
      <c r="O75" s="43" t="s">
        <v>652</v>
      </c>
      <c r="P75" s="3" t="s">
        <v>574</v>
      </c>
      <c r="Q75" s="3" t="s">
        <v>878</v>
      </c>
    </row>
    <row r="76" spans="1:19" s="3" customFormat="1" ht="80.099999999999994" customHeight="1">
      <c r="A76" s="3" t="s">
        <v>308</v>
      </c>
      <c r="B76" s="33" t="s">
        <v>439</v>
      </c>
      <c r="C76" s="33" t="s">
        <v>440</v>
      </c>
      <c r="D76" s="34" t="s">
        <v>303</v>
      </c>
      <c r="E76" s="50" t="s">
        <v>304</v>
      </c>
      <c r="F76" s="35" t="s">
        <v>309</v>
      </c>
      <c r="G76" s="6" t="s">
        <v>310</v>
      </c>
      <c r="H76" s="3" t="s">
        <v>789</v>
      </c>
      <c r="I76" s="3" t="s">
        <v>15</v>
      </c>
      <c r="K76" s="3" t="s">
        <v>790</v>
      </c>
      <c r="L76" s="10">
        <v>2</v>
      </c>
      <c r="M76" s="3" t="s">
        <v>35</v>
      </c>
      <c r="N76" s="42"/>
      <c r="O76" s="43" t="s">
        <v>653</v>
      </c>
      <c r="P76" s="3" t="s">
        <v>575</v>
      </c>
      <c r="Q76" s="3" t="s">
        <v>879</v>
      </c>
      <c r="S76" s="3" t="s">
        <v>706</v>
      </c>
    </row>
    <row r="77" spans="1:19" s="3" customFormat="1" ht="80.099999999999994" customHeight="1">
      <c r="A77" s="3" t="s">
        <v>311</v>
      </c>
      <c r="B77" s="33" t="s">
        <v>439</v>
      </c>
      <c r="C77" s="33" t="s">
        <v>440</v>
      </c>
      <c r="D77" s="34" t="s">
        <v>303</v>
      </c>
      <c r="E77" s="50" t="s">
        <v>304</v>
      </c>
      <c r="F77" s="35" t="s">
        <v>312</v>
      </c>
      <c r="G77" s="6" t="s">
        <v>313</v>
      </c>
      <c r="H77" s="3" t="s">
        <v>314</v>
      </c>
      <c r="I77" s="3" t="s">
        <v>95</v>
      </c>
      <c r="K77" s="3" t="s">
        <v>791</v>
      </c>
      <c r="L77" s="10">
        <v>2</v>
      </c>
      <c r="M77" s="3" t="s">
        <v>29</v>
      </c>
      <c r="N77" s="42" t="s">
        <v>496</v>
      </c>
      <c r="O77" s="43" t="s">
        <v>654</v>
      </c>
      <c r="P77" s="3" t="s">
        <v>576</v>
      </c>
      <c r="Q77" s="3" t="s">
        <v>880</v>
      </c>
      <c r="S77" s="3" t="s">
        <v>679</v>
      </c>
    </row>
    <row r="78" spans="1:19" s="3" customFormat="1" ht="80.099999999999994" customHeight="1">
      <c r="A78" s="3" t="s">
        <v>315</v>
      </c>
      <c r="B78" s="33" t="s">
        <v>439</v>
      </c>
      <c r="C78" s="33" t="s">
        <v>440</v>
      </c>
      <c r="D78" s="34" t="s">
        <v>303</v>
      </c>
      <c r="E78" s="50" t="s">
        <v>304</v>
      </c>
      <c r="F78" s="35" t="s">
        <v>316</v>
      </c>
      <c r="G78" s="6" t="s">
        <v>317</v>
      </c>
      <c r="H78" s="3" t="s">
        <v>318</v>
      </c>
      <c r="I78" s="3" t="s">
        <v>95</v>
      </c>
      <c r="K78" s="3" t="s">
        <v>792</v>
      </c>
      <c r="L78" s="10">
        <v>2</v>
      </c>
      <c r="M78" s="3" t="s">
        <v>29</v>
      </c>
      <c r="N78" s="42" t="s">
        <v>497</v>
      </c>
      <c r="O78" s="43" t="s">
        <v>636</v>
      </c>
      <c r="P78" s="3" t="s">
        <v>577</v>
      </c>
      <c r="Q78" s="3" t="s">
        <v>881</v>
      </c>
      <c r="S78" s="3" t="s">
        <v>695</v>
      </c>
    </row>
    <row r="79" spans="1:19" s="3" customFormat="1" ht="80.099999999999994" customHeight="1">
      <c r="A79" s="3" t="s">
        <v>319</v>
      </c>
      <c r="B79" s="33" t="s">
        <v>439</v>
      </c>
      <c r="C79" s="33" t="s">
        <v>440</v>
      </c>
      <c r="D79" s="34" t="s">
        <v>303</v>
      </c>
      <c r="E79" s="50" t="s">
        <v>304</v>
      </c>
      <c r="F79" s="35" t="s">
        <v>320</v>
      </c>
      <c r="G79" s="6" t="s">
        <v>321</v>
      </c>
      <c r="H79" s="3" t="s">
        <v>322</v>
      </c>
      <c r="I79" s="3" t="s">
        <v>95</v>
      </c>
      <c r="K79" s="3" t="s">
        <v>793</v>
      </c>
      <c r="L79" s="10">
        <v>2</v>
      </c>
      <c r="M79" s="3" t="s">
        <v>35</v>
      </c>
      <c r="N79" s="42" t="s">
        <v>498</v>
      </c>
      <c r="O79" s="43" t="s">
        <v>655</v>
      </c>
      <c r="P79" s="3" t="s">
        <v>578</v>
      </c>
      <c r="Q79" s="3" t="s">
        <v>881</v>
      </c>
      <c r="S79" s="3" t="s">
        <v>707</v>
      </c>
    </row>
    <row r="80" spans="1:19" s="3" customFormat="1" ht="80.099999999999994" customHeight="1">
      <c r="A80" s="3" t="s">
        <v>323</v>
      </c>
      <c r="B80" s="33" t="s">
        <v>439</v>
      </c>
      <c r="C80" s="33" t="s">
        <v>440</v>
      </c>
      <c r="D80" s="34" t="s">
        <v>303</v>
      </c>
      <c r="E80" s="50" t="s">
        <v>304</v>
      </c>
      <c r="F80" s="35" t="s">
        <v>324</v>
      </c>
      <c r="G80" s="6" t="s">
        <v>325</v>
      </c>
      <c r="H80" s="3" t="s">
        <v>326</v>
      </c>
      <c r="I80" s="3" t="s">
        <v>95</v>
      </c>
      <c r="K80" s="3" t="s">
        <v>794</v>
      </c>
      <c r="L80" s="10">
        <v>1</v>
      </c>
      <c r="M80" s="3" t="s">
        <v>18</v>
      </c>
      <c r="N80" s="42"/>
      <c r="O80" s="43" t="s">
        <v>656</v>
      </c>
      <c r="P80" s="3" t="s">
        <v>579</v>
      </c>
      <c r="Q80" s="3" t="s">
        <v>882</v>
      </c>
    </row>
    <row r="81" spans="1:19" s="3" customFormat="1" ht="80.099999999999994" customHeight="1">
      <c r="A81" s="3" t="s">
        <v>327</v>
      </c>
      <c r="B81" s="33" t="s">
        <v>439</v>
      </c>
      <c r="C81" s="33" t="s">
        <v>440</v>
      </c>
      <c r="D81" s="34" t="s">
        <v>303</v>
      </c>
      <c r="E81" s="50" t="s">
        <v>304</v>
      </c>
      <c r="F81" s="35" t="s">
        <v>328</v>
      </c>
      <c r="G81" s="6" t="s">
        <v>329</v>
      </c>
      <c r="I81" s="3" t="s">
        <v>95</v>
      </c>
      <c r="K81" s="3" t="s">
        <v>795</v>
      </c>
      <c r="L81" s="10">
        <v>1</v>
      </c>
      <c r="M81" s="3" t="s">
        <v>29</v>
      </c>
      <c r="N81" s="42" t="s">
        <v>499</v>
      </c>
      <c r="O81" s="43" t="s">
        <v>657</v>
      </c>
      <c r="P81" s="3" t="s">
        <v>580</v>
      </c>
      <c r="Q81" s="3" t="s">
        <v>883</v>
      </c>
    </row>
    <row r="82" spans="1:19" s="3" customFormat="1" ht="80.099999999999994" customHeight="1">
      <c r="A82" s="3" t="s">
        <v>330</v>
      </c>
      <c r="B82" s="33" t="s">
        <v>439</v>
      </c>
      <c r="C82" s="33" t="s">
        <v>440</v>
      </c>
      <c r="D82" s="34" t="s">
        <v>303</v>
      </c>
      <c r="E82" s="50" t="s">
        <v>304</v>
      </c>
      <c r="F82" s="35" t="s">
        <v>331</v>
      </c>
      <c r="G82" s="6" t="s">
        <v>332</v>
      </c>
      <c r="H82" s="3" t="s">
        <v>333</v>
      </c>
      <c r="I82" s="3" t="s">
        <v>95</v>
      </c>
      <c r="K82" s="3" t="s">
        <v>796</v>
      </c>
      <c r="L82" s="10">
        <v>1</v>
      </c>
      <c r="M82" s="3" t="s">
        <v>29</v>
      </c>
      <c r="N82" s="42" t="s">
        <v>500</v>
      </c>
      <c r="O82" s="43" t="s">
        <v>654</v>
      </c>
      <c r="P82" s="3" t="s">
        <v>581</v>
      </c>
      <c r="Q82" s="3" t="s">
        <v>884</v>
      </c>
    </row>
    <row r="83" spans="1:19" s="3" customFormat="1" ht="80.099999999999994" customHeight="1">
      <c r="A83" s="3" t="s">
        <v>334</v>
      </c>
      <c r="B83" s="33" t="s">
        <v>439</v>
      </c>
      <c r="C83" s="33" t="s">
        <v>440</v>
      </c>
      <c r="D83" s="34" t="s">
        <v>335</v>
      </c>
      <c r="E83" s="50" t="s">
        <v>336</v>
      </c>
      <c r="F83" s="35" t="s">
        <v>337</v>
      </c>
      <c r="G83" s="6" t="s">
        <v>338</v>
      </c>
      <c r="I83" s="3" t="s">
        <v>27</v>
      </c>
      <c r="K83" s="3" t="s">
        <v>797</v>
      </c>
      <c r="L83" s="10">
        <v>2</v>
      </c>
      <c r="M83" s="3" t="s">
        <v>35</v>
      </c>
      <c r="N83" s="42" t="s">
        <v>464</v>
      </c>
      <c r="O83" s="43"/>
      <c r="P83" s="3" t="s">
        <v>582</v>
      </c>
      <c r="Q83" s="3" t="s">
        <v>885</v>
      </c>
    </row>
    <row r="84" spans="1:19" s="3" customFormat="1" ht="80.099999999999994" customHeight="1">
      <c r="A84" s="3" t="s">
        <v>339</v>
      </c>
      <c r="B84" s="33" t="s">
        <v>439</v>
      </c>
      <c r="C84" s="33" t="s">
        <v>440</v>
      </c>
      <c r="D84" s="34" t="s">
        <v>335</v>
      </c>
      <c r="E84" s="50" t="s">
        <v>336</v>
      </c>
      <c r="F84" s="35" t="s">
        <v>340</v>
      </c>
      <c r="G84" s="6" t="s">
        <v>341</v>
      </c>
      <c r="I84" s="3" t="s">
        <v>27</v>
      </c>
      <c r="K84" s="3" t="s">
        <v>799</v>
      </c>
      <c r="L84" s="10">
        <v>1</v>
      </c>
      <c r="M84" s="3" t="s">
        <v>29</v>
      </c>
      <c r="N84" s="42"/>
      <c r="O84" s="43"/>
      <c r="P84" s="3" t="s">
        <v>583</v>
      </c>
      <c r="Q84" s="3" t="s">
        <v>886</v>
      </c>
    </row>
    <row r="85" spans="1:19" s="3" customFormat="1" ht="80.099999999999994" customHeight="1">
      <c r="A85" s="3" t="s">
        <v>343</v>
      </c>
      <c r="B85" s="33" t="s">
        <v>439</v>
      </c>
      <c r="C85" s="33" t="s">
        <v>440</v>
      </c>
      <c r="D85" s="34" t="s">
        <v>335</v>
      </c>
      <c r="E85" s="50" t="s">
        <v>336</v>
      </c>
      <c r="F85" s="35" t="s">
        <v>344</v>
      </c>
      <c r="G85" s="6" t="s">
        <v>345</v>
      </c>
      <c r="H85" s="3" t="s">
        <v>346</v>
      </c>
      <c r="I85" s="3" t="s">
        <v>95</v>
      </c>
      <c r="K85" s="3" t="s">
        <v>800</v>
      </c>
      <c r="L85" s="10">
        <v>1</v>
      </c>
      <c r="M85" s="3" t="s">
        <v>35</v>
      </c>
      <c r="N85" s="44"/>
      <c r="O85" s="43" t="s">
        <v>658</v>
      </c>
      <c r="P85" s="3" t="s">
        <v>584</v>
      </c>
      <c r="Q85" s="3" t="s">
        <v>887</v>
      </c>
      <c r="S85" s="3" t="s">
        <v>708</v>
      </c>
    </row>
    <row r="86" spans="1:19" s="3" customFormat="1" ht="80.099999999999994" customHeight="1">
      <c r="A86" s="3" t="s">
        <v>347</v>
      </c>
      <c r="B86" s="33" t="s">
        <v>439</v>
      </c>
      <c r="C86" s="33" t="s">
        <v>440</v>
      </c>
      <c r="D86" s="34" t="s">
        <v>335</v>
      </c>
      <c r="E86" s="50" t="s">
        <v>336</v>
      </c>
      <c r="F86" s="35" t="s">
        <v>348</v>
      </c>
      <c r="G86" s="6" t="s">
        <v>349</v>
      </c>
      <c r="I86" s="3" t="s">
        <v>95</v>
      </c>
      <c r="K86" s="3" t="s">
        <v>801</v>
      </c>
      <c r="L86" s="10">
        <v>1</v>
      </c>
      <c r="M86" s="3" t="s">
        <v>29</v>
      </c>
      <c r="N86" s="42" t="s">
        <v>464</v>
      </c>
      <c r="O86" s="43" t="s">
        <v>636</v>
      </c>
      <c r="P86" s="3" t="s">
        <v>585</v>
      </c>
      <c r="Q86" s="3" t="s">
        <v>888</v>
      </c>
    </row>
    <row r="87" spans="1:19" s="3" customFormat="1" ht="80.099999999999994" customHeight="1">
      <c r="A87" s="3" t="s">
        <v>350</v>
      </c>
      <c r="B87" s="33" t="s">
        <v>439</v>
      </c>
      <c r="C87" s="33" t="s">
        <v>440</v>
      </c>
      <c r="D87" s="34" t="s">
        <v>335</v>
      </c>
      <c r="E87" s="50" t="s">
        <v>336</v>
      </c>
      <c r="F87" s="35" t="s">
        <v>351</v>
      </c>
      <c r="G87" s="6" t="s">
        <v>352</v>
      </c>
      <c r="I87" s="3" t="s">
        <v>95</v>
      </c>
      <c r="K87" s="3" t="s">
        <v>802</v>
      </c>
      <c r="L87" s="10">
        <v>2</v>
      </c>
      <c r="M87" s="3" t="s">
        <v>35</v>
      </c>
      <c r="N87" s="42"/>
      <c r="O87" s="43" t="s">
        <v>659</v>
      </c>
      <c r="P87" s="3" t="s">
        <v>586</v>
      </c>
      <c r="Q87" s="3" t="s">
        <v>889</v>
      </c>
    </row>
    <row r="88" spans="1:19" s="3" customFormat="1" ht="80.099999999999994" customHeight="1">
      <c r="A88" s="3" t="s">
        <v>353</v>
      </c>
      <c r="B88" s="36" t="s">
        <v>441</v>
      </c>
      <c r="C88" s="36" t="s">
        <v>442</v>
      </c>
      <c r="D88" s="37" t="s">
        <v>354</v>
      </c>
      <c r="E88" s="51" t="s">
        <v>355</v>
      </c>
      <c r="F88" s="38" t="s">
        <v>356</v>
      </c>
      <c r="G88" s="7" t="s">
        <v>357</v>
      </c>
      <c r="I88" s="3" t="s">
        <v>95</v>
      </c>
      <c r="K88" s="3" t="s">
        <v>803</v>
      </c>
      <c r="L88" s="10">
        <v>2</v>
      </c>
      <c r="M88" s="3" t="s">
        <v>18</v>
      </c>
      <c r="N88" s="42" t="s">
        <v>464</v>
      </c>
      <c r="O88" s="43" t="s">
        <v>660</v>
      </c>
      <c r="P88" s="3" t="s">
        <v>587</v>
      </c>
      <c r="Q88" s="3" t="s">
        <v>890</v>
      </c>
    </row>
    <row r="89" spans="1:19" s="3" customFormat="1" ht="80.099999999999994" customHeight="1">
      <c r="A89" s="3" t="s">
        <v>358</v>
      </c>
      <c r="B89" s="36" t="s">
        <v>441</v>
      </c>
      <c r="C89" s="36" t="s">
        <v>442</v>
      </c>
      <c r="D89" s="37" t="s">
        <v>359</v>
      </c>
      <c r="E89" s="51" t="s">
        <v>360</v>
      </c>
      <c r="F89" s="38" t="s">
        <v>361</v>
      </c>
      <c r="G89" s="7" t="s">
        <v>362</v>
      </c>
      <c r="I89" s="3" t="s">
        <v>95</v>
      </c>
      <c r="K89" s="3" t="s">
        <v>804</v>
      </c>
      <c r="L89" s="10">
        <v>2</v>
      </c>
      <c r="M89" s="3" t="s">
        <v>18</v>
      </c>
      <c r="N89" s="42" t="s">
        <v>464</v>
      </c>
      <c r="O89" s="43" t="s">
        <v>655</v>
      </c>
      <c r="P89" s="3" t="s">
        <v>588</v>
      </c>
      <c r="Q89" s="3" t="s">
        <v>891</v>
      </c>
    </row>
    <row r="90" spans="1:19" s="3" customFormat="1" ht="80.099999999999994" customHeight="1">
      <c r="A90" s="3" t="s">
        <v>363</v>
      </c>
      <c r="B90" s="36" t="s">
        <v>441</v>
      </c>
      <c r="C90" s="36" t="s">
        <v>442</v>
      </c>
      <c r="D90" s="37" t="s">
        <v>359</v>
      </c>
      <c r="E90" s="51" t="s">
        <v>360</v>
      </c>
      <c r="F90" s="38" t="s">
        <v>364</v>
      </c>
      <c r="G90" s="7" t="s">
        <v>365</v>
      </c>
      <c r="I90" s="3" t="s">
        <v>95</v>
      </c>
      <c r="K90" s="3" t="s">
        <v>805</v>
      </c>
      <c r="L90" s="10">
        <v>2</v>
      </c>
      <c r="M90" s="3" t="s">
        <v>35</v>
      </c>
      <c r="N90" s="42" t="s">
        <v>464</v>
      </c>
      <c r="O90" s="43" t="s">
        <v>661</v>
      </c>
      <c r="P90" s="3" t="s">
        <v>589</v>
      </c>
      <c r="Q90" s="3" t="s">
        <v>892</v>
      </c>
    </row>
    <row r="91" spans="1:19" s="3" customFormat="1" ht="80.099999999999994" customHeight="1">
      <c r="A91" s="3" t="s">
        <v>366</v>
      </c>
      <c r="B91" s="36" t="s">
        <v>441</v>
      </c>
      <c r="C91" s="36" t="s">
        <v>442</v>
      </c>
      <c r="D91" s="37" t="s">
        <v>359</v>
      </c>
      <c r="E91" s="51" t="s">
        <v>360</v>
      </c>
      <c r="F91" s="38" t="s">
        <v>367</v>
      </c>
      <c r="G91" s="7" t="s">
        <v>368</v>
      </c>
      <c r="I91" s="3" t="s">
        <v>95</v>
      </c>
      <c r="K91" s="3" t="s">
        <v>806</v>
      </c>
      <c r="L91" s="10">
        <v>2</v>
      </c>
      <c r="M91" s="3" t="s">
        <v>18</v>
      </c>
      <c r="N91" s="42" t="s">
        <v>464</v>
      </c>
      <c r="O91" s="43" t="s">
        <v>615</v>
      </c>
      <c r="P91" s="3" t="s">
        <v>590</v>
      </c>
      <c r="Q91" s="3" t="s">
        <v>893</v>
      </c>
    </row>
    <row r="92" spans="1:19" s="3" customFormat="1" ht="80.099999999999994" customHeight="1">
      <c r="A92" s="3" t="s">
        <v>369</v>
      </c>
      <c r="B92" s="36" t="s">
        <v>441</v>
      </c>
      <c r="C92" s="36" t="s">
        <v>442</v>
      </c>
      <c r="D92" s="37" t="s">
        <v>359</v>
      </c>
      <c r="E92" s="51" t="s">
        <v>360</v>
      </c>
      <c r="F92" s="38" t="s">
        <v>370</v>
      </c>
      <c r="G92" s="7" t="s">
        <v>371</v>
      </c>
      <c r="I92" s="3" t="s">
        <v>95</v>
      </c>
      <c r="K92" s="3" t="s">
        <v>807</v>
      </c>
      <c r="L92" s="10">
        <v>2</v>
      </c>
      <c r="M92" s="3" t="s">
        <v>18</v>
      </c>
      <c r="N92" s="42" t="s">
        <v>464</v>
      </c>
      <c r="O92" s="43" t="s">
        <v>636</v>
      </c>
      <c r="P92" s="3" t="s">
        <v>591</v>
      </c>
      <c r="Q92" s="3" t="s">
        <v>864</v>
      </c>
      <c r="S92" s="3" t="s">
        <v>709</v>
      </c>
    </row>
    <row r="93" spans="1:19" s="3" customFormat="1" ht="80.099999999999994" customHeight="1">
      <c r="A93" s="3" t="s">
        <v>372</v>
      </c>
      <c r="B93" s="36" t="s">
        <v>441</v>
      </c>
      <c r="C93" s="36" t="s">
        <v>442</v>
      </c>
      <c r="D93" s="37" t="s">
        <v>359</v>
      </c>
      <c r="E93" s="51" t="s">
        <v>360</v>
      </c>
      <c r="F93" s="38" t="s">
        <v>373</v>
      </c>
      <c r="G93" s="7" t="s">
        <v>374</v>
      </c>
      <c r="I93" s="3" t="s">
        <v>95</v>
      </c>
      <c r="K93" s="3" t="s">
        <v>808</v>
      </c>
      <c r="L93" s="10">
        <v>2</v>
      </c>
      <c r="M93" s="3" t="s">
        <v>798</v>
      </c>
      <c r="N93" s="42" t="s">
        <v>464</v>
      </c>
      <c r="O93" s="43"/>
      <c r="P93" s="3" t="s">
        <v>592</v>
      </c>
      <c r="Q93" s="3" t="s">
        <v>894</v>
      </c>
    </row>
    <row r="94" spans="1:19" s="3" customFormat="1" ht="80.099999999999994" customHeight="1">
      <c r="A94" s="3" t="s">
        <v>375</v>
      </c>
      <c r="B94" s="36" t="s">
        <v>441</v>
      </c>
      <c r="C94" s="36" t="s">
        <v>442</v>
      </c>
      <c r="D94" s="37" t="s">
        <v>376</v>
      </c>
      <c r="E94" s="51" t="s">
        <v>377</v>
      </c>
      <c r="F94" s="38" t="s">
        <v>378</v>
      </c>
      <c r="G94" s="7" t="s">
        <v>379</v>
      </c>
      <c r="I94" s="3" t="s">
        <v>95</v>
      </c>
      <c r="K94" s="3" t="s">
        <v>809</v>
      </c>
      <c r="L94" s="10">
        <v>2</v>
      </c>
      <c r="M94" s="3" t="s">
        <v>18</v>
      </c>
      <c r="N94" s="42" t="s">
        <v>501</v>
      </c>
      <c r="O94" s="43" t="s">
        <v>655</v>
      </c>
      <c r="P94" s="3" t="s">
        <v>593</v>
      </c>
      <c r="Q94" s="3" t="s">
        <v>895</v>
      </c>
      <c r="S94" s="3" t="s">
        <v>710</v>
      </c>
    </row>
    <row r="95" spans="1:19" s="3" customFormat="1" ht="80.099999999999994" customHeight="1">
      <c r="A95" s="3" t="s">
        <v>380</v>
      </c>
      <c r="B95" s="36" t="s">
        <v>441</v>
      </c>
      <c r="C95" s="36" t="s">
        <v>442</v>
      </c>
      <c r="D95" s="37" t="s">
        <v>376</v>
      </c>
      <c r="E95" s="51" t="s">
        <v>377</v>
      </c>
      <c r="F95" s="38" t="s">
        <v>381</v>
      </c>
      <c r="G95" s="7" t="s">
        <v>382</v>
      </c>
      <c r="I95" s="3" t="s">
        <v>95</v>
      </c>
      <c r="K95" s="3" t="s">
        <v>810</v>
      </c>
      <c r="L95" s="10">
        <v>2</v>
      </c>
      <c r="M95" s="3" t="s">
        <v>35</v>
      </c>
      <c r="N95" s="44"/>
      <c r="O95" s="43"/>
      <c r="P95" s="3" t="s">
        <v>594</v>
      </c>
      <c r="Q95" s="3" t="s">
        <v>896</v>
      </c>
      <c r="S95" s="3" t="s">
        <v>711</v>
      </c>
    </row>
    <row r="96" spans="1:19" s="3" customFormat="1" ht="80.099999999999994" customHeight="1">
      <c r="A96" s="3" t="s">
        <v>383</v>
      </c>
      <c r="B96" s="36" t="s">
        <v>441</v>
      </c>
      <c r="C96" s="36" t="s">
        <v>442</v>
      </c>
      <c r="D96" s="37" t="s">
        <v>376</v>
      </c>
      <c r="E96" s="51" t="s">
        <v>377</v>
      </c>
      <c r="F96" s="38" t="s">
        <v>384</v>
      </c>
      <c r="G96" s="7" t="s">
        <v>385</v>
      </c>
      <c r="I96" s="3" t="s">
        <v>95</v>
      </c>
      <c r="K96" s="3" t="s">
        <v>811</v>
      </c>
      <c r="L96" s="10">
        <v>2</v>
      </c>
      <c r="M96" s="3" t="s">
        <v>35</v>
      </c>
      <c r="N96" s="44"/>
      <c r="O96" s="43"/>
      <c r="P96" s="3" t="s">
        <v>595</v>
      </c>
      <c r="Q96" s="3" t="s">
        <v>894</v>
      </c>
      <c r="S96" s="3" t="s">
        <v>712</v>
      </c>
    </row>
    <row r="97" spans="1:19" s="3" customFormat="1" ht="80.099999999999994" customHeight="1">
      <c r="A97" s="3" t="s">
        <v>386</v>
      </c>
      <c r="B97" s="36" t="s">
        <v>441</v>
      </c>
      <c r="C97" s="36" t="s">
        <v>442</v>
      </c>
      <c r="D97" s="37" t="s">
        <v>376</v>
      </c>
      <c r="E97" s="51" t="s">
        <v>377</v>
      </c>
      <c r="F97" s="38" t="s">
        <v>387</v>
      </c>
      <c r="G97" s="7" t="s">
        <v>388</v>
      </c>
      <c r="I97" s="3" t="s">
        <v>95</v>
      </c>
      <c r="K97" s="3" t="s">
        <v>812</v>
      </c>
      <c r="L97" s="10">
        <v>1</v>
      </c>
      <c r="M97" s="3" t="s">
        <v>35</v>
      </c>
      <c r="N97" s="42" t="s">
        <v>464</v>
      </c>
      <c r="O97" s="43"/>
      <c r="P97" s="3" t="s">
        <v>596</v>
      </c>
      <c r="Q97" s="3" t="s">
        <v>863</v>
      </c>
      <c r="S97" s="3" t="s">
        <v>713</v>
      </c>
    </row>
    <row r="98" spans="1:19" s="3" customFormat="1" ht="80.099999999999994" customHeight="1">
      <c r="A98" s="3" t="s">
        <v>389</v>
      </c>
      <c r="B98" s="36" t="s">
        <v>441</v>
      </c>
      <c r="C98" s="36" t="s">
        <v>442</v>
      </c>
      <c r="D98" s="37" t="s">
        <v>376</v>
      </c>
      <c r="E98" s="51" t="s">
        <v>377</v>
      </c>
      <c r="F98" s="38" t="s">
        <v>390</v>
      </c>
      <c r="G98" s="7" t="s">
        <v>391</v>
      </c>
      <c r="I98" s="3" t="s">
        <v>95</v>
      </c>
      <c r="K98" s="3" t="s">
        <v>813</v>
      </c>
      <c r="L98" s="10">
        <v>2</v>
      </c>
      <c r="M98" s="3" t="s">
        <v>35</v>
      </c>
      <c r="N98" s="42" t="s">
        <v>502</v>
      </c>
      <c r="O98" s="43"/>
      <c r="P98" s="3" t="s">
        <v>592</v>
      </c>
      <c r="S98" s="3" t="s">
        <v>714</v>
      </c>
    </row>
    <row r="99" spans="1:19" s="3" customFormat="1" ht="80.099999999999994" customHeight="1">
      <c r="A99" s="3" t="s">
        <v>392</v>
      </c>
      <c r="B99" s="36" t="s">
        <v>441</v>
      </c>
      <c r="C99" s="36" t="s">
        <v>442</v>
      </c>
      <c r="D99" s="37" t="s">
        <v>393</v>
      </c>
      <c r="E99" s="51" t="s">
        <v>394</v>
      </c>
      <c r="F99" s="38" t="s">
        <v>395</v>
      </c>
      <c r="G99" s="7" t="s">
        <v>396</v>
      </c>
      <c r="I99" s="3" t="s">
        <v>95</v>
      </c>
      <c r="K99" s="3" t="s">
        <v>814</v>
      </c>
      <c r="L99" s="10">
        <v>2</v>
      </c>
      <c r="M99" s="3" t="s">
        <v>18</v>
      </c>
      <c r="N99" s="42" t="s">
        <v>464</v>
      </c>
      <c r="O99" s="43"/>
      <c r="P99" s="3" t="s">
        <v>597</v>
      </c>
      <c r="Q99" s="3" t="s">
        <v>863</v>
      </c>
    </row>
    <row r="100" spans="1:19" s="3" customFormat="1" ht="80.099999999999994" customHeight="1">
      <c r="A100" s="3" t="s">
        <v>397</v>
      </c>
      <c r="B100" s="36" t="s">
        <v>441</v>
      </c>
      <c r="C100" s="36" t="s">
        <v>442</v>
      </c>
      <c r="D100" s="37" t="s">
        <v>393</v>
      </c>
      <c r="E100" s="51" t="s">
        <v>394</v>
      </c>
      <c r="F100" s="38" t="s">
        <v>398</v>
      </c>
      <c r="G100" s="7" t="s">
        <v>399</v>
      </c>
      <c r="I100" s="3" t="s">
        <v>95</v>
      </c>
      <c r="K100" s="3" t="s">
        <v>815</v>
      </c>
      <c r="L100" s="10">
        <v>2</v>
      </c>
      <c r="M100" s="3" t="s">
        <v>35</v>
      </c>
      <c r="N100" s="42" t="s">
        <v>502</v>
      </c>
      <c r="O100" s="43"/>
      <c r="P100" s="3" t="s">
        <v>597</v>
      </c>
      <c r="Q100" s="3" t="s">
        <v>863</v>
      </c>
    </row>
    <row r="101" spans="1:19" s="3" customFormat="1" ht="80.099999999999994" customHeight="1">
      <c r="A101" s="3" t="s">
        <v>400</v>
      </c>
      <c r="B101" s="36" t="s">
        <v>441</v>
      </c>
      <c r="C101" s="36" t="s">
        <v>442</v>
      </c>
      <c r="D101" s="37" t="s">
        <v>393</v>
      </c>
      <c r="E101" s="51" t="s">
        <v>394</v>
      </c>
      <c r="F101" s="38" t="s">
        <v>401</v>
      </c>
      <c r="G101" s="7" t="s">
        <v>402</v>
      </c>
      <c r="I101" s="3" t="s">
        <v>95</v>
      </c>
      <c r="K101" s="3" t="s">
        <v>816</v>
      </c>
      <c r="L101" s="10">
        <v>1</v>
      </c>
      <c r="M101" s="3" t="s">
        <v>29</v>
      </c>
      <c r="N101" s="42" t="s">
        <v>465</v>
      </c>
      <c r="O101" s="43"/>
      <c r="P101" s="3" t="s">
        <v>598</v>
      </c>
      <c r="Q101" s="3" t="s">
        <v>897</v>
      </c>
    </row>
    <row r="102" spans="1:19" s="3" customFormat="1" ht="80.099999999999994" customHeight="1">
      <c r="A102" s="3" t="s">
        <v>403</v>
      </c>
      <c r="B102" s="36" t="s">
        <v>441</v>
      </c>
      <c r="C102" s="36" t="s">
        <v>442</v>
      </c>
      <c r="D102" s="37" t="s">
        <v>404</v>
      </c>
      <c r="E102" s="51" t="s">
        <v>405</v>
      </c>
      <c r="F102" s="38" t="s">
        <v>406</v>
      </c>
      <c r="G102" s="7" t="s">
        <v>407</v>
      </c>
      <c r="I102" s="3" t="s">
        <v>27</v>
      </c>
      <c r="K102" s="3" t="s">
        <v>817</v>
      </c>
      <c r="L102" s="10">
        <v>2</v>
      </c>
      <c r="M102" s="3" t="s">
        <v>35</v>
      </c>
      <c r="N102" s="44"/>
      <c r="O102" s="43"/>
      <c r="P102" s="3" t="s">
        <v>591</v>
      </c>
      <c r="Q102" s="3" t="s">
        <v>898</v>
      </c>
    </row>
    <row r="103" spans="1:19" s="3" customFormat="1" ht="80.099999999999994" customHeight="1">
      <c r="A103" s="3" t="s">
        <v>408</v>
      </c>
      <c r="B103" s="36" t="s">
        <v>441</v>
      </c>
      <c r="C103" s="36" t="s">
        <v>442</v>
      </c>
      <c r="D103" s="37" t="s">
        <v>404</v>
      </c>
      <c r="E103" s="51" t="s">
        <v>405</v>
      </c>
      <c r="F103" s="38" t="s">
        <v>409</v>
      </c>
      <c r="G103" s="7" t="s">
        <v>410</v>
      </c>
      <c r="I103" s="3" t="s">
        <v>27</v>
      </c>
      <c r="K103" s="3" t="s">
        <v>818</v>
      </c>
      <c r="L103" s="10">
        <v>1</v>
      </c>
      <c r="M103" s="3" t="s">
        <v>18</v>
      </c>
      <c r="N103" s="43"/>
      <c r="O103" s="43"/>
      <c r="P103" s="3" t="s">
        <v>591</v>
      </c>
      <c r="Q103" s="3" t="s">
        <v>899</v>
      </c>
    </row>
    <row r="104" spans="1:19" s="3" customFormat="1" ht="80.099999999999994" customHeight="1">
      <c r="A104" s="3" t="s">
        <v>411</v>
      </c>
      <c r="B104" s="39" t="s">
        <v>443</v>
      </c>
      <c r="C104" s="39" t="s">
        <v>444</v>
      </c>
      <c r="D104" s="40" t="s">
        <v>354</v>
      </c>
      <c r="E104" s="52" t="s">
        <v>412</v>
      </c>
      <c r="F104" s="41" t="s">
        <v>413</v>
      </c>
      <c r="G104" s="8" t="s">
        <v>414</v>
      </c>
      <c r="H104" s="3" t="s">
        <v>415</v>
      </c>
      <c r="I104" s="3" t="s">
        <v>95</v>
      </c>
      <c r="K104" s="3" t="s">
        <v>819</v>
      </c>
      <c r="L104" s="10">
        <v>2</v>
      </c>
      <c r="M104" s="3" t="s">
        <v>29</v>
      </c>
      <c r="N104" s="43" t="s">
        <v>482</v>
      </c>
      <c r="O104" s="43"/>
      <c r="P104" s="3" t="s">
        <v>599</v>
      </c>
      <c r="Q104" s="3" t="s">
        <v>900</v>
      </c>
    </row>
    <row r="105" spans="1:19" s="3" customFormat="1" ht="80.099999999999994" customHeight="1">
      <c r="A105" s="3" t="s">
        <v>416</v>
      </c>
      <c r="B105" s="39" t="s">
        <v>443</v>
      </c>
      <c r="C105" s="39" t="s">
        <v>444</v>
      </c>
      <c r="D105" s="40" t="s">
        <v>404</v>
      </c>
      <c r="E105" s="52" t="s">
        <v>417</v>
      </c>
      <c r="F105" s="41" t="s">
        <v>418</v>
      </c>
      <c r="G105" s="8" t="s">
        <v>419</v>
      </c>
      <c r="I105" s="3" t="s">
        <v>27</v>
      </c>
      <c r="K105" s="3" t="s">
        <v>824</v>
      </c>
      <c r="L105" s="10">
        <v>1</v>
      </c>
      <c r="M105" s="3" t="s">
        <v>29</v>
      </c>
      <c r="N105" s="44"/>
      <c r="O105" s="43"/>
      <c r="P105" s="3" t="s">
        <v>591</v>
      </c>
      <c r="Q105" s="3" t="s">
        <v>900</v>
      </c>
    </row>
    <row r="106" spans="1:19" s="3" customFormat="1" ht="80.099999999999994" customHeight="1">
      <c r="A106" s="3" t="s">
        <v>420</v>
      </c>
      <c r="B106" s="39" t="s">
        <v>443</v>
      </c>
      <c r="C106" s="39" t="s">
        <v>444</v>
      </c>
      <c r="D106" s="40" t="s">
        <v>404</v>
      </c>
      <c r="E106" s="52" t="s">
        <v>417</v>
      </c>
      <c r="F106" s="41" t="s">
        <v>421</v>
      </c>
      <c r="G106" s="8" t="s">
        <v>422</v>
      </c>
      <c r="I106" s="3" t="s">
        <v>27</v>
      </c>
      <c r="K106" s="3" t="s">
        <v>823</v>
      </c>
      <c r="L106" s="10">
        <v>1</v>
      </c>
      <c r="M106" s="3" t="s">
        <v>29</v>
      </c>
      <c r="N106" s="44"/>
      <c r="O106" s="43"/>
      <c r="P106" s="3" t="s">
        <v>591</v>
      </c>
      <c r="Q106" s="3" t="s">
        <v>901</v>
      </c>
    </row>
    <row r="107" spans="1:19" s="3" customFormat="1" ht="80.099999999999994" customHeight="1">
      <c r="A107" s="3" t="s">
        <v>423</v>
      </c>
      <c r="B107" s="39" t="s">
        <v>443</v>
      </c>
      <c r="C107" s="39" t="s">
        <v>444</v>
      </c>
      <c r="D107" s="40" t="s">
        <v>359</v>
      </c>
      <c r="E107" s="52" t="s">
        <v>424</v>
      </c>
      <c r="F107" s="41" t="s">
        <v>425</v>
      </c>
      <c r="G107" s="8" t="s">
        <v>426</v>
      </c>
      <c r="I107" s="3" t="s">
        <v>27</v>
      </c>
      <c r="K107" s="3" t="s">
        <v>822</v>
      </c>
      <c r="L107" s="10">
        <v>1</v>
      </c>
      <c r="M107" s="3" t="s">
        <v>18</v>
      </c>
      <c r="N107" s="44"/>
      <c r="O107" s="43"/>
      <c r="Q107" s="3" t="s">
        <v>902</v>
      </c>
    </row>
    <row r="108" spans="1:19" s="3" customFormat="1" ht="80.099999999999994" customHeight="1">
      <c r="A108" s="3" t="s">
        <v>427</v>
      </c>
      <c r="B108" s="39" t="s">
        <v>443</v>
      </c>
      <c r="C108" s="39" t="s">
        <v>444</v>
      </c>
      <c r="D108" s="40" t="s">
        <v>359</v>
      </c>
      <c r="E108" s="52" t="s">
        <v>424</v>
      </c>
      <c r="F108" s="41" t="s">
        <v>428</v>
      </c>
      <c r="G108" s="8" t="s">
        <v>429</v>
      </c>
      <c r="I108" s="3" t="s">
        <v>27</v>
      </c>
      <c r="K108" s="3" t="s">
        <v>821</v>
      </c>
      <c r="L108" s="10">
        <v>2</v>
      </c>
      <c r="M108" s="3" t="s">
        <v>18</v>
      </c>
      <c r="N108" s="44"/>
      <c r="O108" s="43"/>
      <c r="Q108" s="3" t="s">
        <v>902</v>
      </c>
    </row>
    <row r="109" spans="1:19" s="3" customFormat="1" ht="80.099999999999994" customHeight="1">
      <c r="A109" s="3" t="s">
        <v>430</v>
      </c>
      <c r="B109" s="39" t="s">
        <v>443</v>
      </c>
      <c r="C109" s="39" t="s">
        <v>444</v>
      </c>
      <c r="D109" s="40" t="s">
        <v>359</v>
      </c>
      <c r="E109" s="52" t="s">
        <v>424</v>
      </c>
      <c r="F109" s="41" t="s">
        <v>431</v>
      </c>
      <c r="G109" s="8" t="s">
        <v>432</v>
      </c>
      <c r="I109" s="3" t="s">
        <v>27</v>
      </c>
      <c r="K109" s="3" t="s">
        <v>820</v>
      </c>
      <c r="L109" s="10">
        <v>1</v>
      </c>
      <c r="M109" s="3" t="s">
        <v>18</v>
      </c>
      <c r="N109" s="44"/>
      <c r="O109" s="43"/>
      <c r="P109" s="3" t="s">
        <v>600</v>
      </c>
      <c r="Q109" s="3" t="s">
        <v>903</v>
      </c>
    </row>
  </sheetData>
  <phoneticPr fontId="6" type="noConversion"/>
  <dataValidations count="2">
    <dataValidation type="list" allowBlank="1" showInputMessage="1" showErrorMessage="1" sqref="L2:L109" xr:uid="{0F4AE68B-9B73-4AD1-8B49-294D8911D7AE}">
      <formula1>KEY_Tier</formula1>
    </dataValidation>
    <dataValidation type="list" allowBlank="1" showInputMessage="1" showErrorMessage="1" sqref="M2:M109" xr:uid="{EED74B35-22D4-4718-A3DF-E48009ECE711}">
      <formula1>KEY_Pri</formula1>
    </dataValidation>
  </dataValidations>
  <pageMargins left="0.25" right="0.25" top="0.75" bottom="0.75" header="0.3" footer="0.3"/>
  <pageSetup scale="1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3C161-C0E5-4A76-977A-B221EB184079}">
  <dimension ref="A1:L109"/>
  <sheetViews>
    <sheetView showGridLines="0" zoomScale="90" zoomScaleNormal="90" workbookViewId="0">
      <selection activeCell="G3" sqref="G3"/>
    </sheetView>
  </sheetViews>
  <sheetFormatPr defaultRowHeight="15"/>
  <cols>
    <col min="1" max="1" width="13.7109375" customWidth="1"/>
    <col min="2" max="2" width="13.7109375" style="53" customWidth="1"/>
    <col min="3" max="3" width="50.85546875" customWidth="1"/>
    <col min="4" max="4" width="50.85546875" style="53" customWidth="1"/>
    <col min="5" max="5" width="14.28515625" customWidth="1"/>
    <col min="6" max="6" width="14.7109375" style="58" customWidth="1"/>
    <col min="10" max="10" width="51" customWidth="1"/>
    <col min="11" max="12" width="9.140625" style="58"/>
  </cols>
  <sheetData>
    <row r="1" spans="1:6" s="55" customFormat="1" ht="36.75" customHeight="1" thickBot="1">
      <c r="A1" s="102" t="s">
        <v>2</v>
      </c>
      <c r="B1" s="103" t="s">
        <v>933</v>
      </c>
      <c r="C1" s="102" t="s">
        <v>3</v>
      </c>
      <c r="D1" s="103" t="s">
        <v>934</v>
      </c>
      <c r="E1" s="102" t="s">
        <v>433</v>
      </c>
      <c r="F1" s="104" t="s">
        <v>932</v>
      </c>
    </row>
    <row r="2" spans="1:6" ht="15" customHeight="1" thickTop="1">
      <c r="A2" s="121" t="s">
        <v>435</v>
      </c>
      <c r="B2" s="113">
        <f>AVERAGEIF(E2:E109,"*ID.*",F2:F109)</f>
        <v>1.3448275862068966</v>
      </c>
      <c r="C2" s="108" t="s">
        <v>937</v>
      </c>
      <c r="D2" s="120">
        <f>AVERAGEIF(E2:E109,"*ID.AM*",F2:F109)</f>
        <v>1.3333333333333333</v>
      </c>
      <c r="E2" s="83" t="s">
        <v>12</v>
      </c>
      <c r="F2" s="84">
        <f>Tbl_Assess[[#This Row],[Assessed Tier]]</f>
        <v>1</v>
      </c>
    </row>
    <row r="3" spans="1:6">
      <c r="A3" s="122"/>
      <c r="B3" s="114"/>
      <c r="C3" s="109"/>
      <c r="D3" s="118"/>
      <c r="E3" s="85" t="s">
        <v>20</v>
      </c>
      <c r="F3" s="86">
        <f>Tbl_Assess[[#This Row],[Assessed Tier]]</f>
        <v>2</v>
      </c>
    </row>
    <row r="4" spans="1:6">
      <c r="A4" s="122"/>
      <c r="B4" s="114"/>
      <c r="C4" s="109"/>
      <c r="D4" s="118"/>
      <c r="E4" s="85" t="s">
        <v>25</v>
      </c>
      <c r="F4" s="86">
        <f>Tbl_Assess[[#This Row],[Assessed Tier]]</f>
        <v>1</v>
      </c>
    </row>
    <row r="5" spans="1:6">
      <c r="A5" s="122"/>
      <c r="B5" s="114"/>
      <c r="C5" s="109"/>
      <c r="D5" s="118"/>
      <c r="E5" s="85" t="s">
        <v>31</v>
      </c>
      <c r="F5" s="86">
        <f>Tbl_Assess[[#This Row],[Assessed Tier]]</f>
        <v>2</v>
      </c>
    </row>
    <row r="6" spans="1:6">
      <c r="A6" s="122"/>
      <c r="B6" s="114"/>
      <c r="C6" s="109"/>
      <c r="D6" s="118"/>
      <c r="E6" s="85" t="s">
        <v>37</v>
      </c>
      <c r="F6" s="86">
        <f>Tbl_Assess[[#This Row],[Assessed Tier]]</f>
        <v>1</v>
      </c>
    </row>
    <row r="7" spans="1:6">
      <c r="A7" s="122"/>
      <c r="B7" s="114"/>
      <c r="C7" s="109"/>
      <c r="D7" s="118"/>
      <c r="E7" s="85" t="s">
        <v>42</v>
      </c>
      <c r="F7" s="86">
        <f>Tbl_Assess[[#This Row],[Assessed Tier]]</f>
        <v>1</v>
      </c>
    </row>
    <row r="8" spans="1:6">
      <c r="A8" s="122"/>
      <c r="B8" s="114"/>
      <c r="C8" s="109" t="s">
        <v>938</v>
      </c>
      <c r="D8" s="118">
        <f>AVERAGEIF(E2:E109,"*ID.BE*",F2:F109)</f>
        <v>1.6</v>
      </c>
      <c r="E8" s="85" t="s">
        <v>49</v>
      </c>
      <c r="F8" s="86">
        <f>Tbl_Assess[[#This Row],[Assessed Tier]]</f>
        <v>2</v>
      </c>
    </row>
    <row r="9" spans="1:6">
      <c r="A9" s="122"/>
      <c r="B9" s="114"/>
      <c r="C9" s="109"/>
      <c r="D9" s="118"/>
      <c r="E9" s="85" t="s">
        <v>54</v>
      </c>
      <c r="F9" s="86">
        <f>Tbl_Assess[[#This Row],[Assessed Tier]]</f>
        <v>2</v>
      </c>
    </row>
    <row r="10" spans="1:6">
      <c r="A10" s="122"/>
      <c r="B10" s="114"/>
      <c r="C10" s="109"/>
      <c r="D10" s="118"/>
      <c r="E10" s="85" t="s">
        <v>58</v>
      </c>
      <c r="F10" s="86">
        <f>Tbl_Assess[[#This Row],[Assessed Tier]]</f>
        <v>2</v>
      </c>
    </row>
    <row r="11" spans="1:6">
      <c r="A11" s="122"/>
      <c r="B11" s="114"/>
      <c r="C11" s="109"/>
      <c r="D11" s="118"/>
      <c r="E11" s="85" t="s">
        <v>63</v>
      </c>
      <c r="F11" s="86">
        <f>Tbl_Assess[[#This Row],[Assessed Tier]]</f>
        <v>1</v>
      </c>
    </row>
    <row r="12" spans="1:6">
      <c r="A12" s="122"/>
      <c r="B12" s="114"/>
      <c r="C12" s="109"/>
      <c r="D12" s="118"/>
      <c r="E12" s="85" t="s">
        <v>68</v>
      </c>
      <c r="F12" s="86">
        <f>Tbl_Assess[[#This Row],[Assessed Tier]]</f>
        <v>1</v>
      </c>
    </row>
    <row r="13" spans="1:6">
      <c r="A13" s="122"/>
      <c r="B13" s="114"/>
      <c r="C13" s="109" t="s">
        <v>939</v>
      </c>
      <c r="D13" s="118">
        <f>AVERAGEIF(E2:E109,"*ID.GV*",F2:F109)</f>
        <v>1.5</v>
      </c>
      <c r="E13" s="85" t="s">
        <v>74</v>
      </c>
      <c r="F13" s="86">
        <f>Tbl_Assess[[#This Row],[Assessed Tier]]</f>
        <v>1</v>
      </c>
    </row>
    <row r="14" spans="1:6">
      <c r="A14" s="122"/>
      <c r="B14" s="114"/>
      <c r="C14" s="109"/>
      <c r="D14" s="118"/>
      <c r="E14" s="85" t="s">
        <v>78</v>
      </c>
      <c r="F14" s="86">
        <f>Tbl_Assess[[#This Row],[Assessed Tier]]</f>
        <v>2</v>
      </c>
    </row>
    <row r="15" spans="1:6">
      <c r="A15" s="122"/>
      <c r="B15" s="114"/>
      <c r="C15" s="109"/>
      <c r="D15" s="118"/>
      <c r="E15" s="85" t="s">
        <v>82</v>
      </c>
      <c r="F15" s="86">
        <f>Tbl_Assess[[#This Row],[Assessed Tier]]</f>
        <v>2</v>
      </c>
    </row>
    <row r="16" spans="1:6">
      <c r="A16" s="122"/>
      <c r="B16" s="114"/>
      <c r="C16" s="109"/>
      <c r="D16" s="118"/>
      <c r="E16" s="85" t="s">
        <v>86</v>
      </c>
      <c r="F16" s="86">
        <f>Tbl_Assess[[#This Row],[Assessed Tier]]</f>
        <v>1</v>
      </c>
    </row>
    <row r="17" spans="1:6">
      <c r="A17" s="122"/>
      <c r="B17" s="114"/>
      <c r="C17" s="109" t="s">
        <v>940</v>
      </c>
      <c r="D17" s="118">
        <f>AVERAGEIF(E2:E109,"*ID.RA*",F2:F109)</f>
        <v>1.1666666666666667</v>
      </c>
      <c r="E17" s="85" t="s">
        <v>92</v>
      </c>
      <c r="F17" s="86">
        <f>Tbl_Assess[[#This Row],[Assessed Tier]]</f>
        <v>2</v>
      </c>
    </row>
    <row r="18" spans="1:6">
      <c r="A18" s="122"/>
      <c r="B18" s="114"/>
      <c r="C18" s="109"/>
      <c r="D18" s="118"/>
      <c r="E18" s="85" t="s">
        <v>97</v>
      </c>
      <c r="F18" s="86">
        <f>Tbl_Assess[[#This Row],[Assessed Tier]]</f>
        <v>1</v>
      </c>
    </row>
    <row r="19" spans="1:6">
      <c r="A19" s="122"/>
      <c r="B19" s="114"/>
      <c r="C19" s="109"/>
      <c r="D19" s="118"/>
      <c r="E19" s="85" t="s">
        <v>100</v>
      </c>
      <c r="F19" s="86">
        <f>Tbl_Assess[[#This Row],[Assessed Tier]]</f>
        <v>1</v>
      </c>
    </row>
    <row r="20" spans="1:6">
      <c r="A20" s="122"/>
      <c r="B20" s="114"/>
      <c r="C20" s="109"/>
      <c r="D20" s="118"/>
      <c r="E20" s="85" t="s">
        <v>104</v>
      </c>
      <c r="F20" s="86">
        <f>Tbl_Assess[[#This Row],[Assessed Tier]]</f>
        <v>1</v>
      </c>
    </row>
    <row r="21" spans="1:6">
      <c r="A21" s="122"/>
      <c r="B21" s="114"/>
      <c r="C21" s="109"/>
      <c r="D21" s="118"/>
      <c r="E21" s="85" t="s">
        <v>107</v>
      </c>
      <c r="F21" s="86">
        <f>Tbl_Assess[[#This Row],[Assessed Tier]]</f>
        <v>1</v>
      </c>
    </row>
    <row r="22" spans="1:6">
      <c r="A22" s="122"/>
      <c r="B22" s="114"/>
      <c r="C22" s="109"/>
      <c r="D22" s="118"/>
      <c r="E22" s="85" t="s">
        <v>110</v>
      </c>
      <c r="F22" s="86">
        <f>Tbl_Assess[[#This Row],[Assessed Tier]]</f>
        <v>1</v>
      </c>
    </row>
    <row r="23" spans="1:6">
      <c r="A23" s="122"/>
      <c r="B23" s="114"/>
      <c r="C23" s="109" t="s">
        <v>941</v>
      </c>
      <c r="D23" s="118">
        <f>AVERAGEIF(E2:E109,"*ID.RM*",F2:F109)</f>
        <v>1</v>
      </c>
      <c r="E23" s="85" t="s">
        <v>115</v>
      </c>
      <c r="F23" s="86">
        <f>Tbl_Assess[[#This Row],[Assessed Tier]]</f>
        <v>1</v>
      </c>
    </row>
    <row r="24" spans="1:6">
      <c r="A24" s="122"/>
      <c r="B24" s="114"/>
      <c r="C24" s="109"/>
      <c r="D24" s="118"/>
      <c r="E24" s="85" t="s">
        <v>118</v>
      </c>
      <c r="F24" s="86">
        <f>Tbl_Assess[[#This Row],[Assessed Tier]]</f>
        <v>1</v>
      </c>
    </row>
    <row r="25" spans="1:6">
      <c r="A25" s="122"/>
      <c r="B25" s="114"/>
      <c r="C25" s="109"/>
      <c r="D25" s="118"/>
      <c r="E25" s="85" t="s">
        <v>121</v>
      </c>
      <c r="F25" s="86">
        <f>Tbl_Assess[[#This Row],[Assessed Tier]]</f>
        <v>1</v>
      </c>
    </row>
    <row r="26" spans="1:6">
      <c r="A26" s="122"/>
      <c r="B26" s="114"/>
      <c r="C26" s="109" t="s">
        <v>942</v>
      </c>
      <c r="D26" s="118">
        <f>AVERAGEIF(E2:E109,"*ID.SC*",F2:F109)</f>
        <v>1.4</v>
      </c>
      <c r="E26" s="85" t="s">
        <v>126</v>
      </c>
      <c r="F26" s="86">
        <f>Tbl_Assess[[#This Row],[Assessed Tier]]</f>
        <v>1</v>
      </c>
    </row>
    <row r="27" spans="1:6">
      <c r="A27" s="122"/>
      <c r="B27" s="114"/>
      <c r="C27" s="109"/>
      <c r="D27" s="118"/>
      <c r="E27" s="85" t="s">
        <v>129</v>
      </c>
      <c r="F27" s="86">
        <f>Tbl_Assess[[#This Row],[Assessed Tier]]</f>
        <v>1</v>
      </c>
    </row>
    <row r="28" spans="1:6">
      <c r="A28" s="122"/>
      <c r="B28" s="114"/>
      <c r="C28" s="109"/>
      <c r="D28" s="118"/>
      <c r="E28" s="85" t="s">
        <v>132</v>
      </c>
      <c r="F28" s="86">
        <f>Tbl_Assess[[#This Row],[Assessed Tier]]</f>
        <v>2</v>
      </c>
    </row>
    <row r="29" spans="1:6">
      <c r="A29" s="122"/>
      <c r="B29" s="114"/>
      <c r="C29" s="109"/>
      <c r="D29" s="118"/>
      <c r="E29" s="85" t="s">
        <v>136</v>
      </c>
      <c r="F29" s="86">
        <f>Tbl_Assess[[#This Row],[Assessed Tier]]</f>
        <v>1</v>
      </c>
    </row>
    <row r="30" spans="1:6" ht="15.75" thickBot="1">
      <c r="A30" s="123"/>
      <c r="B30" s="115"/>
      <c r="C30" s="110"/>
      <c r="D30" s="119"/>
      <c r="E30" s="87" t="s">
        <v>140</v>
      </c>
      <c r="F30" s="88">
        <f>Tbl_Assess[[#This Row],[Assessed Tier]]</f>
        <v>2</v>
      </c>
    </row>
    <row r="31" spans="1:6" ht="15.75" thickTop="1">
      <c r="A31" s="124" t="s">
        <v>437</v>
      </c>
      <c r="B31" s="128">
        <f>AVERAGEIF(E2:E109,"*PR.*",F2:F109)</f>
        <v>1.8717948717948718</v>
      </c>
      <c r="C31" s="107" t="s">
        <v>943</v>
      </c>
      <c r="D31" s="116">
        <f>AVERAGEIF(E2:E109,"*PR.AC*",F2:F109)</f>
        <v>2</v>
      </c>
      <c r="E31" s="75" t="s">
        <v>145</v>
      </c>
      <c r="F31" s="76">
        <f>Tbl_Assess[[#This Row],[Assessed Tier]]</f>
        <v>2</v>
      </c>
    </row>
    <row r="32" spans="1:6">
      <c r="A32" s="124"/>
      <c r="B32" s="128"/>
      <c r="C32" s="107"/>
      <c r="D32" s="116"/>
      <c r="E32" s="75" t="s">
        <v>148</v>
      </c>
      <c r="F32" s="76">
        <f>Tbl_Assess[[#This Row],[Assessed Tier]]</f>
        <v>2</v>
      </c>
    </row>
    <row r="33" spans="1:6">
      <c r="A33" s="124"/>
      <c r="B33" s="128"/>
      <c r="C33" s="107"/>
      <c r="D33" s="116"/>
      <c r="E33" s="75" t="s">
        <v>152</v>
      </c>
      <c r="F33" s="76">
        <f>Tbl_Assess[[#This Row],[Assessed Tier]]</f>
        <v>2</v>
      </c>
    </row>
    <row r="34" spans="1:6">
      <c r="A34" s="124"/>
      <c r="B34" s="128"/>
      <c r="C34" s="107"/>
      <c r="D34" s="116"/>
      <c r="E34" s="75" t="s">
        <v>155</v>
      </c>
      <c r="F34" s="76">
        <f>Tbl_Assess[[#This Row],[Assessed Tier]]</f>
        <v>2</v>
      </c>
    </row>
    <row r="35" spans="1:6">
      <c r="A35" s="124"/>
      <c r="B35" s="128"/>
      <c r="C35" s="107"/>
      <c r="D35" s="116"/>
      <c r="E35" s="75" t="s">
        <v>158</v>
      </c>
      <c r="F35" s="76">
        <f>Tbl_Assess[[#This Row],[Assessed Tier]]</f>
        <v>2</v>
      </c>
    </row>
    <row r="36" spans="1:6">
      <c r="A36" s="124"/>
      <c r="B36" s="128"/>
      <c r="C36" s="107"/>
      <c r="D36" s="116"/>
      <c r="E36" s="75" t="s">
        <v>162</v>
      </c>
      <c r="F36" s="76">
        <f>Tbl_Assess[[#This Row],[Assessed Tier]]</f>
        <v>2</v>
      </c>
    </row>
    <row r="37" spans="1:6">
      <c r="A37" s="124"/>
      <c r="B37" s="128"/>
      <c r="C37" s="107"/>
      <c r="D37" s="116"/>
      <c r="E37" s="75" t="s">
        <v>166</v>
      </c>
      <c r="F37" s="76">
        <f>Tbl_Assess[[#This Row],[Assessed Tier]]</f>
        <v>2</v>
      </c>
    </row>
    <row r="38" spans="1:6">
      <c r="A38" s="124"/>
      <c r="B38" s="128"/>
      <c r="C38" s="107" t="s">
        <v>910</v>
      </c>
      <c r="D38" s="116">
        <f>AVERAGEIF(E2:E109,"*PR.AT*",F2:F109)</f>
        <v>2</v>
      </c>
      <c r="E38" s="75" t="s">
        <v>170</v>
      </c>
      <c r="F38" s="76">
        <f>Tbl_Assess[[#This Row],[Assessed Tier]]</f>
        <v>2</v>
      </c>
    </row>
    <row r="39" spans="1:6">
      <c r="A39" s="124"/>
      <c r="B39" s="128"/>
      <c r="C39" s="107"/>
      <c r="D39" s="116"/>
      <c r="E39" s="75" t="s">
        <v>174</v>
      </c>
      <c r="F39" s="76">
        <f>Tbl_Assess[[#This Row],[Assessed Tier]]</f>
        <v>2</v>
      </c>
    </row>
    <row r="40" spans="1:6">
      <c r="A40" s="124"/>
      <c r="B40" s="128"/>
      <c r="C40" s="107"/>
      <c r="D40" s="116"/>
      <c r="E40" s="75" t="s">
        <v>178</v>
      </c>
      <c r="F40" s="76">
        <f>Tbl_Assess[[#This Row],[Assessed Tier]]</f>
        <v>2</v>
      </c>
    </row>
    <row r="41" spans="1:6">
      <c r="A41" s="124"/>
      <c r="B41" s="128"/>
      <c r="C41" s="107"/>
      <c r="D41" s="116"/>
      <c r="E41" s="75" t="s">
        <v>182</v>
      </c>
      <c r="F41" s="76">
        <f>Tbl_Assess[[#This Row],[Assessed Tier]]</f>
        <v>2</v>
      </c>
    </row>
    <row r="42" spans="1:6">
      <c r="A42" s="124"/>
      <c r="B42" s="128"/>
      <c r="C42" s="107"/>
      <c r="D42" s="116"/>
      <c r="E42" s="75" t="s">
        <v>185</v>
      </c>
      <c r="F42" s="76">
        <f>Tbl_Assess[[#This Row],[Assessed Tier]]</f>
        <v>2</v>
      </c>
    </row>
    <row r="43" spans="1:6">
      <c r="A43" s="124"/>
      <c r="B43" s="128"/>
      <c r="C43" s="107" t="s">
        <v>911</v>
      </c>
      <c r="D43" s="116">
        <f>AVERAGEIF(E2:E109,"*PR.DS*",F2:F109)</f>
        <v>2</v>
      </c>
      <c r="E43" s="75" t="s">
        <v>188</v>
      </c>
      <c r="F43" s="76">
        <f>Tbl_Assess[[#This Row],[Assessed Tier]]</f>
        <v>2</v>
      </c>
    </row>
    <row r="44" spans="1:6">
      <c r="A44" s="124"/>
      <c r="B44" s="128"/>
      <c r="C44" s="107"/>
      <c r="D44" s="116"/>
      <c r="E44" s="75" t="s">
        <v>192</v>
      </c>
      <c r="F44" s="76">
        <f>Tbl_Assess[[#This Row],[Assessed Tier]]</f>
        <v>2</v>
      </c>
    </row>
    <row r="45" spans="1:6">
      <c r="A45" s="124"/>
      <c r="B45" s="128"/>
      <c r="C45" s="107"/>
      <c r="D45" s="116"/>
      <c r="E45" s="75" t="s">
        <v>196</v>
      </c>
      <c r="F45" s="76">
        <f>Tbl_Assess[[#This Row],[Assessed Tier]]</f>
        <v>3</v>
      </c>
    </row>
    <row r="46" spans="1:6">
      <c r="A46" s="124"/>
      <c r="B46" s="128"/>
      <c r="C46" s="107"/>
      <c r="D46" s="116"/>
      <c r="E46" s="75" t="s">
        <v>199</v>
      </c>
      <c r="F46" s="76">
        <f>Tbl_Assess[[#This Row],[Assessed Tier]]</f>
        <v>2</v>
      </c>
    </row>
    <row r="47" spans="1:6">
      <c r="A47" s="124"/>
      <c r="B47" s="128"/>
      <c r="C47" s="107"/>
      <c r="D47" s="116"/>
      <c r="E47" s="75" t="s">
        <v>202</v>
      </c>
      <c r="F47" s="76">
        <f>Tbl_Assess[[#This Row],[Assessed Tier]]</f>
        <v>2</v>
      </c>
    </row>
    <row r="48" spans="1:6">
      <c r="A48" s="124"/>
      <c r="B48" s="128"/>
      <c r="C48" s="107"/>
      <c r="D48" s="116"/>
      <c r="E48" s="75" t="s">
        <v>206</v>
      </c>
      <c r="F48" s="76">
        <f>Tbl_Assess[[#This Row],[Assessed Tier]]</f>
        <v>2</v>
      </c>
    </row>
    <row r="49" spans="1:6">
      <c r="A49" s="124"/>
      <c r="B49" s="128"/>
      <c r="C49" s="107"/>
      <c r="D49" s="116"/>
      <c r="E49" s="75" t="s">
        <v>210</v>
      </c>
      <c r="F49" s="76">
        <f>Tbl_Assess[[#This Row],[Assessed Tier]]</f>
        <v>2</v>
      </c>
    </row>
    <row r="50" spans="1:6">
      <c r="A50" s="124"/>
      <c r="B50" s="128"/>
      <c r="C50" s="107"/>
      <c r="D50" s="116"/>
      <c r="E50" s="75" t="s">
        <v>214</v>
      </c>
      <c r="F50" s="76">
        <f>Tbl_Assess[[#This Row],[Assessed Tier]]</f>
        <v>1</v>
      </c>
    </row>
    <row r="51" spans="1:6">
      <c r="A51" s="124"/>
      <c r="B51" s="128"/>
      <c r="C51" s="107" t="s">
        <v>912</v>
      </c>
      <c r="D51" s="116">
        <f>AVERAGEIF(E2:E109,"*PR.IP*",F2:F109)</f>
        <v>1.75</v>
      </c>
      <c r="E51" s="75" t="s">
        <v>218</v>
      </c>
      <c r="F51" s="76">
        <f>Tbl_Assess[[#This Row],[Assessed Tier]]</f>
        <v>2</v>
      </c>
    </row>
    <row r="52" spans="1:6">
      <c r="A52" s="124"/>
      <c r="B52" s="128"/>
      <c r="C52" s="107"/>
      <c r="D52" s="116"/>
      <c r="E52" s="75" t="s">
        <v>222</v>
      </c>
      <c r="F52" s="76">
        <f>Tbl_Assess[[#This Row],[Assessed Tier]]</f>
        <v>2</v>
      </c>
    </row>
    <row r="53" spans="1:6">
      <c r="A53" s="124"/>
      <c r="B53" s="128"/>
      <c r="C53" s="107"/>
      <c r="D53" s="116"/>
      <c r="E53" s="75" t="s">
        <v>225</v>
      </c>
      <c r="F53" s="76">
        <f>Tbl_Assess[[#This Row],[Assessed Tier]]</f>
        <v>2</v>
      </c>
    </row>
    <row r="54" spans="1:6">
      <c r="A54" s="124"/>
      <c r="B54" s="128"/>
      <c r="C54" s="107"/>
      <c r="D54" s="116"/>
      <c r="E54" s="75" t="s">
        <v>229</v>
      </c>
      <c r="F54" s="76">
        <f>Tbl_Assess[[#This Row],[Assessed Tier]]</f>
        <v>2</v>
      </c>
    </row>
    <row r="55" spans="1:6">
      <c r="A55" s="124"/>
      <c r="B55" s="128"/>
      <c r="C55" s="107"/>
      <c r="D55" s="116"/>
      <c r="E55" s="75" t="s">
        <v>232</v>
      </c>
      <c r="F55" s="76">
        <f>Tbl_Assess[[#This Row],[Assessed Tier]]</f>
        <v>2</v>
      </c>
    </row>
    <row r="56" spans="1:6">
      <c r="A56" s="124"/>
      <c r="B56" s="128"/>
      <c r="C56" s="107"/>
      <c r="D56" s="116"/>
      <c r="E56" s="75" t="s">
        <v>235</v>
      </c>
      <c r="F56" s="76">
        <f>Tbl_Assess[[#This Row],[Assessed Tier]]</f>
        <v>2</v>
      </c>
    </row>
    <row r="57" spans="1:6">
      <c r="A57" s="124"/>
      <c r="B57" s="128"/>
      <c r="C57" s="107"/>
      <c r="D57" s="116"/>
      <c r="E57" s="75" t="s">
        <v>238</v>
      </c>
      <c r="F57" s="76">
        <f>Tbl_Assess[[#This Row],[Assessed Tier]]</f>
        <v>2</v>
      </c>
    </row>
    <row r="58" spans="1:6">
      <c r="A58" s="124"/>
      <c r="B58" s="128"/>
      <c r="C58" s="107"/>
      <c r="D58" s="116"/>
      <c r="E58" s="75" t="s">
        <v>241</v>
      </c>
      <c r="F58" s="76">
        <f>Tbl_Assess[[#This Row],[Assessed Tier]]</f>
        <v>1</v>
      </c>
    </row>
    <row r="59" spans="1:6">
      <c r="A59" s="124"/>
      <c r="B59" s="128"/>
      <c r="C59" s="107"/>
      <c r="D59" s="116"/>
      <c r="E59" s="75" t="s">
        <v>244</v>
      </c>
      <c r="F59" s="76">
        <f>Tbl_Assess[[#This Row],[Assessed Tier]]</f>
        <v>1</v>
      </c>
    </row>
    <row r="60" spans="1:6">
      <c r="A60" s="124"/>
      <c r="B60" s="128"/>
      <c r="C60" s="107"/>
      <c r="D60" s="116"/>
      <c r="E60" s="75" t="s">
        <v>247</v>
      </c>
      <c r="F60" s="76">
        <f>Tbl_Assess[[#This Row],[Assessed Tier]]</f>
        <v>1</v>
      </c>
    </row>
    <row r="61" spans="1:6">
      <c r="A61" s="124"/>
      <c r="B61" s="128"/>
      <c r="C61" s="107"/>
      <c r="D61" s="116"/>
      <c r="E61" s="75" t="s">
        <v>250</v>
      </c>
      <c r="F61" s="76">
        <f>Tbl_Assess[[#This Row],[Assessed Tier]]</f>
        <v>2</v>
      </c>
    </row>
    <row r="62" spans="1:6">
      <c r="A62" s="124"/>
      <c r="B62" s="128"/>
      <c r="C62" s="107"/>
      <c r="D62" s="116"/>
      <c r="E62" s="75" t="s">
        <v>254</v>
      </c>
      <c r="F62" s="76">
        <f>Tbl_Assess[[#This Row],[Assessed Tier]]</f>
        <v>2</v>
      </c>
    </row>
    <row r="63" spans="1:6">
      <c r="A63" s="124"/>
      <c r="B63" s="128"/>
      <c r="C63" s="107" t="s">
        <v>913</v>
      </c>
      <c r="D63" s="116">
        <f>AVERAGEIF(E2:E109,"*PR.MA*",F2:F109)</f>
        <v>2</v>
      </c>
      <c r="E63" s="75" t="s">
        <v>257</v>
      </c>
      <c r="F63" s="76">
        <f>Tbl_Assess[[#This Row],[Assessed Tier]]</f>
        <v>2</v>
      </c>
    </row>
    <row r="64" spans="1:6">
      <c r="A64" s="124"/>
      <c r="B64" s="128"/>
      <c r="C64" s="107"/>
      <c r="D64" s="116"/>
      <c r="E64" s="75" t="s">
        <v>261</v>
      </c>
      <c r="F64" s="76">
        <f>Tbl_Assess[[#This Row],[Assessed Tier]]</f>
        <v>2</v>
      </c>
    </row>
    <row r="65" spans="1:6">
      <c r="A65" s="124"/>
      <c r="B65" s="128"/>
      <c r="C65" s="107" t="s">
        <v>914</v>
      </c>
      <c r="D65" s="116">
        <f>AVERAGEIF(E2:E109,"*PR.PT*",F2:F109)</f>
        <v>1.6</v>
      </c>
      <c r="E65" s="75" t="s">
        <v>265</v>
      </c>
      <c r="F65" s="76">
        <f>Tbl_Assess[[#This Row],[Assessed Tier]]</f>
        <v>1</v>
      </c>
    </row>
    <row r="66" spans="1:6">
      <c r="A66" s="124"/>
      <c r="B66" s="128"/>
      <c r="C66" s="107"/>
      <c r="D66" s="116"/>
      <c r="E66" s="75" t="s">
        <v>268</v>
      </c>
      <c r="F66" s="76">
        <f>Tbl_Assess[[#This Row],[Assessed Tier]]</f>
        <v>1</v>
      </c>
    </row>
    <row r="67" spans="1:6">
      <c r="A67" s="124"/>
      <c r="B67" s="128"/>
      <c r="C67" s="107"/>
      <c r="D67" s="116"/>
      <c r="E67" s="75" t="s">
        <v>271</v>
      </c>
      <c r="F67" s="76">
        <f>Tbl_Assess[[#This Row],[Assessed Tier]]</f>
        <v>2</v>
      </c>
    </row>
    <row r="68" spans="1:6">
      <c r="A68" s="124"/>
      <c r="B68" s="128"/>
      <c r="C68" s="107"/>
      <c r="D68" s="116"/>
      <c r="E68" s="75" t="s">
        <v>275</v>
      </c>
      <c r="F68" s="76">
        <f>Tbl_Assess[[#This Row],[Assessed Tier]]</f>
        <v>2</v>
      </c>
    </row>
    <row r="69" spans="1:6">
      <c r="A69" s="124"/>
      <c r="B69" s="128"/>
      <c r="C69" s="107"/>
      <c r="D69" s="116"/>
      <c r="E69" s="75" t="s">
        <v>279</v>
      </c>
      <c r="F69" s="76">
        <f>Tbl_Assess[[#This Row],[Assessed Tier]]</f>
        <v>2</v>
      </c>
    </row>
    <row r="70" spans="1:6">
      <c r="A70" s="125" t="s">
        <v>440</v>
      </c>
      <c r="B70" s="129">
        <f>AVERAGEIF(E2:E109,"*DE.*",F2:F109)</f>
        <v>1.5</v>
      </c>
      <c r="C70" s="111" t="s">
        <v>915</v>
      </c>
      <c r="D70" s="117">
        <f>AVERAGEIF(E2:E109,"*DE.AE*",F2:F109)</f>
        <v>1.6</v>
      </c>
      <c r="E70" s="77" t="s">
        <v>284</v>
      </c>
      <c r="F70" s="78">
        <f>Tbl_Assess[[#This Row],[Assessed Tier]]</f>
        <v>2</v>
      </c>
    </row>
    <row r="71" spans="1:6">
      <c r="A71" s="125"/>
      <c r="B71" s="129"/>
      <c r="C71" s="111"/>
      <c r="D71" s="117"/>
      <c r="E71" s="77" t="s">
        <v>288</v>
      </c>
      <c r="F71" s="78">
        <f>Tbl_Assess[[#This Row],[Assessed Tier]]</f>
        <v>2</v>
      </c>
    </row>
    <row r="72" spans="1:6">
      <c r="A72" s="125"/>
      <c r="B72" s="129"/>
      <c r="C72" s="111"/>
      <c r="D72" s="117"/>
      <c r="E72" s="77" t="s">
        <v>292</v>
      </c>
      <c r="F72" s="78">
        <f>Tbl_Assess[[#This Row],[Assessed Tier]]</f>
        <v>1</v>
      </c>
    </row>
    <row r="73" spans="1:6">
      <c r="A73" s="125"/>
      <c r="B73" s="129"/>
      <c r="C73" s="111"/>
      <c r="D73" s="117"/>
      <c r="E73" s="77" t="s">
        <v>296</v>
      </c>
      <c r="F73" s="78">
        <f>Tbl_Assess[[#This Row],[Assessed Tier]]</f>
        <v>2</v>
      </c>
    </row>
    <row r="74" spans="1:6">
      <c r="A74" s="125"/>
      <c r="B74" s="129"/>
      <c r="C74" s="111"/>
      <c r="D74" s="117"/>
      <c r="E74" s="77" t="s">
        <v>300</v>
      </c>
      <c r="F74" s="78">
        <f>Tbl_Assess[[#This Row],[Assessed Tier]]</f>
        <v>1</v>
      </c>
    </row>
    <row r="75" spans="1:6">
      <c r="A75" s="125"/>
      <c r="B75" s="129"/>
      <c r="C75" s="111" t="s">
        <v>916</v>
      </c>
      <c r="D75" s="117">
        <f>AVERAGEIF(E2:E109,"*DE.CM*",F2:F109)</f>
        <v>1.5</v>
      </c>
      <c r="E75" s="77" t="s">
        <v>305</v>
      </c>
      <c r="F75" s="78">
        <f>Tbl_Assess[[#This Row],[Assessed Tier]]</f>
        <v>1</v>
      </c>
    </row>
    <row r="76" spans="1:6">
      <c r="A76" s="125"/>
      <c r="B76" s="129"/>
      <c r="C76" s="111"/>
      <c r="D76" s="117"/>
      <c r="E76" s="77" t="s">
        <v>309</v>
      </c>
      <c r="F76" s="78">
        <f>Tbl_Assess[[#This Row],[Assessed Tier]]</f>
        <v>2</v>
      </c>
    </row>
    <row r="77" spans="1:6">
      <c r="A77" s="125"/>
      <c r="B77" s="129"/>
      <c r="C77" s="111"/>
      <c r="D77" s="117"/>
      <c r="E77" s="77" t="s">
        <v>312</v>
      </c>
      <c r="F77" s="78">
        <f>Tbl_Assess[[#This Row],[Assessed Tier]]</f>
        <v>2</v>
      </c>
    </row>
    <row r="78" spans="1:6">
      <c r="A78" s="125"/>
      <c r="B78" s="129"/>
      <c r="C78" s="111"/>
      <c r="D78" s="117"/>
      <c r="E78" s="77" t="s">
        <v>316</v>
      </c>
      <c r="F78" s="78">
        <f>Tbl_Assess[[#This Row],[Assessed Tier]]</f>
        <v>2</v>
      </c>
    </row>
    <row r="79" spans="1:6">
      <c r="A79" s="125"/>
      <c r="B79" s="129"/>
      <c r="C79" s="111"/>
      <c r="D79" s="117"/>
      <c r="E79" s="77" t="s">
        <v>320</v>
      </c>
      <c r="F79" s="78">
        <f>Tbl_Assess[[#This Row],[Assessed Tier]]</f>
        <v>2</v>
      </c>
    </row>
    <row r="80" spans="1:6">
      <c r="A80" s="125"/>
      <c r="B80" s="129"/>
      <c r="C80" s="111"/>
      <c r="D80" s="117"/>
      <c r="E80" s="77" t="s">
        <v>324</v>
      </c>
      <c r="F80" s="78">
        <f>Tbl_Assess[[#This Row],[Assessed Tier]]</f>
        <v>1</v>
      </c>
    </row>
    <row r="81" spans="1:6">
      <c r="A81" s="125"/>
      <c r="B81" s="129"/>
      <c r="C81" s="111"/>
      <c r="D81" s="117"/>
      <c r="E81" s="77" t="s">
        <v>328</v>
      </c>
      <c r="F81" s="78">
        <f>Tbl_Assess[[#This Row],[Assessed Tier]]</f>
        <v>1</v>
      </c>
    </row>
    <row r="82" spans="1:6">
      <c r="A82" s="125"/>
      <c r="B82" s="129"/>
      <c r="C82" s="111"/>
      <c r="D82" s="117"/>
      <c r="E82" s="77" t="s">
        <v>331</v>
      </c>
      <c r="F82" s="78">
        <f>Tbl_Assess[[#This Row],[Assessed Tier]]</f>
        <v>1</v>
      </c>
    </row>
    <row r="83" spans="1:6">
      <c r="A83" s="125"/>
      <c r="B83" s="129"/>
      <c r="C83" s="111" t="s">
        <v>917</v>
      </c>
      <c r="D83" s="117">
        <f>AVERAGEIF(E2:E109,"*DE.DP*",F2:F109)</f>
        <v>1.4</v>
      </c>
      <c r="E83" s="77" t="s">
        <v>337</v>
      </c>
      <c r="F83" s="78">
        <f>Tbl_Assess[[#This Row],[Assessed Tier]]</f>
        <v>2</v>
      </c>
    </row>
    <row r="84" spans="1:6">
      <c r="A84" s="125"/>
      <c r="B84" s="129"/>
      <c r="C84" s="111"/>
      <c r="D84" s="117"/>
      <c r="E84" s="77" t="s">
        <v>340</v>
      </c>
      <c r="F84" s="78">
        <f>Tbl_Assess[[#This Row],[Assessed Tier]]</f>
        <v>1</v>
      </c>
    </row>
    <row r="85" spans="1:6">
      <c r="A85" s="125"/>
      <c r="B85" s="129"/>
      <c r="C85" s="111"/>
      <c r="D85" s="117"/>
      <c r="E85" s="77" t="s">
        <v>344</v>
      </c>
      <c r="F85" s="78">
        <f>Tbl_Assess[[#This Row],[Assessed Tier]]</f>
        <v>1</v>
      </c>
    </row>
    <row r="86" spans="1:6">
      <c r="A86" s="125"/>
      <c r="B86" s="129"/>
      <c r="C86" s="111"/>
      <c r="D86" s="117"/>
      <c r="E86" s="77" t="s">
        <v>348</v>
      </c>
      <c r="F86" s="78">
        <f>Tbl_Assess[[#This Row],[Assessed Tier]]</f>
        <v>1</v>
      </c>
    </row>
    <row r="87" spans="1:6">
      <c r="A87" s="125"/>
      <c r="B87" s="129"/>
      <c r="C87" s="111"/>
      <c r="D87" s="117"/>
      <c r="E87" s="77" t="s">
        <v>351</v>
      </c>
      <c r="F87" s="78">
        <f>Tbl_Assess[[#This Row],[Assessed Tier]]</f>
        <v>2</v>
      </c>
    </row>
    <row r="88" spans="1:6" ht="15.75">
      <c r="A88" s="126" t="s">
        <v>442</v>
      </c>
      <c r="B88" s="130">
        <f>AVERAGEIF(E2:E109,"*RS.*",F2:F109)</f>
        <v>1.8125</v>
      </c>
      <c r="C88" s="89" t="s">
        <v>918</v>
      </c>
      <c r="D88" s="90">
        <f>AVERAGEIF(E2:E109,"*RS.RP*",F2:F109)</f>
        <v>2</v>
      </c>
      <c r="E88" s="79" t="s">
        <v>356</v>
      </c>
      <c r="F88" s="80">
        <f>Tbl_Assess[[#This Row],[Assessed Tier]]</f>
        <v>2</v>
      </c>
    </row>
    <row r="89" spans="1:6">
      <c r="A89" s="126"/>
      <c r="B89" s="130"/>
      <c r="C89" s="112" t="s">
        <v>919</v>
      </c>
      <c r="D89" s="132">
        <f>AVERAGEIF(E2:E109,"*RS.CO*",F2:F109)</f>
        <v>2</v>
      </c>
      <c r="E89" s="79" t="s">
        <v>361</v>
      </c>
      <c r="F89" s="80">
        <f>Tbl_Assess[[#This Row],[Assessed Tier]]</f>
        <v>2</v>
      </c>
    </row>
    <row r="90" spans="1:6">
      <c r="A90" s="126"/>
      <c r="B90" s="130"/>
      <c r="C90" s="112"/>
      <c r="D90" s="132"/>
      <c r="E90" s="79" t="s">
        <v>364</v>
      </c>
      <c r="F90" s="80">
        <f>Tbl_Assess[[#This Row],[Assessed Tier]]</f>
        <v>2</v>
      </c>
    </row>
    <row r="91" spans="1:6">
      <c r="A91" s="126"/>
      <c r="B91" s="130"/>
      <c r="C91" s="112"/>
      <c r="D91" s="132"/>
      <c r="E91" s="79" t="s">
        <v>367</v>
      </c>
      <c r="F91" s="80">
        <f>Tbl_Assess[[#This Row],[Assessed Tier]]</f>
        <v>2</v>
      </c>
    </row>
    <row r="92" spans="1:6">
      <c r="A92" s="126"/>
      <c r="B92" s="130"/>
      <c r="C92" s="112"/>
      <c r="D92" s="132"/>
      <c r="E92" s="79" t="s">
        <v>370</v>
      </c>
      <c r="F92" s="80">
        <f>Tbl_Assess[[#This Row],[Assessed Tier]]</f>
        <v>2</v>
      </c>
    </row>
    <row r="93" spans="1:6">
      <c r="A93" s="126"/>
      <c r="B93" s="130"/>
      <c r="C93" s="112"/>
      <c r="D93" s="132"/>
      <c r="E93" s="79" t="s">
        <v>373</v>
      </c>
      <c r="F93" s="80">
        <f>Tbl_Assess[[#This Row],[Assessed Tier]]</f>
        <v>2</v>
      </c>
    </row>
    <row r="94" spans="1:6">
      <c r="A94" s="126"/>
      <c r="B94" s="130"/>
      <c r="C94" s="112" t="s">
        <v>920</v>
      </c>
      <c r="D94" s="132">
        <f>AVERAGEIF(E2:E109,"*RS.AN*",F2:F109)</f>
        <v>1.8</v>
      </c>
      <c r="E94" s="79" t="s">
        <v>378</v>
      </c>
      <c r="F94" s="80">
        <f>Tbl_Assess[[#This Row],[Assessed Tier]]</f>
        <v>2</v>
      </c>
    </row>
    <row r="95" spans="1:6">
      <c r="A95" s="126"/>
      <c r="B95" s="130"/>
      <c r="C95" s="112"/>
      <c r="D95" s="132"/>
      <c r="E95" s="79" t="s">
        <v>381</v>
      </c>
      <c r="F95" s="80">
        <f>Tbl_Assess[[#This Row],[Assessed Tier]]</f>
        <v>2</v>
      </c>
    </row>
    <row r="96" spans="1:6">
      <c r="A96" s="126"/>
      <c r="B96" s="130"/>
      <c r="C96" s="112"/>
      <c r="D96" s="132"/>
      <c r="E96" s="79" t="s">
        <v>384</v>
      </c>
      <c r="F96" s="80">
        <f>Tbl_Assess[[#This Row],[Assessed Tier]]</f>
        <v>2</v>
      </c>
    </row>
    <row r="97" spans="1:6">
      <c r="A97" s="126"/>
      <c r="B97" s="130"/>
      <c r="C97" s="112"/>
      <c r="D97" s="132"/>
      <c r="E97" s="79" t="s">
        <v>387</v>
      </c>
      <c r="F97" s="80">
        <f>Tbl_Assess[[#This Row],[Assessed Tier]]</f>
        <v>1</v>
      </c>
    </row>
    <row r="98" spans="1:6">
      <c r="A98" s="126"/>
      <c r="B98" s="130"/>
      <c r="C98" s="112"/>
      <c r="D98" s="132"/>
      <c r="E98" s="79" t="s">
        <v>390</v>
      </c>
      <c r="F98" s="80">
        <f>Tbl_Assess[[#This Row],[Assessed Tier]]</f>
        <v>2</v>
      </c>
    </row>
    <row r="99" spans="1:6">
      <c r="A99" s="126"/>
      <c r="B99" s="130"/>
      <c r="C99" s="112" t="s">
        <v>921</v>
      </c>
      <c r="D99" s="132">
        <f>AVERAGEIF(E2:E109,"*RS.MI*",F2:F109)</f>
        <v>1.6666666666666667</v>
      </c>
      <c r="E99" s="79" t="s">
        <v>395</v>
      </c>
      <c r="F99" s="80">
        <f>Tbl_Assess[[#This Row],[Assessed Tier]]</f>
        <v>2</v>
      </c>
    </row>
    <row r="100" spans="1:6">
      <c r="A100" s="126"/>
      <c r="B100" s="130"/>
      <c r="C100" s="112"/>
      <c r="D100" s="132"/>
      <c r="E100" s="79" t="s">
        <v>398</v>
      </c>
      <c r="F100" s="80">
        <f>Tbl_Assess[[#This Row],[Assessed Tier]]</f>
        <v>2</v>
      </c>
    </row>
    <row r="101" spans="1:6">
      <c r="A101" s="126"/>
      <c r="B101" s="130"/>
      <c r="C101" s="112"/>
      <c r="D101" s="132"/>
      <c r="E101" s="79" t="s">
        <v>401</v>
      </c>
      <c r="F101" s="80">
        <f>Tbl_Assess[[#This Row],[Assessed Tier]]</f>
        <v>1</v>
      </c>
    </row>
    <row r="102" spans="1:6">
      <c r="A102" s="126"/>
      <c r="B102" s="130"/>
      <c r="C102" s="112" t="s">
        <v>922</v>
      </c>
      <c r="D102" s="132">
        <f>AVERAGEIF(E2:E109,"*RS.IM*",F2:F109)</f>
        <v>1.5</v>
      </c>
      <c r="E102" s="79" t="s">
        <v>406</v>
      </c>
      <c r="F102" s="80">
        <f>Tbl_Assess[[#This Row],[Assessed Tier]]</f>
        <v>2</v>
      </c>
    </row>
    <row r="103" spans="1:6">
      <c r="A103" s="126"/>
      <c r="B103" s="130"/>
      <c r="C103" s="112"/>
      <c r="D103" s="132"/>
      <c r="E103" s="79" t="s">
        <v>409</v>
      </c>
      <c r="F103" s="80">
        <f>Tbl_Assess[[#This Row],[Assessed Tier]]</f>
        <v>1</v>
      </c>
    </row>
    <row r="104" spans="1:6" ht="15.75">
      <c r="A104" s="127" t="s">
        <v>444</v>
      </c>
      <c r="B104" s="131">
        <f>AVERAGEIF(E2:E109,"*RC.*",F2:F109)</f>
        <v>1.3333333333333333</v>
      </c>
      <c r="C104" s="91" t="s">
        <v>923</v>
      </c>
      <c r="D104" s="92">
        <f>AVERAGEIF(E2:E109,"*RC.RP*",F2:F109)</f>
        <v>2</v>
      </c>
      <c r="E104" s="81" t="s">
        <v>413</v>
      </c>
      <c r="F104" s="82">
        <f>Tbl_Assess[[#This Row],[Assessed Tier]]</f>
        <v>2</v>
      </c>
    </row>
    <row r="105" spans="1:6">
      <c r="A105" s="127"/>
      <c r="B105" s="131"/>
      <c r="C105" s="134" t="s">
        <v>924</v>
      </c>
      <c r="D105" s="133">
        <f>AVERAGEIF(E2:E109,"*RC.IM*",F2:F109)</f>
        <v>1</v>
      </c>
      <c r="E105" s="81" t="s">
        <v>418</v>
      </c>
      <c r="F105" s="82">
        <f>Tbl_Assess[[#This Row],[Assessed Tier]]</f>
        <v>1</v>
      </c>
    </row>
    <row r="106" spans="1:6">
      <c r="A106" s="127"/>
      <c r="B106" s="131"/>
      <c r="C106" s="134"/>
      <c r="D106" s="133"/>
      <c r="E106" s="81" t="s">
        <v>421</v>
      </c>
      <c r="F106" s="82">
        <f>Tbl_Assess[[#This Row],[Assessed Tier]]</f>
        <v>1</v>
      </c>
    </row>
    <row r="107" spans="1:6">
      <c r="A107" s="127"/>
      <c r="B107" s="131"/>
      <c r="C107" s="134" t="s">
        <v>925</v>
      </c>
      <c r="D107" s="133">
        <f>AVERAGEIF(E2:E109,"*RC.CO*",F2:F109)</f>
        <v>1.3333333333333333</v>
      </c>
      <c r="E107" s="81" t="s">
        <v>425</v>
      </c>
      <c r="F107" s="82">
        <f>Tbl_Assess[[#This Row],[Assessed Tier]]</f>
        <v>1</v>
      </c>
    </row>
    <row r="108" spans="1:6">
      <c r="A108" s="127"/>
      <c r="B108" s="131"/>
      <c r="C108" s="134"/>
      <c r="D108" s="133"/>
      <c r="E108" s="81" t="s">
        <v>428</v>
      </c>
      <c r="F108" s="82">
        <f>Tbl_Assess[[#This Row],[Assessed Tier]]</f>
        <v>2</v>
      </c>
    </row>
    <row r="109" spans="1:6">
      <c r="A109" s="127"/>
      <c r="B109" s="131"/>
      <c r="C109" s="134"/>
      <c r="D109" s="133"/>
      <c r="E109" s="81" t="s">
        <v>431</v>
      </c>
      <c r="F109" s="82">
        <f>Tbl_Assess[[#This Row],[Assessed Tier]]</f>
        <v>1</v>
      </c>
    </row>
  </sheetData>
  <mergeCells count="52">
    <mergeCell ref="B31:B69"/>
    <mergeCell ref="B70:B87"/>
    <mergeCell ref="B88:B103"/>
    <mergeCell ref="B104:B109"/>
    <mergeCell ref="D99:D101"/>
    <mergeCell ref="D102:D103"/>
    <mergeCell ref="D105:D106"/>
    <mergeCell ref="D107:D109"/>
    <mergeCell ref="D89:D93"/>
    <mergeCell ref="D94:D98"/>
    <mergeCell ref="C94:C98"/>
    <mergeCell ref="C99:C101"/>
    <mergeCell ref="C102:C103"/>
    <mergeCell ref="C105:C106"/>
    <mergeCell ref="C107:C109"/>
    <mergeCell ref="C63:C64"/>
    <mergeCell ref="A2:A30"/>
    <mergeCell ref="A31:A69"/>
    <mergeCell ref="A70:A87"/>
    <mergeCell ref="A88:A103"/>
    <mergeCell ref="A104:A109"/>
    <mergeCell ref="B2:B30"/>
    <mergeCell ref="D65:D69"/>
    <mergeCell ref="D70:D74"/>
    <mergeCell ref="D75:D82"/>
    <mergeCell ref="D83:D87"/>
    <mergeCell ref="D26:D30"/>
    <mergeCell ref="D31:D37"/>
    <mergeCell ref="D38:D42"/>
    <mergeCell ref="D43:D50"/>
    <mergeCell ref="D51:D62"/>
    <mergeCell ref="D63:D64"/>
    <mergeCell ref="D2:D7"/>
    <mergeCell ref="D8:D12"/>
    <mergeCell ref="D13:D16"/>
    <mergeCell ref="D17:D22"/>
    <mergeCell ref="D23:D25"/>
    <mergeCell ref="C65:C69"/>
    <mergeCell ref="C70:C74"/>
    <mergeCell ref="C75:C82"/>
    <mergeCell ref="C83:C87"/>
    <mergeCell ref="C89:C93"/>
    <mergeCell ref="C51:C62"/>
    <mergeCell ref="C2:C7"/>
    <mergeCell ref="C8:C12"/>
    <mergeCell ref="C13:C16"/>
    <mergeCell ref="C17:C22"/>
    <mergeCell ref="C23:C25"/>
    <mergeCell ref="C26:C30"/>
    <mergeCell ref="C31:C37"/>
    <mergeCell ref="C38:C42"/>
    <mergeCell ref="C43:C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FBC7-20A9-4491-ACD3-AACDA6584C68}">
  <sheetPr>
    <tabColor rgb="FFC00000"/>
  </sheetPr>
  <dimension ref="A1:D32"/>
  <sheetViews>
    <sheetView workbookViewId="0">
      <selection activeCell="D3" sqref="D3"/>
    </sheetView>
  </sheetViews>
  <sheetFormatPr defaultRowHeight="15"/>
  <cols>
    <col min="2" max="2" width="45.85546875" bestFit="1" customWidth="1"/>
    <col min="3" max="3" width="11.5703125" bestFit="1" customWidth="1"/>
    <col min="4" max="4" width="10.42578125" bestFit="1" customWidth="1"/>
  </cols>
  <sheetData>
    <row r="1" spans="1:4" ht="30">
      <c r="A1" s="55" t="s">
        <v>936</v>
      </c>
      <c r="C1" s="56"/>
      <c r="D1" s="56"/>
    </row>
    <row r="2" spans="1:4">
      <c r="A2" t="s">
        <v>2</v>
      </c>
      <c r="B2" s="55"/>
      <c r="C2" s="56" t="s">
        <v>935</v>
      </c>
      <c r="D2" s="56" t="s">
        <v>926</v>
      </c>
    </row>
    <row r="3" spans="1:4">
      <c r="B3" t="s">
        <v>435</v>
      </c>
      <c r="C3" s="57">
        <f>Scoring!B2</f>
        <v>1.3448275862068966</v>
      </c>
      <c r="D3" s="58">
        <f>TargetMaturityTier</f>
        <v>3</v>
      </c>
    </row>
    <row r="4" spans="1:4">
      <c r="B4" t="s">
        <v>437</v>
      </c>
      <c r="C4" s="57">
        <f>Scoring!B31</f>
        <v>1.8717948717948718</v>
      </c>
      <c r="D4" s="58">
        <f>TargetMaturityTier</f>
        <v>3</v>
      </c>
    </row>
    <row r="5" spans="1:4">
      <c r="B5" t="s">
        <v>440</v>
      </c>
      <c r="C5" s="57">
        <f>Scoring!B70</f>
        <v>1.5</v>
      </c>
      <c r="D5" s="58">
        <f>TargetMaturityTier</f>
        <v>3</v>
      </c>
    </row>
    <row r="6" spans="1:4">
      <c r="B6" t="s">
        <v>442</v>
      </c>
      <c r="C6" s="57">
        <f>Scoring!B88</f>
        <v>1.8125</v>
      </c>
      <c r="D6" s="58">
        <f>TargetMaturityTier</f>
        <v>3</v>
      </c>
    </row>
    <row r="7" spans="1:4">
      <c r="B7" t="s">
        <v>444</v>
      </c>
      <c r="C7" s="57">
        <f>Scoring!B104</f>
        <v>1.3333333333333333</v>
      </c>
      <c r="D7" s="58">
        <f>TargetMaturityTier</f>
        <v>3</v>
      </c>
    </row>
    <row r="8" spans="1:4">
      <c r="B8" s="53"/>
      <c r="C8" s="58"/>
      <c r="D8" s="58"/>
    </row>
    <row r="9" spans="1:4">
      <c r="A9" t="s">
        <v>2</v>
      </c>
      <c r="B9" t="s">
        <v>3</v>
      </c>
      <c r="C9" s="58" t="s">
        <v>935</v>
      </c>
      <c r="D9" s="58" t="s">
        <v>926</v>
      </c>
    </row>
    <row r="10" spans="1:4">
      <c r="A10" t="s">
        <v>436</v>
      </c>
      <c r="B10" t="s">
        <v>937</v>
      </c>
      <c r="C10" s="57">
        <f>Scoring!D2</f>
        <v>1.3333333333333333</v>
      </c>
      <c r="D10" s="58">
        <f t="shared" ref="D10:D32" si="0">TargetMaturityTier</f>
        <v>3</v>
      </c>
    </row>
    <row r="11" spans="1:4">
      <c r="A11" t="s">
        <v>436</v>
      </c>
      <c r="B11" t="s">
        <v>938</v>
      </c>
      <c r="C11" s="57">
        <f>Scoring!D8</f>
        <v>1.6</v>
      </c>
      <c r="D11" s="58">
        <f t="shared" si="0"/>
        <v>3</v>
      </c>
    </row>
    <row r="12" spans="1:4">
      <c r="A12" t="s">
        <v>436</v>
      </c>
      <c r="B12" t="s">
        <v>939</v>
      </c>
      <c r="C12" s="57">
        <f>Scoring!D13</f>
        <v>1.5</v>
      </c>
      <c r="D12" s="58">
        <f t="shared" si="0"/>
        <v>3</v>
      </c>
    </row>
    <row r="13" spans="1:4">
      <c r="A13" t="s">
        <v>436</v>
      </c>
      <c r="B13" t="s">
        <v>940</v>
      </c>
      <c r="C13" s="57">
        <f>Scoring!D17</f>
        <v>1.1666666666666667</v>
      </c>
      <c r="D13" s="58">
        <f t="shared" si="0"/>
        <v>3</v>
      </c>
    </row>
    <row r="14" spans="1:4">
      <c r="A14" t="s">
        <v>436</v>
      </c>
      <c r="B14" t="s">
        <v>941</v>
      </c>
      <c r="C14" s="57">
        <f>Scoring!D23</f>
        <v>1</v>
      </c>
      <c r="D14" s="58">
        <f t="shared" si="0"/>
        <v>3</v>
      </c>
    </row>
    <row r="15" spans="1:4">
      <c r="A15" t="s">
        <v>436</v>
      </c>
      <c r="B15" t="s">
        <v>942</v>
      </c>
      <c r="C15" s="57">
        <f>Scoring!D26</f>
        <v>1.4</v>
      </c>
      <c r="D15" s="58">
        <f t="shared" si="0"/>
        <v>3</v>
      </c>
    </row>
    <row r="16" spans="1:4">
      <c r="A16" t="s">
        <v>438</v>
      </c>
      <c r="B16" t="s">
        <v>943</v>
      </c>
      <c r="C16" s="57">
        <f>Scoring!D31</f>
        <v>2</v>
      </c>
      <c r="D16" s="58">
        <f t="shared" si="0"/>
        <v>3</v>
      </c>
    </row>
    <row r="17" spans="1:4">
      <c r="A17" t="s">
        <v>438</v>
      </c>
      <c r="B17" t="s">
        <v>910</v>
      </c>
      <c r="C17" s="57">
        <f>Scoring!D38</f>
        <v>2</v>
      </c>
      <c r="D17" s="58">
        <f t="shared" si="0"/>
        <v>3</v>
      </c>
    </row>
    <row r="18" spans="1:4">
      <c r="A18" t="s">
        <v>438</v>
      </c>
      <c r="B18" t="s">
        <v>911</v>
      </c>
      <c r="C18" s="57">
        <f>Scoring!D43</f>
        <v>2</v>
      </c>
      <c r="D18" s="58">
        <f t="shared" si="0"/>
        <v>3</v>
      </c>
    </row>
    <row r="19" spans="1:4">
      <c r="A19" t="s">
        <v>438</v>
      </c>
      <c r="B19" t="s">
        <v>912</v>
      </c>
      <c r="C19" s="57">
        <f>Scoring!D51</f>
        <v>1.75</v>
      </c>
      <c r="D19" s="58">
        <f t="shared" si="0"/>
        <v>3</v>
      </c>
    </row>
    <row r="20" spans="1:4">
      <c r="A20" t="s">
        <v>438</v>
      </c>
      <c r="B20" t="s">
        <v>913</v>
      </c>
      <c r="C20" s="57">
        <f>Scoring!D63</f>
        <v>2</v>
      </c>
      <c r="D20" s="58">
        <f t="shared" si="0"/>
        <v>3</v>
      </c>
    </row>
    <row r="21" spans="1:4">
      <c r="A21" t="s">
        <v>438</v>
      </c>
      <c r="B21" t="s">
        <v>914</v>
      </c>
      <c r="C21" s="57">
        <f>Scoring!D65</f>
        <v>1.6</v>
      </c>
      <c r="D21" s="58">
        <f t="shared" si="0"/>
        <v>3</v>
      </c>
    </row>
    <row r="22" spans="1:4">
      <c r="A22" t="s">
        <v>439</v>
      </c>
      <c r="B22" t="s">
        <v>915</v>
      </c>
      <c r="C22" s="57">
        <f>Scoring!D70</f>
        <v>1.6</v>
      </c>
      <c r="D22" s="58">
        <f t="shared" si="0"/>
        <v>3</v>
      </c>
    </row>
    <row r="23" spans="1:4">
      <c r="A23" t="s">
        <v>439</v>
      </c>
      <c r="B23" t="s">
        <v>916</v>
      </c>
      <c r="C23" s="57">
        <f>Scoring!D75</f>
        <v>1.5</v>
      </c>
      <c r="D23" s="58">
        <f t="shared" si="0"/>
        <v>3</v>
      </c>
    </row>
    <row r="24" spans="1:4">
      <c r="A24" t="s">
        <v>439</v>
      </c>
      <c r="B24" t="s">
        <v>917</v>
      </c>
      <c r="C24" s="57">
        <f>Scoring!D83</f>
        <v>1.4</v>
      </c>
      <c r="D24" s="58">
        <f t="shared" si="0"/>
        <v>3</v>
      </c>
    </row>
    <row r="25" spans="1:4">
      <c r="A25" t="s">
        <v>441</v>
      </c>
      <c r="B25" t="s">
        <v>918</v>
      </c>
      <c r="C25" s="57">
        <f>Scoring!D88</f>
        <v>2</v>
      </c>
      <c r="D25" s="58">
        <f t="shared" si="0"/>
        <v>3</v>
      </c>
    </row>
    <row r="26" spans="1:4">
      <c r="A26" t="s">
        <v>441</v>
      </c>
      <c r="B26" t="s">
        <v>919</v>
      </c>
      <c r="C26" s="57">
        <f>Scoring!D89</f>
        <v>2</v>
      </c>
      <c r="D26" s="58">
        <f t="shared" si="0"/>
        <v>3</v>
      </c>
    </row>
    <row r="27" spans="1:4">
      <c r="A27" t="s">
        <v>441</v>
      </c>
      <c r="B27" t="s">
        <v>920</v>
      </c>
      <c r="C27" s="57">
        <f>Scoring!D94</f>
        <v>1.8</v>
      </c>
      <c r="D27" s="58">
        <f t="shared" si="0"/>
        <v>3</v>
      </c>
    </row>
    <row r="28" spans="1:4">
      <c r="A28" t="s">
        <v>441</v>
      </c>
      <c r="B28" t="s">
        <v>921</v>
      </c>
      <c r="C28" s="57">
        <f>Scoring!D99</f>
        <v>1.6666666666666667</v>
      </c>
      <c r="D28" s="58">
        <f t="shared" si="0"/>
        <v>3</v>
      </c>
    </row>
    <row r="29" spans="1:4">
      <c r="A29" t="s">
        <v>441</v>
      </c>
      <c r="B29" t="s">
        <v>922</v>
      </c>
      <c r="C29" s="57">
        <f>Scoring!D102</f>
        <v>1.5</v>
      </c>
      <c r="D29" s="58">
        <f t="shared" si="0"/>
        <v>3</v>
      </c>
    </row>
    <row r="30" spans="1:4">
      <c r="A30" t="s">
        <v>443</v>
      </c>
      <c r="B30" t="s">
        <v>923</v>
      </c>
      <c r="C30" s="57">
        <f>Scoring!D104</f>
        <v>2</v>
      </c>
      <c r="D30" s="58">
        <f t="shared" si="0"/>
        <v>3</v>
      </c>
    </row>
    <row r="31" spans="1:4">
      <c r="A31" t="s">
        <v>443</v>
      </c>
      <c r="B31" t="s">
        <v>924</v>
      </c>
      <c r="C31" s="57">
        <f>Scoring!D105</f>
        <v>1</v>
      </c>
      <c r="D31" s="58">
        <f t="shared" si="0"/>
        <v>3</v>
      </c>
    </row>
    <row r="32" spans="1:4">
      <c r="A32" t="s">
        <v>443</v>
      </c>
      <c r="B32" t="s">
        <v>925</v>
      </c>
      <c r="C32" s="57">
        <f>Scoring!D107</f>
        <v>1.3333333333333333</v>
      </c>
      <c r="D32" s="58">
        <f t="shared" si="0"/>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5869-B050-4554-B2EB-D60B97582AF9}">
  <dimension ref="A1"/>
  <sheetViews>
    <sheetView workbookViewId="0">
      <selection activeCell="U17" sqref="U17"/>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359A-C83A-4B41-935F-E3F441EA9D1B}">
  <dimension ref="A1:B12"/>
  <sheetViews>
    <sheetView topLeftCell="A4" workbookViewId="0">
      <selection activeCell="B6" sqref="B6"/>
    </sheetView>
  </sheetViews>
  <sheetFormatPr defaultRowHeight="15"/>
  <cols>
    <col min="1" max="1" width="34.7109375" customWidth="1"/>
    <col min="2" max="2" width="91.28515625" customWidth="1"/>
  </cols>
  <sheetData>
    <row r="1" spans="1:2" ht="71.25" customHeight="1" thickTop="1" thickBot="1">
      <c r="A1" s="61" t="s">
        <v>945</v>
      </c>
      <c r="B1" s="62" t="s">
        <v>946</v>
      </c>
    </row>
    <row r="2" spans="1:2" ht="16.5" thickTop="1" thickBot="1">
      <c r="A2" s="59"/>
      <c r="B2" s="59"/>
    </row>
    <row r="3" spans="1:2" ht="61.5" thickTop="1" thickBot="1">
      <c r="A3" s="63" t="s">
        <v>949</v>
      </c>
      <c r="B3" s="64" t="s">
        <v>947</v>
      </c>
    </row>
    <row r="4" spans="1:2" ht="16.5" thickTop="1" thickBot="1">
      <c r="A4" s="59"/>
      <c r="B4" s="59"/>
    </row>
    <row r="5" spans="1:2" ht="60.75" thickTop="1">
      <c r="A5" s="65" t="s">
        <v>950</v>
      </c>
      <c r="B5" s="66" t="s">
        <v>948</v>
      </c>
    </row>
    <row r="6" spans="1:2" ht="254.25" customHeight="1">
      <c r="A6" s="67" t="s">
        <v>16</v>
      </c>
      <c r="B6" s="68" t="s">
        <v>455</v>
      </c>
    </row>
    <row r="7" spans="1:2" ht="270">
      <c r="A7" s="69" t="s">
        <v>22</v>
      </c>
      <c r="B7" s="70" t="s">
        <v>456</v>
      </c>
    </row>
    <row r="8" spans="1:2" ht="330">
      <c r="A8" s="67" t="s">
        <v>453</v>
      </c>
      <c r="B8" s="68" t="s">
        <v>457</v>
      </c>
    </row>
    <row r="9" spans="1:2" ht="405.75" thickBot="1">
      <c r="A9" s="71" t="s">
        <v>454</v>
      </c>
      <c r="B9" s="72" t="s">
        <v>458</v>
      </c>
    </row>
    <row r="10" spans="1:2" ht="15.75" thickTop="1"/>
    <row r="11" spans="1:2">
      <c r="B11" s="73" t="s">
        <v>951</v>
      </c>
    </row>
    <row r="12" spans="1:2">
      <c r="B12" s="74" t="s">
        <v>944</v>
      </c>
    </row>
  </sheetData>
  <hyperlinks>
    <hyperlink ref="B12" r:id="rId1" xr:uid="{D5EDFCB5-2062-45BB-8396-E31CEE373EB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B0E2-567A-4AD1-ADE6-4EBCD7680B1F}">
  <sheetPr>
    <tabColor rgb="FFC00000"/>
  </sheetPr>
  <dimension ref="A1:L100"/>
  <sheetViews>
    <sheetView tabSelected="1" zoomScale="136" zoomScaleNormal="136" workbookViewId="0">
      <selection activeCell="B12" sqref="B12"/>
    </sheetView>
  </sheetViews>
  <sheetFormatPr defaultColWidth="9.140625" defaultRowHeight="15.75"/>
  <cols>
    <col min="1" max="1" width="23.5703125" style="11" customWidth="1"/>
    <col min="2" max="2" width="42.5703125" style="11" customWidth="1"/>
    <col min="3" max="3" width="3" style="11" customWidth="1"/>
    <col min="4" max="4" width="14.42578125" style="11" customWidth="1"/>
    <col min="5" max="5" width="3" style="11" customWidth="1"/>
    <col min="6" max="6" width="23.5703125" style="11" customWidth="1"/>
    <col min="7" max="7" width="3" style="11" customWidth="1"/>
    <col min="8" max="8" width="14.42578125" style="12" customWidth="1"/>
    <col min="9" max="9" width="3" style="11" customWidth="1"/>
    <col min="10" max="10" width="14.42578125" style="12" customWidth="1"/>
    <col min="11" max="11" width="3" style="11" customWidth="1"/>
    <col min="12" max="12" width="14.42578125" style="11" customWidth="1"/>
    <col min="13" max="16384" width="9.140625" style="11"/>
  </cols>
  <sheetData>
    <row r="1" spans="1:12" ht="24.95" customHeight="1"/>
    <row r="2" spans="1:12" ht="24.95" customHeight="1">
      <c r="A2" s="13" t="s">
        <v>448</v>
      </c>
      <c r="B2" s="24" t="s">
        <v>449</v>
      </c>
      <c r="D2" s="13" t="s">
        <v>8</v>
      </c>
      <c r="E2" s="14"/>
      <c r="F2" s="13"/>
      <c r="G2" s="15"/>
      <c r="H2" s="16"/>
      <c r="J2" s="16"/>
      <c r="L2" s="13"/>
    </row>
    <row r="3" spans="1:12" ht="25.5" customHeight="1">
      <c r="A3" s="17">
        <v>1</v>
      </c>
      <c r="B3" s="25" t="s">
        <v>450</v>
      </c>
      <c r="D3" s="18" t="s">
        <v>452</v>
      </c>
      <c r="E3" s="19"/>
      <c r="F3" s="17"/>
      <c r="G3" s="20"/>
      <c r="H3" s="21"/>
      <c r="J3" s="21"/>
      <c r="L3" s="18"/>
    </row>
    <row r="4" spans="1:12" ht="24.95" customHeight="1">
      <c r="A4" s="17">
        <v>2</v>
      </c>
      <c r="B4" s="25" t="s">
        <v>727</v>
      </c>
      <c r="D4" s="18" t="s">
        <v>29</v>
      </c>
      <c r="E4" s="19"/>
      <c r="F4" s="17"/>
      <c r="G4" s="20"/>
      <c r="H4" s="21"/>
      <c r="J4" s="21"/>
      <c r="L4" s="18"/>
    </row>
    <row r="5" spans="1:12" ht="24.95" customHeight="1">
      <c r="A5" s="17">
        <v>3</v>
      </c>
      <c r="B5" s="25" t="s">
        <v>728</v>
      </c>
      <c r="D5" s="18" t="s">
        <v>18</v>
      </c>
      <c r="E5" s="19"/>
      <c r="F5" s="17"/>
      <c r="G5" s="20"/>
      <c r="H5" s="21"/>
      <c r="J5" s="21"/>
      <c r="L5" s="18"/>
    </row>
    <row r="6" spans="1:12" ht="24.95" customHeight="1">
      <c r="A6" s="17">
        <v>4</v>
      </c>
      <c r="B6" s="25" t="s">
        <v>451</v>
      </c>
      <c r="D6" s="22" t="s">
        <v>35</v>
      </c>
      <c r="E6" s="19"/>
      <c r="F6" s="17"/>
      <c r="G6" s="20"/>
      <c r="H6" s="21"/>
      <c r="J6" s="21"/>
      <c r="L6" s="22"/>
    </row>
    <row r="7" spans="1:12" ht="24.95" customHeight="1">
      <c r="A7" s="17" t="s">
        <v>342</v>
      </c>
      <c r="B7" s="25"/>
      <c r="F7" s="17"/>
      <c r="G7" s="15"/>
      <c r="H7" s="21"/>
      <c r="J7" s="21"/>
      <c r="L7" s="23"/>
    </row>
    <row r="8" spans="1:12" ht="24.95" customHeight="1">
      <c r="F8" s="15"/>
      <c r="G8" s="12"/>
      <c r="H8" s="11"/>
      <c r="I8" s="12"/>
      <c r="J8" s="11"/>
    </row>
    <row r="9" spans="1:12" ht="24.95" customHeight="1">
      <c r="G9" s="15"/>
    </row>
    <row r="10" spans="1:12" ht="24.95" customHeight="1">
      <c r="G10" s="15"/>
    </row>
    <row r="11" spans="1:12" ht="24.95" customHeight="1">
      <c r="G11" s="15"/>
    </row>
    <row r="12" spans="1:12" ht="24.95" customHeight="1">
      <c r="G12" s="15"/>
    </row>
    <row r="13" spans="1:12" ht="24.95" customHeight="1">
      <c r="G13" s="15"/>
    </row>
    <row r="14" spans="1:12" ht="24.95" customHeight="1">
      <c r="G14" s="15"/>
    </row>
    <row r="15" spans="1:12" ht="24.95" customHeight="1">
      <c r="G15" s="15"/>
    </row>
    <row r="16" spans="1:12" ht="24.95" customHeight="1">
      <c r="G16" s="15"/>
    </row>
    <row r="17" spans="7:7" ht="24.95" customHeight="1">
      <c r="G17" s="15"/>
    </row>
    <row r="18" spans="7:7" ht="24.95" customHeight="1">
      <c r="G18" s="15"/>
    </row>
    <row r="19" spans="7:7" ht="24.95" customHeight="1">
      <c r="G19" s="15"/>
    </row>
    <row r="20" spans="7:7" ht="24.95" customHeight="1">
      <c r="G20" s="15"/>
    </row>
    <row r="21" spans="7:7" ht="24.95" customHeight="1"/>
    <row r="22" spans="7:7" ht="24.95" customHeight="1"/>
    <row r="23" spans="7:7" ht="24.95" customHeight="1"/>
    <row r="24" spans="7:7" ht="24.95" customHeight="1"/>
    <row r="25" spans="7:7" ht="24.95" customHeight="1"/>
    <row r="26" spans="7:7" ht="24.95" customHeight="1"/>
    <row r="27" spans="7:7" ht="24.95" customHeight="1"/>
    <row r="28" spans="7:7" ht="24.95" customHeight="1"/>
    <row r="29" spans="7:7" ht="24.95" customHeight="1"/>
    <row r="30" spans="7:7" ht="24.95" customHeight="1"/>
    <row r="31" spans="7:7" ht="24.95" customHeight="1"/>
    <row r="32" spans="7:7" ht="24.95" customHeight="1"/>
    <row r="33" ht="24.95" customHeight="1"/>
    <row r="34" ht="24.95" customHeight="1"/>
    <row r="35" ht="24.95" customHeight="1"/>
    <row r="36" ht="24.95" customHeight="1"/>
    <row r="37" ht="24.95" customHeight="1"/>
    <row r="38" ht="24.95" customHeight="1"/>
    <row r="39" ht="24.95" customHeight="1"/>
    <row r="40" ht="24.95" customHeight="1"/>
    <row r="41" ht="24.95" customHeight="1"/>
    <row r="42" ht="24.95" customHeight="1"/>
    <row r="43" ht="24.95" customHeight="1"/>
    <row r="44" ht="24.95" customHeight="1"/>
    <row r="45" ht="24.95" customHeight="1"/>
    <row r="46" ht="24.95" customHeight="1"/>
    <row r="47" ht="24.95" customHeight="1"/>
    <row r="48" ht="24.95" customHeight="1"/>
    <row r="49" ht="24.9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row r="61" ht="24.95" customHeight="1"/>
    <row r="62" ht="24.95" customHeight="1"/>
    <row r="63" ht="24.95" customHeight="1"/>
    <row r="64"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A817C1-1782-4C12-8CEC-25A009650F12}">
  <ds:schemaRefs>
    <ds:schemaRef ds:uri="http://schemas.microsoft.com/office/2006/documentManagement/types"/>
    <ds:schemaRef ds:uri="http://purl.org/dc/elements/1.1/"/>
    <ds:schemaRef ds:uri="http://schemas.microsoft.com/office/2006/metadata/properties"/>
    <ds:schemaRef ds:uri="http://www.w3.org/XML/1998/namespace"/>
    <ds:schemaRef ds:uri="7b9f577f-5543-45a6-ab73-9794943e6d6d"/>
    <ds:schemaRef ds:uri="http://purl.org/dc/terms/"/>
    <ds:schemaRef ds:uri="http://schemas.microsoft.com/office/infopath/2007/PartnerControls"/>
    <ds:schemaRef ds:uri="http://schemas.openxmlformats.org/package/2006/metadata/core-properties"/>
    <ds:schemaRef ds:uri="ca55d802-efb2-4083-b9cf-c0fa3fbeae2f"/>
    <ds:schemaRef ds:uri="http://purl.org/dc/dcmitype/"/>
  </ds:schemaRefs>
</ds:datastoreItem>
</file>

<file path=customXml/itemProps2.xml><?xml version="1.0" encoding="utf-8"?>
<ds:datastoreItem xmlns:ds="http://schemas.openxmlformats.org/officeDocument/2006/customXml" ds:itemID="{3554FFCA-E15A-4A7D-8726-1A74F649E7E7}">
  <ds:schemaRefs>
    <ds:schemaRef ds:uri="http://schemas.microsoft.com/sharepoint/v3/contenttype/forms"/>
  </ds:schemaRefs>
</ds:datastoreItem>
</file>

<file path=customXml/itemProps3.xml><?xml version="1.0" encoding="utf-8"?>
<ds:datastoreItem xmlns:ds="http://schemas.openxmlformats.org/officeDocument/2006/customXml" ds:itemID="{2FCDD3E6-EAB6-4210-BB26-13A0F8CBF6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COVER</vt:lpstr>
      <vt:lpstr>Assessment</vt:lpstr>
      <vt:lpstr>Scoring</vt:lpstr>
      <vt:lpstr>Summary</vt:lpstr>
      <vt:lpstr>Charts</vt:lpstr>
      <vt:lpstr>CSF Overview</vt:lpstr>
      <vt:lpstr>KEY</vt:lpstr>
      <vt:lpstr>KEY_Pri</vt:lpstr>
      <vt:lpstr>KEY_Tier</vt:lpstr>
      <vt:lpstr>COVER!TargetMaturityTier</vt:lpstr>
      <vt:lpstr>TargetMaturityTier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S. Crawford</dc:creator>
  <cp:lastModifiedBy>Sam Grubb</cp:lastModifiedBy>
  <cp:lastPrinted>2019-02-19T21:53:58Z</cp:lastPrinted>
  <dcterms:created xsi:type="dcterms:W3CDTF">2018-12-28T20:31:52Z</dcterms:created>
  <dcterms:modified xsi:type="dcterms:W3CDTF">2021-07-08T21:50:18Z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